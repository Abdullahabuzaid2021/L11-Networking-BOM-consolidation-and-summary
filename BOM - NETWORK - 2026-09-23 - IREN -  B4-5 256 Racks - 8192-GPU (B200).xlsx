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62" firstSheet="3" activeTab="3" autoFilterDateGrouping="1"/>
  </bookViews>
  <sheets>
    <sheet name="P&amp;L" sheetId="1" state="hidden" r:id="rId1"/>
    <sheet name="GOAL Export" sheetId="2" state="hidden" r:id="rId2"/>
    <sheet name="Version" sheetId="3" state="visible" r:id="rId3"/>
    <sheet name="L11 BOM Ntwk" sheetId="4" state="visible" r:id="rId4"/>
    <sheet name="L11 Ntwk Rack Elvt" sheetId="5" state="visible" r:id="rId5"/>
    <sheet name="Services Summary" sheetId="6" state="hidden" r:id="rId6"/>
    <sheet name="DW2000P_1" sheetId="7" state="hidden" r:id="rId7"/>
    <sheet name="Compute_Management" sheetId="8"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fullCalcOnLoad="1"/>
</workbook>
</file>

<file path=xl/styles.xml><?xml version="1.0" encoding="utf-8"?>
<styleSheet xmlns="http://schemas.openxmlformats.org/spreadsheetml/2006/main">
  <numFmts count="2">
    <numFmt numFmtId="164" formatCode="\$#0.00"/>
    <numFmt numFmtId="165" formatCode="&quot;$&quot;#,##0.00"/>
  </numFmts>
  <fonts count="40">
    <font>
      <name val="Aptos Narrow"/>
      <family val="2"/>
      <color theme="1"/>
      <sz val="11"/>
      <scheme val="minor"/>
    </font>
    <font>
      <name val="Calibri"/>
      <family val="2"/>
      <color rgb="FF000000"/>
      <sz val="11"/>
    </font>
    <font>
      <name val="Calibri"/>
      <family val="2"/>
      <b val="1"/>
      <color rgb="FF000000"/>
      <sz val="11"/>
    </font>
    <font>
      <name val="Arial"/>
      <family val="2"/>
      <sz val="11"/>
    </font>
    <font>
      <name val="Arial"/>
      <family val="2"/>
      <color theme="1"/>
      <sz val="11"/>
    </font>
    <font>
      <name val="Arial"/>
      <family val="2"/>
      <b val="1"/>
      <color theme="0"/>
      <sz val="11"/>
    </font>
    <font>
      <name val="Arial"/>
      <family val="2"/>
      <color rgb="FF000000"/>
      <sz val="14"/>
    </font>
    <font>
      <name val="Arial"/>
      <family val="2"/>
      <color theme="1"/>
      <sz val="14"/>
    </font>
    <font>
      <name val="Arial"/>
      <family val="2"/>
      <color theme="1"/>
      <sz val="12"/>
    </font>
    <font>
      <name val="Arial"/>
      <family val="2"/>
      <i val="1"/>
      <color theme="1"/>
      <sz val="12"/>
    </font>
    <font>
      <name val="Arial"/>
      <family val="2"/>
      <b val="1"/>
      <sz val="12"/>
    </font>
    <font>
      <name val="Aptos Narrow"/>
      <family val="2"/>
      <b val="1"/>
      <color theme="1"/>
      <sz val="11"/>
      <scheme val="minor"/>
    </font>
    <font>
      <name val="Aptos Narrow"/>
      <family val="2"/>
      <sz val="8"/>
      <scheme val="minor"/>
    </font>
    <font>
      <name val="Arial"/>
      <family val="2"/>
      <b val="1"/>
      <i val="1"/>
      <color rgb="FFFF0000"/>
      <sz val="12"/>
    </font>
    <font>
      <name val="Calibri"/>
      <family val="2"/>
      <b val="1"/>
      <sz val="11"/>
    </font>
    <font>
      <name val="Calibri"/>
      <family val="2"/>
      <sz val="11"/>
    </font>
    <font>
      <name val="Calibri"/>
      <family val="2"/>
      <color theme="1"/>
      <sz val="11"/>
    </font>
    <font>
      <name val="Calibri"/>
      <family val="2"/>
      <color rgb="FFED7D31"/>
      <sz val="11"/>
    </font>
    <font>
      <name val="Arial"/>
      <family val="2"/>
      <sz val="10"/>
    </font>
    <font>
      <name val="Aptos Narrow"/>
      <family val="2"/>
      <color theme="1"/>
      <sz val="11"/>
    </font>
    <font>
      <name val="Aptos Narrow"/>
      <family val="2"/>
      <sz val="11"/>
      <scheme val="minor"/>
    </font>
    <font>
      <name val="Aptos Narrow"/>
      <family val="2"/>
      <color theme="1"/>
      <sz val="9"/>
      <scheme val="minor"/>
    </font>
    <font>
      <name val="Aptos Narrow"/>
      <family val="2"/>
      <color theme="1"/>
      <sz val="8"/>
      <scheme val="minor"/>
    </font>
    <font>
      <name val="Calibri"/>
      <family val="2"/>
      <color rgb="FF000000"/>
      <sz val="10"/>
    </font>
    <font>
      <name val="Calibri"/>
      <family val="2"/>
      <color theme="1"/>
      <sz val="10"/>
    </font>
    <font>
      <name val="Calibri"/>
      <family val="2"/>
      <b val="1"/>
      <sz val="10"/>
    </font>
    <font>
      <name val="Calibri"/>
      <family val="2"/>
      <b val="1"/>
      <color rgb="FF000000"/>
      <sz val="10"/>
    </font>
    <font>
      <name val="Calibri"/>
      <family val="2"/>
      <sz val="10"/>
    </font>
    <font>
      <name val="Calibri"/>
      <family val="2"/>
      <color rgb="FFFF0000"/>
      <sz val="10"/>
    </font>
    <font>
      <name val="Calibri"/>
      <family val="2"/>
      <b val="1"/>
      <color theme="9" tint="-0.249977111117893"/>
      <sz val="10"/>
    </font>
    <font>
      <name val="Calibri"/>
      <family val="2"/>
      <b val="1"/>
      <color theme="8"/>
      <sz val="10"/>
    </font>
    <font>
      <name val="Calibri"/>
      <family val="2"/>
      <b val="1"/>
      <color rgb="FF0070C0"/>
      <sz val="10"/>
    </font>
    <font>
      <name val="Calibri"/>
      <family val="2"/>
      <b val="1"/>
      <color theme="7" tint="-0.249977111117893"/>
      <sz val="10"/>
    </font>
    <font>
      <name val="Calibri"/>
      <family val="2"/>
      <b val="1"/>
      <color theme="1"/>
      <sz val="10"/>
    </font>
    <font>
      <name val="Calibri"/>
      <family val="2"/>
      <color rgb="FF0E0E0E"/>
      <sz val="11"/>
    </font>
    <font>
      <name val="Aptos Narrow"/>
      <family val="2"/>
      <color theme="1"/>
      <sz val="10"/>
      <scheme val="minor"/>
    </font>
    <font>
      <name val="Calibri"/>
      <family val="2"/>
      <sz val="12"/>
    </font>
    <font>
      <name val="Aptos"/>
      <family val="2"/>
      <color rgb="FF000000"/>
      <sz val="11"/>
    </font>
    <font>
      <name val="Aptos Narrow"/>
      <family val="2"/>
      <b val="1"/>
      <sz val="11"/>
      <scheme val="minor"/>
    </font>
    <font>
      <name val="Aptos Narrow"/>
      <family val="2"/>
      <color rgb="FFFF0000"/>
      <sz val="11"/>
      <scheme val="minor"/>
    </font>
  </fonts>
  <fills count="23">
    <fill>
      <patternFill/>
    </fill>
    <fill>
      <patternFill patternType="gray125"/>
    </fill>
    <fill>
      <patternFill patternType="solid">
        <fgColor theme="9" tint="0.7999816888943144"/>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
        <bgColor rgb="FF000000"/>
      </patternFill>
    </fill>
    <fill>
      <patternFill patternType="solid">
        <fgColor theme="5" tint="0.3999755851924192"/>
        <bgColor rgb="FF000000"/>
      </patternFill>
    </fill>
    <fill>
      <patternFill patternType="solid">
        <fgColor theme="0" tint="-0.0499893185216834"/>
        <bgColor indexed="64"/>
      </patternFill>
    </fill>
    <fill>
      <patternFill patternType="solid">
        <fgColor rgb="FFE2E4FA"/>
        <bgColor indexed="64"/>
      </patternFill>
    </fill>
    <fill>
      <patternFill patternType="solid">
        <fgColor theme="0"/>
        <bgColor indexed="64"/>
      </patternFill>
    </fill>
    <fill>
      <patternFill patternType="solid">
        <fgColor theme="2"/>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0" tint="-0.1499984740745262"/>
        <bgColor theme="0" tint="-0.1499984740745262"/>
      </patternFill>
    </fill>
    <fill>
      <patternFill patternType="solid">
        <fgColor theme="0"/>
        <bgColor rgb="FF000000"/>
      </patternFill>
    </fill>
    <fill>
      <patternFill patternType="solid">
        <fgColor theme="8" tint="0.5999938962981048"/>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top/>
      <bottom/>
      <diagonal/>
    </border>
  </borders>
  <cellStyleXfs count="2">
    <xf numFmtId="0" fontId="0" fillId="0" borderId="0"/>
    <xf numFmtId="0" fontId="1" fillId="0" borderId="0"/>
  </cellStyleXfs>
  <cellXfs count="196">
    <xf numFmtId="0" fontId="0" fillId="0" borderId="0" pivotButton="0" quotePrefix="0" xfId="0"/>
    <xf numFmtId="0" fontId="1" fillId="0" borderId="0" pivotButton="0" quotePrefix="0" xfId="1"/>
    <xf numFmtId="0" fontId="1" fillId="0" borderId="1" applyAlignment="1" pivotButton="0" quotePrefix="0" xfId="1">
      <alignment wrapText="1"/>
    </xf>
    <xf numFmtId="0" fontId="2" fillId="0" borderId="0" pivotButton="0" quotePrefix="0" xfId="1"/>
    <xf numFmtId="164" fontId="1" fillId="0" borderId="0" pivotButton="0" quotePrefix="0" xfId="1"/>
    <xf numFmtId="0" fontId="4" fillId="0" borderId="0" pivotButton="0" quotePrefix="0" xfId="0"/>
    <xf numFmtId="0" fontId="5" fillId="3" borderId="2" applyAlignment="1" pivotButton="0" quotePrefix="0" xfId="0">
      <alignment horizontal="center" vertical="center" wrapText="1" readingOrder="1"/>
    </xf>
    <xf numFmtId="0" fontId="3" fillId="0" borderId="2" applyAlignment="1" pivotButton="0" quotePrefix="0" xfId="0">
      <alignment horizontal="center" vertical="center" readingOrder="1"/>
    </xf>
    <xf numFmtId="0" fontId="4" fillId="0" borderId="0" applyAlignment="1" pivotButton="0" quotePrefix="0" xfId="0">
      <alignment horizontal="right"/>
    </xf>
    <xf numFmtId="0" fontId="4" fillId="0" borderId="0" applyAlignment="1" pivotButton="0" quotePrefix="0" xfId="0">
      <alignment horizontal="center"/>
    </xf>
    <xf numFmtId="49" fontId="4" fillId="0" borderId="0" applyAlignment="1" pivotButton="0" quotePrefix="0" xfId="0">
      <alignment horizontal="center"/>
    </xf>
    <xf numFmtId="0" fontId="7" fillId="0" borderId="0" pivotButton="0" quotePrefix="0" xfId="0"/>
    <xf numFmtId="0" fontId="6" fillId="0" borderId="0" applyAlignment="1" pivotButton="0" quotePrefix="0" xfId="0">
      <alignment horizontal="right" indent="1"/>
    </xf>
    <xf numFmtId="0" fontId="3" fillId="0" borderId="2" applyAlignment="1" pivotButton="0" quotePrefix="0" xfId="0">
      <alignment horizontal="left" vertical="center" readingOrder="1"/>
    </xf>
    <xf numFmtId="14" fontId="3" fillId="0" borderId="2" applyAlignment="1" pivotButton="0" quotePrefix="0" xfId="0">
      <alignment horizontal="center" vertical="center" readingOrder="1"/>
    </xf>
    <xf numFmtId="0" fontId="6" fillId="0" borderId="0" applyAlignment="1" pivotButton="0" quotePrefix="0" xfId="0">
      <alignment horizontal="right" vertical="center" indent="1" readingOrder="1"/>
    </xf>
    <xf numFmtId="49" fontId="7" fillId="0" borderId="0" applyAlignment="1" pivotButton="0" quotePrefix="0" xfId="0">
      <alignment horizontal="left"/>
    </xf>
    <xf numFmtId="0" fontId="5" fillId="3" borderId="2" applyAlignment="1" pivotButton="0" quotePrefix="0" xfId="0">
      <alignment horizontal="left" vertical="center" wrapText="1" readingOrder="1"/>
    </xf>
    <xf numFmtId="0" fontId="4" fillId="0" borderId="0" applyAlignment="1" pivotButton="0" quotePrefix="0" xfId="0">
      <alignment horizontal="left"/>
    </xf>
    <xf numFmtId="49" fontId="4"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xf>
    <xf numFmtId="0" fontId="13" fillId="0" borderId="0" applyAlignment="1" pivotButton="0" quotePrefix="0" xfId="0">
      <alignment horizontal="left"/>
    </xf>
    <xf numFmtId="0" fontId="14" fillId="6" borderId="0" applyAlignment="1" pivotButton="0" quotePrefix="0" xfId="0">
      <alignment horizontal="center"/>
    </xf>
    <xf numFmtId="0" fontId="2" fillId="6" borderId="0" applyAlignment="1" pivotButton="0" quotePrefix="0" xfId="0">
      <alignment horizontal="center"/>
    </xf>
    <xf numFmtId="0" fontId="15" fillId="0" borderId="0" pivotButton="0" quotePrefix="0" xfId="0"/>
    <xf numFmtId="0" fontId="16" fillId="0" borderId="0" pivotButton="0" quotePrefix="0" xfId="0"/>
    <xf numFmtId="0" fontId="15" fillId="0" borderId="0" applyAlignment="1" pivotButton="0" quotePrefix="0" xfId="0">
      <alignment wrapText="1"/>
    </xf>
    <xf numFmtId="0" fontId="17" fillId="0" borderId="0" pivotButton="0" quotePrefix="0" xfId="0"/>
    <xf numFmtId="0" fontId="10" fillId="8" borderId="2" pivotButton="0" quotePrefix="0" xfId="0"/>
    <xf numFmtId="0" fontId="10" fillId="8" borderId="3" pivotButton="0" quotePrefix="0" xfId="0"/>
    <xf numFmtId="0" fontId="18" fillId="0" borderId="0" pivotButton="0" quotePrefix="0" xfId="0"/>
    <xf numFmtId="4" fontId="18" fillId="0" borderId="0" pivotButton="0" quotePrefix="0" xfId="0"/>
    <xf numFmtId="10" fontId="18" fillId="0" borderId="0" pivotButton="0" quotePrefix="0" xfId="0"/>
    <xf numFmtId="0" fontId="11" fillId="9" borderId="1" pivotButton="0" quotePrefix="0" xfId="0"/>
    <xf numFmtId="0" fontId="0" fillId="0" borderId="1" pivotButton="0" quotePrefix="0" xfId="0"/>
    <xf numFmtId="165" fontId="0" fillId="0" borderId="1" pivotButton="0" quotePrefix="0" xfId="0"/>
    <xf numFmtId="10" fontId="0" fillId="0" borderId="1" pivotButton="0" quotePrefix="0" xfId="0"/>
    <xf numFmtId="0" fontId="0" fillId="4" borderId="0" pivotButton="0" quotePrefix="0" xfId="0"/>
    <xf numFmtId="0" fontId="19" fillId="0" borderId="0" applyAlignment="1" pivotButton="0" quotePrefix="0" xfId="0">
      <alignment horizontal="center"/>
    </xf>
    <xf numFmtId="0" fontId="1" fillId="0" borderId="0" pivotButton="0" quotePrefix="0" xfId="0"/>
    <xf numFmtId="0" fontId="17" fillId="0" borderId="0" applyAlignment="1" pivotButton="0" quotePrefix="0" xfId="0">
      <alignment wrapText="1"/>
    </xf>
    <xf numFmtId="0" fontId="20" fillId="0" borderId="0" pivotButton="0" quotePrefix="0" xfId="0"/>
    <xf numFmtId="0" fontId="20" fillId="0" borderId="0" applyAlignment="1" pivotButton="0" quotePrefix="0" xfId="0">
      <alignment horizontal="left"/>
    </xf>
    <xf numFmtId="0" fontId="2" fillId="0" borderId="0" pivotButton="0" quotePrefix="0" xfId="0"/>
    <xf numFmtId="0" fontId="21" fillId="0" borderId="25" pivotButton="0" quotePrefix="0" xfId="0"/>
    <xf numFmtId="0" fontId="21" fillId="0" borderId="26" pivotButton="0" quotePrefix="0" xfId="0"/>
    <xf numFmtId="0" fontId="21" fillId="0" borderId="26" applyAlignment="1" pivotButton="0" quotePrefix="0" xfId="0">
      <alignment horizontal="center"/>
    </xf>
    <xf numFmtId="0" fontId="21" fillId="15" borderId="27" pivotButton="0" quotePrefix="0" xfId="0"/>
    <xf numFmtId="0" fontId="21" fillId="15" borderId="0" pivotButton="0" quotePrefix="0" xfId="0"/>
    <xf numFmtId="0" fontId="21" fillId="0" borderId="20" pivotButton="0" quotePrefix="0" xfId="0"/>
    <xf numFmtId="0" fontId="21" fillId="0" borderId="21" applyAlignment="1" pivotButton="0" quotePrefix="0" xfId="0">
      <alignment horizontal="center"/>
    </xf>
    <xf numFmtId="0" fontId="21" fillId="0" borderId="22" pivotButton="0" quotePrefix="0" xfId="0"/>
    <xf numFmtId="0" fontId="21" fillId="0" borderId="0" pivotButton="0" quotePrefix="0" xfId="0"/>
    <xf numFmtId="0" fontId="22" fillId="16" borderId="2" applyAlignment="1" pivotButton="0" quotePrefix="0" xfId="0">
      <alignment horizontal="center"/>
    </xf>
    <xf numFmtId="0" fontId="0" fillId="0" borderId="0" applyAlignment="1" pivotButton="0" quotePrefix="0" xfId="0">
      <alignment vertical="center" textRotation="90"/>
    </xf>
    <xf numFmtId="0" fontId="0" fillId="0" borderId="29" pivotButton="0" quotePrefix="0" xfId="0"/>
    <xf numFmtId="0" fontId="24" fillId="0" borderId="0" pivotButton="0" quotePrefix="0" xfId="0"/>
    <xf numFmtId="0" fontId="25" fillId="6" borderId="23" applyAlignment="1" pivotButton="0" quotePrefix="0" xfId="0">
      <alignment horizontal="center"/>
    </xf>
    <xf numFmtId="0" fontId="26" fillId="6" borderId="23" applyAlignment="1" pivotButton="0" quotePrefix="0" xfId="0">
      <alignment horizontal="center"/>
    </xf>
    <xf numFmtId="0" fontId="25" fillId="6" borderId="2" applyAlignment="1" pivotButton="0" quotePrefix="0" xfId="0">
      <alignment horizontal="center"/>
    </xf>
    <xf numFmtId="0" fontId="27" fillId="15" borderId="2" pivotButton="0" quotePrefix="0" xfId="0"/>
    <xf numFmtId="0" fontId="27" fillId="0" borderId="3" pivotButton="0" quotePrefix="0" xfId="0"/>
    <xf numFmtId="0" fontId="24" fillId="15" borderId="2" pivotButton="0" quotePrefix="0" xfId="0"/>
    <xf numFmtId="0" fontId="27" fillId="0" borderId="0" pivotButton="0" quotePrefix="0" xfId="0"/>
    <xf numFmtId="0" fontId="26" fillId="6" borderId="0" applyAlignment="1" pivotButton="0" quotePrefix="0" xfId="0">
      <alignment horizontal="center"/>
    </xf>
    <xf numFmtId="0" fontId="27" fillId="0" borderId="2" pivotButton="0" quotePrefix="0" xfId="0"/>
    <xf numFmtId="0" fontId="27" fillId="0" borderId="0" applyAlignment="1" pivotButton="0" quotePrefix="0" xfId="0">
      <alignment wrapText="1"/>
    </xf>
    <xf numFmtId="0" fontId="26" fillId="6" borderId="2" applyAlignment="1" pivotButton="0" quotePrefix="0" xfId="0">
      <alignment horizontal="center"/>
    </xf>
    <xf numFmtId="0" fontId="28" fillId="0" borderId="2" pivotButton="0" quotePrefix="0" xfId="0"/>
    <xf numFmtId="0" fontId="24" fillId="0" borderId="2" applyAlignment="1" pivotButton="0" quotePrefix="0" xfId="0">
      <alignment wrapText="1"/>
    </xf>
    <xf numFmtId="0" fontId="24" fillId="0" borderId="2" pivotButton="0" quotePrefix="0" xfId="0"/>
    <xf numFmtId="0" fontId="27" fillId="0" borderId="2" applyAlignment="1" pivotButton="0" quotePrefix="0" xfId="0">
      <alignment wrapText="1"/>
    </xf>
    <xf numFmtId="1" fontId="24" fillId="0" borderId="2" applyAlignment="1" pivotButton="0" quotePrefix="0" xfId="0">
      <alignment wrapText="1"/>
    </xf>
    <xf numFmtId="3" fontId="27" fillId="0" borderId="2" applyAlignment="1" pivotButton="0" quotePrefix="0" xfId="0">
      <alignment wrapText="1"/>
    </xf>
    <xf numFmtId="1" fontId="27" fillId="0" borderId="2" pivotButton="0" quotePrefix="0" xfId="0"/>
    <xf numFmtId="0" fontId="27" fillId="20" borderId="2" pivotButton="0" quotePrefix="0" xfId="0"/>
    <xf numFmtId="3" fontId="27" fillId="0" borderId="2" pivotButton="0" quotePrefix="0" xfId="0"/>
    <xf numFmtId="0" fontId="27" fillId="0" borderId="4" pivotButton="0" quotePrefix="0" xfId="0"/>
    <xf numFmtId="1" fontId="27" fillId="0" borderId="4" pivotButton="0" quotePrefix="0" xfId="0"/>
    <xf numFmtId="1" fontId="27" fillId="0" borderId="20" pivotButton="0" quotePrefix="0" xfId="0"/>
    <xf numFmtId="0" fontId="27" fillId="0" borderId="22" pivotButton="0" quotePrefix="0" xfId="0"/>
    <xf numFmtId="0" fontId="23" fillId="0" borderId="0" pivotButton="0" quotePrefix="0" xfId="0"/>
    <xf numFmtId="0" fontId="31" fillId="13" borderId="16" applyAlignment="1" pivotButton="0" quotePrefix="0" xfId="0">
      <alignment horizontal="center" wrapText="1"/>
    </xf>
    <xf numFmtId="0" fontId="31" fillId="13" borderId="18" applyAlignment="1" pivotButton="0" quotePrefix="0" xfId="0">
      <alignment horizontal="center" wrapText="1"/>
    </xf>
    <xf numFmtId="0" fontId="26" fillId="0" borderId="0" pivotButton="0" quotePrefix="0" xfId="0"/>
    <xf numFmtId="0" fontId="23" fillId="0" borderId="17" applyAlignment="1" pivotButton="0" quotePrefix="0" xfId="0">
      <alignment horizontal="center"/>
    </xf>
    <xf numFmtId="0" fontId="23" fillId="0" borderId="19" applyAlignment="1" pivotButton="0" quotePrefix="0" xfId="0">
      <alignment horizontal="center"/>
    </xf>
    <xf numFmtId="0" fontId="23" fillId="0" borderId="0" applyAlignment="1" pivotButton="0" quotePrefix="0" xfId="0">
      <alignment horizontal="center"/>
    </xf>
    <xf numFmtId="0" fontId="33" fillId="0" borderId="2" applyAlignment="1" pivotButton="0" quotePrefix="0" xfId="0">
      <alignment horizontal="center"/>
    </xf>
    <xf numFmtId="0" fontId="25" fillId="5" borderId="4" applyAlignment="1" pivotButton="0" quotePrefix="0" xfId="0">
      <alignment horizontal="center"/>
    </xf>
    <xf numFmtId="0" fontId="25" fillId="5" borderId="4" pivotButton="0" quotePrefix="0" xfId="0"/>
    <xf numFmtId="0" fontId="25" fillId="0" borderId="4" applyAlignment="1" pivotButton="0" quotePrefix="0" xfId="0">
      <alignment horizontal="center"/>
    </xf>
    <xf numFmtId="0" fontId="27" fillId="20" borderId="3" pivotButton="0" quotePrefix="0" xfId="0"/>
    <xf numFmtId="1" fontId="27" fillId="15" borderId="2" pivotButton="0" quotePrefix="0" xfId="0"/>
    <xf numFmtId="0" fontId="24" fillId="2" borderId="2" applyAlignment="1" pivotButton="0" quotePrefix="0" xfId="0">
      <alignment horizontal="center" vertical="center" readingOrder="1"/>
    </xf>
    <xf numFmtId="0" fontId="34" fillId="7" borderId="0" applyAlignment="1" pivotButton="0" quotePrefix="0" xfId="0">
      <alignment vertical="center" wrapText="1"/>
    </xf>
    <xf numFmtId="0" fontId="27" fillId="20" borderId="0" pivotButton="0" quotePrefix="0" xfId="0"/>
    <xf numFmtId="3" fontId="27" fillId="15" borderId="2" pivotButton="0" quotePrefix="0" xfId="0"/>
    <xf numFmtId="0" fontId="27" fillId="15" borderId="1" pivotButton="0" quotePrefix="0" xfId="0"/>
    <xf numFmtId="0" fontId="25" fillId="21" borderId="2" applyAlignment="1" pivotButton="0" quotePrefix="0" xfId="0">
      <alignment horizontal="center"/>
    </xf>
    <xf numFmtId="0" fontId="26" fillId="21" borderId="2" applyAlignment="1" pivotButton="0" quotePrefix="0" xfId="0">
      <alignment horizontal="center"/>
    </xf>
    <xf numFmtId="0" fontId="25" fillId="21" borderId="23" applyAlignment="1" pivotButton="0" quotePrefix="0" xfId="0">
      <alignment horizontal="center"/>
    </xf>
    <xf numFmtId="0" fontId="27" fillId="15" borderId="24" pivotButton="0" quotePrefix="0" xfId="0"/>
    <xf numFmtId="0" fontId="24" fillId="0" borderId="2" applyAlignment="1" pivotButton="0" quotePrefix="0" xfId="0">
      <alignment horizontal="center"/>
    </xf>
    <xf numFmtId="0" fontId="0" fillId="0" borderId="0" applyAlignment="1" pivotButton="0" quotePrefix="0" xfId="0">
      <alignment vertical="center" wrapText="1"/>
    </xf>
    <xf numFmtId="0" fontId="24" fillId="15" borderId="2" applyAlignment="1" pivotButton="0" quotePrefix="0" xfId="0">
      <alignment horizontal="left" vertical="center" readingOrder="1"/>
    </xf>
    <xf numFmtId="0" fontId="0" fillId="15" borderId="2" pivotButton="0" quotePrefix="0" xfId="0"/>
    <xf numFmtId="0" fontId="35" fillId="17" borderId="2" applyAlignment="1" pivotButton="0" quotePrefix="0" xfId="0">
      <alignment horizontal="center"/>
    </xf>
    <xf numFmtId="0" fontId="23" fillId="0" borderId="2" applyAlignment="1" pivotButton="0" quotePrefix="0" xfId="0">
      <alignment readingOrder="1"/>
    </xf>
    <xf numFmtId="0" fontId="23" fillId="0" borderId="2" applyAlignment="1" pivotButton="0" quotePrefix="0" xfId="0">
      <alignment horizontal="left" vertical="center" wrapText="1" indent="1"/>
    </xf>
    <xf numFmtId="0" fontId="18" fillId="15" borderId="2" applyAlignment="1" pivotButton="0" quotePrefix="0" xfId="0">
      <alignment horizontal="left" vertical="center" readingOrder="1"/>
    </xf>
    <xf numFmtId="0" fontId="20" fillId="0" borderId="2" pivotButton="0" quotePrefix="0" xfId="0"/>
    <xf numFmtId="0" fontId="0" fillId="0" borderId="1" applyAlignment="1" pivotButton="0" quotePrefix="0" xfId="0">
      <alignment horizontal="left" wrapText="1"/>
    </xf>
    <xf numFmtId="0" fontId="36" fillId="0" borderId="2" applyAlignment="1" pivotButton="0" quotePrefix="0" xfId="0">
      <alignment horizontal="left" wrapText="1"/>
    </xf>
    <xf numFmtId="0" fontId="37" fillId="7" borderId="30" applyAlignment="1" pivotButton="0" quotePrefix="0" xfId="0">
      <alignment horizontal="left" vertical="center" wrapText="1" indent="1"/>
    </xf>
    <xf numFmtId="0" fontId="28" fillId="22" borderId="2" applyAlignment="1" pivotButton="0" quotePrefix="0" xfId="0">
      <alignment wrapText="1"/>
    </xf>
    <xf numFmtId="0" fontId="20" fillId="2" borderId="2" pivotButton="0" quotePrefix="0" xfId="0"/>
    <xf numFmtId="0" fontId="20" fillId="20" borderId="2" pivotButton="0" quotePrefix="0" xfId="0"/>
    <xf numFmtId="0" fontId="20" fillId="20" borderId="2" applyAlignment="1" pivotButton="0" quotePrefix="0" xfId="0">
      <alignment wrapText="1"/>
    </xf>
    <xf numFmtId="0" fontId="38" fillId="20" borderId="2" applyAlignment="1" pivotButton="0" quotePrefix="0" xfId="0">
      <alignment wrapText="1"/>
    </xf>
    <xf numFmtId="14" fontId="15" fillId="0" borderId="0" pivotButton="0" quotePrefix="0" xfId="0"/>
    <xf numFmtId="0" fontId="0" fillId="0" borderId="2" pivotButton="0" quotePrefix="0" xfId="0"/>
    <xf numFmtId="0" fontId="39" fillId="0" borderId="2" pivotButton="0" quotePrefix="0" xfId="0"/>
    <xf numFmtId="1" fontId="15" fillId="0" borderId="0" pivotButton="0" quotePrefix="0" xfId="0"/>
    <xf numFmtId="1" fontId="27" fillId="4" borderId="2" pivotButton="0" quotePrefix="0" xfId="0"/>
    <xf numFmtId="0" fontId="27" fillId="4" borderId="2" pivotButton="0" quotePrefix="0" xfId="0"/>
    <xf numFmtId="0" fontId="16" fillId="4" borderId="0" pivotButton="0" quotePrefix="0" xfId="0"/>
    <xf numFmtId="0" fontId="0" fillId="4" borderId="2" applyAlignment="1" pivotButton="0" quotePrefix="0" xfId="0">
      <alignment vertical="center" wrapText="1"/>
    </xf>
    <xf numFmtId="0" fontId="0" fillId="15" borderId="0" pivotButton="0" quotePrefix="0" xfId="0"/>
    <xf numFmtId="0" fontId="16" fillId="15" borderId="0" pivotButton="0" quotePrefix="0" xfId="0"/>
    <xf numFmtId="0" fontId="0" fillId="4" borderId="2" pivotButton="0" quotePrefix="0" xfId="0"/>
    <xf numFmtId="0" fontId="0" fillId="0" borderId="2" applyAlignment="1" pivotButton="0" quotePrefix="0" xfId="0">
      <alignment wrapText="1"/>
    </xf>
    <xf numFmtId="0" fontId="37" fillId="7" borderId="2" applyAlignment="1" pivotButton="0" quotePrefix="0" xfId="0">
      <alignment vertical="center" wrapText="1"/>
    </xf>
    <xf numFmtId="0" fontId="37" fillId="7" borderId="2" applyAlignment="1" pivotButton="0" quotePrefix="0" xfId="0">
      <alignment horizontal="left" vertical="center" wrapText="1" indent="1"/>
    </xf>
    <xf numFmtId="0" fontId="0" fillId="15" borderId="0" applyAlignment="1" pivotButton="0" quotePrefix="0" xfId="0">
      <alignment wrapText="1"/>
    </xf>
    <xf numFmtId="0" fontId="34" fillId="15" borderId="0" applyAlignment="1" pivotButton="0" quotePrefix="0" xfId="0">
      <alignment vertical="center" wrapText="1"/>
    </xf>
    <xf numFmtId="3" fontId="23" fillId="0" borderId="2" applyAlignment="1" pivotButton="0" quotePrefix="0" xfId="0">
      <alignment readingOrder="1"/>
    </xf>
    <xf numFmtId="0" fontId="37" fillId="7" borderId="2" applyAlignment="1" pivotButton="0" quotePrefix="0" xfId="0">
      <alignment horizontal="left" vertical="center" wrapText="1"/>
    </xf>
    <xf numFmtId="0" fontId="34" fillId="7" borderId="2" applyAlignment="1" pivotButton="0" quotePrefix="0" xfId="0">
      <alignment vertical="center" wrapText="1"/>
    </xf>
    <xf numFmtId="0" fontId="25" fillId="0" borderId="7" applyAlignment="1" pivotButton="0" quotePrefix="0" xfId="0">
      <alignment horizontal="center"/>
    </xf>
    <xf numFmtId="0" fontId="25" fillId="0" borderId="8" applyAlignment="1" pivotButton="0" quotePrefix="0" xfId="0">
      <alignment horizontal="center"/>
    </xf>
    <xf numFmtId="0" fontId="25" fillId="0" borderId="9" applyAlignment="1" pivotButton="0" quotePrefix="0" xfId="0">
      <alignment horizontal="center"/>
    </xf>
    <xf numFmtId="0" fontId="25" fillId="12" borderId="2" applyAlignment="1" pivotButton="0" quotePrefix="0" xfId="0">
      <alignment horizontal="center"/>
    </xf>
    <xf numFmtId="0" fontId="25" fillId="10" borderId="5" applyAlignment="1" pivotButton="0" quotePrefix="0" xfId="0">
      <alignment horizontal="center"/>
    </xf>
    <xf numFmtId="0" fontId="25" fillId="10" borderId="6" applyAlignment="1" pivotButton="0" quotePrefix="0" xfId="0">
      <alignment horizontal="center"/>
    </xf>
    <xf numFmtId="0" fontId="25" fillId="10" borderId="3" applyAlignment="1" pivotButton="0" quotePrefix="0" xfId="0">
      <alignment horizontal="center"/>
    </xf>
    <xf numFmtId="0" fontId="25" fillId="10" borderId="2" applyAlignment="1" pivotButton="0" quotePrefix="0" xfId="0">
      <alignment horizontal="center"/>
    </xf>
    <xf numFmtId="0" fontId="26" fillId="0" borderId="0" applyAlignment="1" pivotButton="0" quotePrefix="0" xfId="0">
      <alignment horizontal="left" wrapText="1"/>
    </xf>
    <xf numFmtId="0" fontId="26" fillId="0" borderId="0" applyAlignment="1" pivotButton="0" quotePrefix="0" xfId="0">
      <alignment horizontal="left"/>
    </xf>
    <xf numFmtId="0" fontId="25" fillId="11" borderId="2" applyAlignment="1" pivotButton="0" quotePrefix="0" xfId="0">
      <alignment horizontal="center"/>
    </xf>
    <xf numFmtId="0" fontId="25" fillId="11" borderId="5" applyAlignment="1" pivotButton="0" quotePrefix="0" xfId="0">
      <alignment horizontal="center"/>
    </xf>
    <xf numFmtId="0" fontId="25" fillId="11" borderId="6" applyAlignment="1" pivotButton="0" quotePrefix="0" xfId="0">
      <alignment horizontal="center"/>
    </xf>
    <xf numFmtId="0" fontId="25" fillId="11" borderId="3" applyAlignment="1" pivotButton="0" quotePrefix="0" xfId="0">
      <alignment horizontal="center"/>
    </xf>
    <xf numFmtId="0" fontId="25" fillId="10" borderId="20" applyAlignment="1" pivotButton="0" quotePrefix="0" xfId="0">
      <alignment horizontal="center"/>
    </xf>
    <xf numFmtId="0" fontId="25" fillId="10" borderId="21" applyAlignment="1" pivotButton="0" quotePrefix="0" xfId="0">
      <alignment horizontal="center"/>
    </xf>
    <xf numFmtId="0" fontId="31" fillId="13" borderId="7" applyAlignment="1" pivotButton="0" quotePrefix="0" xfId="0">
      <alignment horizontal="center" wrapText="1"/>
    </xf>
    <xf numFmtId="0" fontId="31" fillId="13" borderId="8" applyAlignment="1" pivotButton="0" quotePrefix="0" xfId="0">
      <alignment horizontal="center" wrapText="1"/>
    </xf>
    <xf numFmtId="0" fontId="31" fillId="13" borderId="9" applyAlignment="1" pivotButton="0" quotePrefix="0" xfId="0">
      <alignment horizontal="center" wrapText="1"/>
    </xf>
    <xf numFmtId="0" fontId="23" fillId="0" borderId="13" applyAlignment="1" pivotButton="0" quotePrefix="0" xfId="0">
      <alignment horizontal="center"/>
    </xf>
    <xf numFmtId="0" fontId="23" fillId="0" borderId="14" applyAlignment="1" pivotButton="0" quotePrefix="0" xfId="0">
      <alignment horizontal="center"/>
    </xf>
    <xf numFmtId="0" fontId="23" fillId="0" borderId="15" applyAlignment="1" pivotButton="0" quotePrefix="0" xfId="0">
      <alignment horizontal="center"/>
    </xf>
    <xf numFmtId="0" fontId="23" fillId="14" borderId="10" applyAlignment="1" pivotButton="0" quotePrefix="0" xfId="0">
      <alignment horizontal="center" vertical="center"/>
    </xf>
    <xf numFmtId="0" fontId="23" fillId="14" borderId="11" applyAlignment="1" pivotButton="0" quotePrefix="0" xfId="0">
      <alignment horizontal="center" vertical="center"/>
    </xf>
    <xf numFmtId="0" fontId="23" fillId="14" borderId="12" applyAlignment="1" pivotButton="0" quotePrefix="0" xfId="0">
      <alignment horizontal="center" vertical="center"/>
    </xf>
    <xf numFmtId="0" fontId="25" fillId="21" borderId="2" applyAlignment="1" pivotButton="0" quotePrefix="0" xfId="0">
      <alignment horizontal="center"/>
    </xf>
    <xf numFmtId="0" fontId="25" fillId="11" borderId="20" applyAlignment="1" pivotButton="0" quotePrefix="0" xfId="0">
      <alignment horizontal="center"/>
    </xf>
    <xf numFmtId="0" fontId="25" fillId="11" borderId="21" applyAlignment="1" pivotButton="0" quotePrefix="0" xfId="0">
      <alignment horizontal="center"/>
    </xf>
    <xf numFmtId="0" fontId="6" fillId="0" borderId="0" applyAlignment="1" pivotButton="0" quotePrefix="0" xfId="0">
      <alignment horizontal="right" vertical="center" indent="1" readingOrder="1"/>
    </xf>
    <xf numFmtId="0" fontId="6" fillId="0" borderId="0" applyAlignment="1" pivotButton="0" quotePrefix="0" xfId="0">
      <alignment horizontal="right" indent="1"/>
    </xf>
    <xf numFmtId="0" fontId="0" fillId="0" borderId="23" applyAlignment="1" pivotButton="0" quotePrefix="0" xfId="0">
      <alignment vertical="center" textRotation="90"/>
    </xf>
    <xf numFmtId="0" fontId="0" fillId="0" borderId="28" applyAlignment="1" pivotButton="0" quotePrefix="0" xfId="0">
      <alignment vertical="center" textRotation="90"/>
    </xf>
    <xf numFmtId="0" fontId="0" fillId="0" borderId="4" applyAlignment="1" pivotButton="0" quotePrefix="0" xfId="0">
      <alignment vertical="center" textRotation="90"/>
    </xf>
    <xf numFmtId="0" fontId="0" fillId="18" borderId="23" applyAlignment="1" pivotButton="0" quotePrefix="0" xfId="0">
      <alignment horizontal="center"/>
    </xf>
    <xf numFmtId="0" fontId="0" fillId="18" borderId="4" applyAlignment="1" pivotButton="0" quotePrefix="0" xfId="0">
      <alignment horizontal="center"/>
    </xf>
    <xf numFmtId="0" fontId="0" fillId="19" borderId="23" applyAlignment="1" pivotButton="0" quotePrefix="0" xfId="0">
      <alignment horizontal="center"/>
    </xf>
    <xf numFmtId="0" fontId="0" fillId="19" borderId="4" applyAlignment="1" pivotButton="0" quotePrefix="0" xfId="0">
      <alignment horizontal="center"/>
    </xf>
    <xf numFmtId="0" fontId="0" fillId="0" borderId="6" pivotButton="0" quotePrefix="0" xfId="0"/>
    <xf numFmtId="0" fontId="0" fillId="0" borderId="3" pivotButton="0" quotePrefix="0" xfId="0"/>
    <xf numFmtId="0" fontId="25" fillId="10" borderId="4" applyAlignment="1" pivotButton="0" quotePrefix="0" xfId="0">
      <alignment horizontal="center"/>
    </xf>
    <xf numFmtId="0" fontId="0" fillId="0" borderId="21" pivotButton="0" quotePrefix="0" xfId="0"/>
    <xf numFmtId="0" fontId="0" fillId="0" borderId="22" pivotButton="0" quotePrefix="0" xfId="0"/>
    <xf numFmtId="0" fontId="25" fillId="11" borderId="4" applyAlignment="1" pivotButton="0" quotePrefix="0" xfId="0">
      <alignment horizontal="center"/>
    </xf>
    <xf numFmtId="0" fontId="23" fillId="14" borderId="38"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36" pivotButton="0" quotePrefix="0" xfId="0"/>
    <xf numFmtId="0" fontId="0" fillId="0" borderId="17" pivotButton="0" quotePrefix="0" xfId="0"/>
    <xf numFmtId="0" fontId="0" fillId="0" borderId="37" pivotButton="0" quotePrefix="0" xfId="0"/>
    <xf numFmtId="0" fontId="0" fillId="0" borderId="2" applyAlignment="1" pivotButton="0" quotePrefix="0" xfId="0">
      <alignment vertical="center" textRotation="90"/>
    </xf>
    <xf numFmtId="0" fontId="0" fillId="0" borderId="28" pivotButton="0" quotePrefix="0" xfId="0"/>
    <xf numFmtId="0" fontId="0" fillId="19" borderId="2" applyAlignment="1" pivotButton="0" quotePrefix="0" xfId="0">
      <alignment horizontal="center"/>
    </xf>
    <xf numFmtId="0" fontId="0" fillId="0" borderId="4" pivotButton="0" quotePrefix="0" xfId="0"/>
    <xf numFmtId="0" fontId="0" fillId="18" borderId="2" applyAlignment="1" pivotButton="0" quotePrefix="0" xfId="0">
      <alignment horizontal="center"/>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23</row>
      <rowOff>19050</rowOff>
    </from>
    <to>
      <col>15</col>
      <colOff>514350</colOff>
      <row>26</row>
      <rowOff>76200</rowOff>
    </to>
    <pic>
      <nvPicPr>
        <cNvPr id="2" name="Picture 1"/>
        <cNvPicPr>
          <a:picLocks noChangeAspect="1"/>
        </cNvPicPr>
      </nvPicPr>
      <blipFill>
        <a:blip r:embed="rId1"/>
        <a:stretch>
          <a:fillRect/>
        </a:stretch>
      </blipFill>
      <spPr>
        <a:xfrm>
          <a:off x="0" y="4400550"/>
          <a:ext cx="13115925" cy="6286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8</col>
      <colOff>209550</colOff>
      <row>96</row>
      <rowOff>38100</rowOff>
    </from>
    <to>
      <col>15</col>
      <colOff>38101</colOff>
      <row>99</row>
      <rowOff>15240</rowOff>
    </to>
    <pic>
      <nvPicPr>
        <cNvPr id="2" name="Picture 1"/>
        <cNvPicPr>
          <a:picLocks noChangeAspect="1"/>
        </cNvPicPr>
      </nvPicPr>
      <blipFill>
        <a:blip r:embed="rId1"/>
        <a:stretch>
          <a:fillRect/>
        </a:stretch>
      </blipFill>
      <spPr>
        <a:xfrm>
          <a:off x="24231600" y="21174075"/>
          <a:ext cx="4572000" cy="514350"/>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D30" sqref="D30"/>
    </sheetView>
  </sheetViews>
  <sheetFormatPr baseColWidth="8" defaultRowHeight="14.4"/>
  <cols>
    <col width="28" bestFit="1" customWidth="1" min="1" max="1"/>
    <col width="12" bestFit="1" customWidth="1" min="2" max="2"/>
    <col width="11.44140625" bestFit="1" customWidth="1" min="3" max="4"/>
    <col width="12.6640625" bestFit="1" customWidth="1" min="5" max="5"/>
    <col width="11.33203125" customWidth="1" min="6" max="6"/>
    <col width="16" bestFit="1" customWidth="1" min="7" max="7"/>
    <col width="12" bestFit="1" customWidth="1" min="8" max="8"/>
    <col width="10.5546875" customWidth="1" min="9" max="9"/>
    <col width="16" bestFit="1" customWidth="1" min="10" max="10"/>
    <col width="11" bestFit="1" customWidth="1" min="11" max="11"/>
  </cols>
  <sheetData>
    <row r="1">
      <c r="A1" s="35" t="inlineStr">
        <is>
          <t>Item</t>
        </is>
      </c>
      <c r="B1" s="35" t="inlineStr">
        <is>
          <t>Cost</t>
        </is>
      </c>
      <c r="C1" s="35" t="inlineStr">
        <is>
          <t>CPU Rebate</t>
        </is>
      </c>
      <c r="D1" s="35" t="inlineStr">
        <is>
          <t>GPU Rebate</t>
        </is>
      </c>
      <c r="E1" s="35" t="inlineStr">
        <is>
          <t>Cost - Rebate</t>
        </is>
      </c>
      <c r="F1" s="35" t="inlineStr">
        <is>
          <t>QTY</t>
        </is>
      </c>
      <c r="G1" s="35" t="inlineStr">
        <is>
          <t>Total Cost</t>
        </is>
      </c>
      <c r="H1" s="35" t="inlineStr">
        <is>
          <t>Price</t>
        </is>
      </c>
      <c r="I1" s="35" t="inlineStr">
        <is>
          <t xml:space="preserve">Margin </t>
        </is>
      </c>
      <c r="J1" s="35" t="inlineStr">
        <is>
          <t>Total Price</t>
        </is>
      </c>
      <c r="K1" s="35" t="inlineStr">
        <is>
          <t>Comments</t>
        </is>
      </c>
    </row>
    <row r="2">
      <c r="A2" s="36" t="inlineStr">
        <is>
          <t>XE9785L MI355x w/3y PS1 CSP</t>
        </is>
      </c>
      <c r="B2" s="37">
        <f>'GOAL Export'!G9</f>
        <v/>
      </c>
      <c r="C2" s="37">
        <f>2430*2</f>
        <v/>
      </c>
      <c r="D2" s="37" t="n">
        <v>8600</v>
      </c>
      <c r="E2" s="37">
        <f>B2-C2-D2</f>
        <v/>
      </c>
      <c r="F2" s="36" t="n">
        <v>1664</v>
      </c>
      <c r="G2" s="37">
        <f>F2*E2</f>
        <v/>
      </c>
      <c r="H2" s="37" t="n">
        <v>267000</v>
      </c>
      <c r="I2" s="38">
        <f>(H2-E2)/H2</f>
        <v/>
      </c>
      <c r="J2" s="37">
        <f>H2*F2</f>
        <v/>
      </c>
      <c r="K2" s="36" t="n"/>
    </row>
    <row r="3"/>
    <row r="4"/>
    <row r="5"/>
    <row r="6"/>
    <row r="7"/>
    <row r="8"/>
    <row r="9"/>
    <row r="10"/>
    <row r="11"/>
    <row r="12"/>
    <row r="13"/>
    <row r="14"/>
    <row r="15"/>
    <row r="16"/>
    <row r="17"/>
    <row r="18"/>
    <row r="19"/>
    <row r="20"/>
    <row r="21"/>
    <row r="22"/>
    <row r="23">
      <c r="A23" s="39" t="inlineStr">
        <is>
          <t>Previously Approved P&amp;L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9"/>
  <sheetViews>
    <sheetView workbookViewId="0">
      <selection activeCell="B24" sqref="B24"/>
    </sheetView>
  </sheetViews>
  <sheetFormatPr baseColWidth="8" defaultRowHeight="14.4"/>
  <cols>
    <col width="19.5546875" bestFit="1" customWidth="1" min="1" max="1"/>
    <col width="75.109375" bestFit="1" customWidth="1" min="2" max="2"/>
    <col width="21.44140625" bestFit="1" customWidth="1" min="4" max="4"/>
    <col width="25.109375" bestFit="1" customWidth="1" min="5" max="5"/>
    <col width="10.44140625" bestFit="1" customWidth="1" min="7" max="7"/>
  </cols>
  <sheetData>
    <row r="1" ht="15.6" customHeight="1">
      <c r="A1" s="30" t="inlineStr">
        <is>
          <t>Quote #</t>
        </is>
      </c>
      <c r="B1" s="31" t="inlineStr">
        <is>
          <t>Config Description</t>
        </is>
      </c>
      <c r="C1" s="31" t="inlineStr">
        <is>
          <t>Total Units</t>
        </is>
      </c>
      <c r="D1" s="31" t="inlineStr">
        <is>
          <t>Total Selling Price</t>
        </is>
      </c>
      <c r="E1" s="31" t="inlineStr">
        <is>
          <t>Total Config Revenue</t>
        </is>
      </c>
      <c r="F1" s="31" t="inlineStr">
        <is>
          <t>Current Margin %</t>
        </is>
      </c>
      <c r="G1" s="31" t="inlineStr">
        <is>
          <t>Cost</t>
        </is>
      </c>
    </row>
    <row r="2">
      <c r="A2" s="32" t="inlineStr">
        <is>
          <t>US-3000193615450/1</t>
        </is>
      </c>
      <c r="B2" s="32" t="inlineStr">
        <is>
          <t>PowerSwitch Z9864F, 64x800GbE OSFP112, SONiC, (no Fans/PSU)</t>
        </is>
      </c>
      <c r="C2" s="32" t="n">
        <v>634</v>
      </c>
      <c r="D2" s="33">
        <f>G2/0.8</f>
        <v/>
      </c>
      <c r="E2" s="33">
        <f>D2*C2</f>
        <v/>
      </c>
      <c r="F2" s="34">
        <f>(D2-G2)/D2</f>
        <v/>
      </c>
      <c r="G2" s="33" t="n">
        <v>25679.448</v>
      </c>
    </row>
    <row r="3">
      <c r="A3" s="32" t="inlineStr">
        <is>
          <t>US-3000193615450/1</t>
        </is>
      </c>
      <c r="B3" s="32" t="inlineStr">
        <is>
          <t>PowerSwitch Z9432F-ON, 32 x 400GbE QSFP56-DD ports, IO to PSU air, 2x AC PSU</t>
        </is>
      </c>
      <c r="C3" s="32" t="n">
        <v>2</v>
      </c>
      <c r="D3" s="33">
        <f>G3/0.8</f>
        <v/>
      </c>
      <c r="E3" s="33">
        <f>D3*C3</f>
        <v/>
      </c>
      <c r="F3" s="34">
        <f>(D3-G3)/D3</f>
        <v/>
      </c>
      <c r="G3" s="33" t="n">
        <v>13527.085</v>
      </c>
    </row>
    <row r="4">
      <c r="A4" s="32" t="inlineStr">
        <is>
          <t>US-3000193615450/1</t>
        </is>
      </c>
      <c r="B4" s="32" t="inlineStr">
        <is>
          <t>PowerSwitch S3248T-ON, 48x1G, 4x10G SFP+, 2x100G QSFP28, 1xAC PSU, IO/PSU</t>
        </is>
      </c>
      <c r="C4" s="32" t="n">
        <v>79</v>
      </c>
      <c r="D4" s="33">
        <f>G4/0.8</f>
        <v/>
      </c>
      <c r="E4" s="33">
        <f>D4*C4</f>
        <v/>
      </c>
      <c r="F4" s="34">
        <f>(D4-G4)/D4</f>
        <v/>
      </c>
      <c r="G4" s="33" t="n">
        <v>2373.9575</v>
      </c>
    </row>
    <row r="5">
      <c r="A5" s="32" t="inlineStr">
        <is>
          <t>US-3000193615450/1</t>
        </is>
      </c>
      <c r="B5" s="32" t="inlineStr">
        <is>
          <t>PowerSwitch Z9864F, 64x800GbE OSFP112, SONiC, (no Fans/PSU)</t>
        </is>
      </c>
      <c r="C5" s="32" t="n">
        <v>208</v>
      </c>
      <c r="D5" s="33">
        <f>G5/0.8</f>
        <v/>
      </c>
      <c r="E5" s="33">
        <f>D5*C5</f>
        <v/>
      </c>
      <c r="F5" s="34">
        <f>(D5-G5)/D5</f>
        <v/>
      </c>
      <c r="G5" s="33" t="n">
        <v>28719.888</v>
      </c>
    </row>
    <row r="6">
      <c r="A6" s="32" t="inlineStr">
        <is>
          <t>US-3000193613873/1</t>
        </is>
      </c>
      <c r="B6" s="32" t="inlineStr">
        <is>
          <t>PowerSwitch Z9864F, 64x800GbE OSFP112, SONiC, (no Fans/PSU)</t>
        </is>
      </c>
      <c r="C6" s="32" t="n">
        <v>840</v>
      </c>
      <c r="D6" s="33">
        <f>G6/0.8</f>
        <v/>
      </c>
      <c r="E6" s="33">
        <f>D6*C6</f>
        <v/>
      </c>
      <c r="F6" s="34">
        <f>(D6-G6)/D6</f>
        <v/>
      </c>
      <c r="G6" s="33" t="n">
        <v>28515.278</v>
      </c>
    </row>
    <row r="7">
      <c r="A7" s="32" t="inlineStr">
        <is>
          <t>US-3000193613873/1</t>
        </is>
      </c>
      <c r="B7" s="32" t="inlineStr">
        <is>
          <t>PowerSwitch Z9432F-ON, 32 x 400GbE QSFP56-DD ports, IO to PSU air, 2x AC PSU</t>
        </is>
      </c>
      <c r="C7" s="32" t="n">
        <v>2</v>
      </c>
      <c r="D7" s="33">
        <f>G7/0.8</f>
        <v/>
      </c>
      <c r="E7" s="33">
        <f>D7*C7</f>
        <v/>
      </c>
      <c r="F7" s="34">
        <f>(D7-G7)/D7</f>
        <v/>
      </c>
      <c r="G7" s="33" t="n">
        <v>13798.715</v>
      </c>
    </row>
    <row r="8">
      <c r="A8" s="32" t="inlineStr">
        <is>
          <t>US-3000193613873/1</t>
        </is>
      </c>
      <c r="B8" s="32" t="inlineStr">
        <is>
          <t>PowerSwitch S3248T-ON, 48x1G, 4x10G SFP+, 2x100G QSFP28, 1xAC PSU, IO/PSU</t>
        </is>
      </c>
      <c r="C8" s="32" t="n">
        <v>79</v>
      </c>
      <c r="D8" s="33">
        <f>G8/0.8</f>
        <v/>
      </c>
      <c r="E8" s="33">
        <f>D8*C8</f>
        <v/>
      </c>
      <c r="F8" s="34">
        <f>(D8-G8)/D8</f>
        <v/>
      </c>
      <c r="G8" s="33" t="n">
        <v>2981.9175</v>
      </c>
    </row>
    <row r="9">
      <c r="A9" s="32" t="inlineStr">
        <is>
          <t>US-3000193613766/1</t>
        </is>
      </c>
      <c r="B9" s="32" t="inlineStr">
        <is>
          <t>PowerEdge XE9785L</t>
        </is>
      </c>
      <c r="C9" s="32" t="n">
        <v>1664</v>
      </c>
      <c r="D9" s="33" t="n">
        <v>267000</v>
      </c>
      <c r="E9" s="33">
        <f>D9*C9</f>
        <v/>
      </c>
      <c r="F9" s="34">
        <f>(D9-G9)/D9</f>
        <v/>
      </c>
      <c r="G9" s="33" t="n">
        <v>285251.93</v>
      </c>
    </row>
  </sheetData>
  <pageMargins left="0.7" right="0.7" top="0.75" bottom="0.75" header="0.3" footer="0.3"/>
</worksheet>
</file>

<file path=xl/worksheets/sheet3.xml><?xml version="1.0" encoding="utf-8"?>
<worksheet xmlns="http://schemas.openxmlformats.org/spreadsheetml/2006/main">
  <sheetPr>
    <tabColor theme="0" tint="-0.249977111117893"/>
    <outlinePr summaryBelow="1" summaryRight="1"/>
    <pageSetUpPr/>
  </sheetPr>
  <dimension ref="A1:F49"/>
  <sheetViews>
    <sheetView zoomScale="110" zoomScaleNormal="110" workbookViewId="0">
      <selection activeCell="A1" sqref="A1:C1"/>
    </sheetView>
  </sheetViews>
  <sheetFormatPr baseColWidth="8" defaultColWidth="9.109375" defaultRowHeight="13.8"/>
  <cols>
    <col width="12.109375" customWidth="1" style="5" min="1" max="1"/>
    <col width="12" customWidth="1" style="8" min="2" max="2"/>
    <col width="12" customWidth="1" style="5" min="3" max="3"/>
    <col width="30.6640625" customWidth="1" style="9" min="4" max="5"/>
    <col width="193" customWidth="1" style="5" min="6" max="6"/>
    <col width="9.109375" customWidth="1" style="5" min="7" max="16384"/>
  </cols>
  <sheetData>
    <row r="1" ht="17.4" customFormat="1" customHeight="1" s="11">
      <c r="A1" s="169" t="inlineStr">
        <is>
          <t>Customer (SFDC #)</t>
        </is>
      </c>
      <c r="D1" s="22" t="inlineStr">
        <is>
          <t>(PMO input)</t>
        </is>
      </c>
      <c r="E1" s="20" t="n"/>
    </row>
    <row r="2" ht="17.4" customFormat="1" customHeight="1" s="11">
      <c r="A2" s="169" t="n"/>
      <c r="B2" s="169" t="n"/>
      <c r="C2" s="169" t="inlineStr">
        <is>
          <t>File Name</t>
        </is>
      </c>
      <c r="D2" s="22" t="n"/>
      <c r="E2" s="20" t="n"/>
    </row>
    <row r="3" ht="17.4" customFormat="1" customHeight="1" s="11">
      <c r="A3" s="169" t="inlineStr">
        <is>
          <t>Solution Description</t>
        </is>
      </c>
      <c r="D3" s="23" t="inlineStr">
        <is>
          <t>POD5 - IREN - XE9780 (B200-168), Location: Childress, TX</t>
        </is>
      </c>
      <c r="E3" s="20" t="n"/>
    </row>
    <row r="4" ht="17.4" customFormat="1" customHeight="1" s="11">
      <c r="A4" s="169" t="n"/>
      <c r="B4" s="169" t="n"/>
      <c r="C4" s="169" t="inlineStr">
        <is>
          <t>GOAL ID</t>
        </is>
      </c>
      <c r="D4" s="22" t="inlineStr">
        <is>
          <t>(Sales input)</t>
        </is>
      </c>
      <c r="E4" s="20" t="n"/>
    </row>
    <row r="5" ht="17.4" customFormat="1" customHeight="1" s="11">
      <c r="A5" s="170" t="inlineStr">
        <is>
          <t>AI Design Team</t>
        </is>
      </c>
      <c r="D5" s="21" t="n"/>
      <c r="E5" s="20" t="n"/>
    </row>
    <row r="6" ht="17.4" customFormat="1" customHeight="1" s="11">
      <c r="A6" s="170" t="n"/>
      <c r="B6" s="170" t="n"/>
      <c r="C6" s="170" t="inlineStr">
        <is>
          <t>PMO Team</t>
        </is>
      </c>
      <c r="D6" s="21" t="n"/>
      <c r="E6" s="20" t="n"/>
    </row>
    <row r="7" ht="17.4" customFormat="1" customHeight="1" s="11">
      <c r="A7" s="170" t="n"/>
      <c r="B7" s="170" t="n"/>
      <c r="C7" s="170" t="inlineStr">
        <is>
          <t>AE/TSR Team</t>
        </is>
      </c>
      <c r="D7" s="21" t="n"/>
      <c r="E7" s="20" t="n"/>
    </row>
    <row r="8" ht="17.4" customFormat="1" customHeight="1" s="11">
      <c r="A8" s="170" t="n"/>
      <c r="B8" s="170" t="n"/>
      <c r="C8" s="170" t="inlineStr">
        <is>
          <t>RCI/CDG Team</t>
        </is>
      </c>
      <c r="D8" s="21" t="n"/>
      <c r="E8" s="20" t="n"/>
    </row>
    <row r="9" ht="17.4" customFormat="1" customHeight="1" s="11">
      <c r="A9" s="170" t="n"/>
      <c r="B9" s="170" t="n"/>
      <c r="C9" s="170" t="inlineStr">
        <is>
          <t>Services Team</t>
        </is>
      </c>
      <c r="D9" s="21" t="n"/>
      <c r="E9" s="20" t="n"/>
    </row>
    <row r="10" ht="17.4" customFormat="1" customHeight="1" s="11">
      <c r="A10" s="170" t="n"/>
      <c r="B10" s="170" t="n"/>
      <c r="C10" s="170" t="n"/>
      <c r="D10" s="21" t="n"/>
      <c r="E10" s="20" t="n"/>
    </row>
    <row r="11" ht="15.75" customHeight="1">
      <c r="B11" s="6" t="inlineStr">
        <is>
          <t>Version</t>
        </is>
      </c>
      <c r="C11" s="6" t="inlineStr">
        <is>
          <t>Date</t>
        </is>
      </c>
      <c r="D11" s="6" t="inlineStr">
        <is>
          <t>CTO Pod Owner</t>
        </is>
      </c>
      <c r="E11" s="6" t="inlineStr">
        <is>
          <t>PMO Owner</t>
        </is>
      </c>
      <c r="F11" s="17" t="inlineStr">
        <is>
          <t>Description of Changes</t>
        </is>
      </c>
    </row>
    <row r="12">
      <c r="B12" s="7" t="n">
        <v>1</v>
      </c>
      <c r="C12" s="14" t="n">
        <v>46111</v>
      </c>
      <c r="D12" s="7" t="inlineStr">
        <is>
          <t>POD5</t>
        </is>
      </c>
      <c r="E12" s="7" t="inlineStr">
        <is>
          <t>Cristina</t>
        </is>
      </c>
      <c r="F12" s="13" t="inlineStr">
        <is>
          <t>Initial BOM</t>
        </is>
      </c>
    </row>
    <row r="13">
      <c r="B13" s="7" t="n"/>
      <c r="C13" s="14" t="n"/>
      <c r="D13" s="7" t="n"/>
      <c r="E13" s="7" t="n"/>
      <c r="F13" s="13" t="n"/>
    </row>
    <row r="14">
      <c r="B14" s="7" t="n"/>
      <c r="C14" s="14" t="n"/>
      <c r="D14" s="7" t="n"/>
      <c r="E14" s="7" t="n"/>
      <c r="F14" s="13" t="n"/>
    </row>
    <row r="15">
      <c r="B15" s="7" t="n"/>
      <c r="C15" s="14" t="n"/>
      <c r="D15" s="7" t="n"/>
      <c r="E15" s="7" t="n"/>
      <c r="F15" s="13" t="n"/>
    </row>
    <row r="16">
      <c r="B16" s="7" t="n"/>
      <c r="C16" s="14" t="n"/>
      <c r="D16" s="7" t="n"/>
      <c r="E16" s="7" t="n"/>
      <c r="F16" s="13" t="n"/>
    </row>
    <row r="17">
      <c r="B17" s="7" t="n"/>
      <c r="C17" s="7" t="n"/>
      <c r="D17" s="7" t="n"/>
      <c r="E17" s="7" t="n"/>
      <c r="F17" s="7" t="n"/>
    </row>
    <row r="18">
      <c r="A18" s="9" t="n"/>
      <c r="B18" s="10" t="n"/>
    </row>
    <row r="19">
      <c r="A19" s="9" t="n"/>
      <c r="B19" s="10" t="n"/>
    </row>
    <row r="20">
      <c r="A20" s="9" t="n"/>
      <c r="B20" s="10" t="n"/>
    </row>
    <row r="21" ht="17.4" customHeight="1">
      <c r="A21" s="9" t="n"/>
      <c r="B21" s="16" t="inlineStr">
        <is>
          <t>Partner Design Deviation Approval (if needed)</t>
        </is>
      </c>
    </row>
    <row r="22" ht="15.75" customHeight="1">
      <c r="A22" s="9" t="n"/>
      <c r="B22" s="9" t="n"/>
      <c r="C22" s="6" t="inlineStr">
        <is>
          <t>Date</t>
        </is>
      </c>
      <c r="D22" s="6" t="inlineStr">
        <is>
          <t>Partner Approver</t>
        </is>
      </c>
      <c r="E22" s="6" t="inlineStr">
        <is>
          <t>Dell Approver</t>
        </is>
      </c>
      <c r="F22" s="17" t="inlineStr">
        <is>
          <t>Description of Approval</t>
        </is>
      </c>
    </row>
    <row r="23" ht="15" customHeight="1">
      <c r="A23" s="9" t="n"/>
      <c r="B23" s="9" t="n"/>
      <c r="C23" s="14" t="n"/>
      <c r="D23" s="7" t="n"/>
      <c r="E23" s="7" t="n"/>
      <c r="F23" s="13" t="n"/>
    </row>
    <row r="24">
      <c r="A24" s="9" t="n"/>
      <c r="B24" s="9" t="n"/>
      <c r="C24" s="14" t="n"/>
      <c r="D24" s="7" t="n"/>
      <c r="E24" s="7" t="n"/>
      <c r="F24" s="7" t="n"/>
    </row>
    <row r="25">
      <c r="A25" s="9" t="n"/>
      <c r="B25" s="9" t="n"/>
      <c r="C25" s="14" t="n"/>
      <c r="D25" s="7" t="n"/>
      <c r="E25" s="7" t="n"/>
      <c r="F25" s="7" t="n"/>
    </row>
    <row r="26">
      <c r="A26" s="9" t="n"/>
      <c r="B26" s="9" t="n"/>
      <c r="C26" s="14" t="n"/>
      <c r="D26" s="7" t="n"/>
      <c r="E26" s="7" t="n"/>
      <c r="F26" s="7" t="n"/>
    </row>
    <row r="27">
      <c r="A27" s="9" t="n"/>
      <c r="B27" s="9" t="n"/>
      <c r="C27" s="14" t="n"/>
      <c r="D27" s="7" t="n"/>
      <c r="E27" s="7" t="n"/>
      <c r="F27" s="7" t="n"/>
    </row>
    <row r="28">
      <c r="A28" s="9" t="n"/>
      <c r="B28" s="9" t="n"/>
      <c r="C28" s="7" t="n"/>
      <c r="D28" s="7" t="n"/>
      <c r="E28" s="7" t="n"/>
      <c r="F28" s="7" t="n"/>
    </row>
    <row r="29">
      <c r="A29" s="9" t="n"/>
      <c r="B29" s="10" t="n"/>
    </row>
    <row r="30">
      <c r="A30" s="9" t="n"/>
      <c r="B30" s="10" t="n"/>
    </row>
    <row r="31">
      <c r="A31" s="9" t="n"/>
      <c r="B31" s="10" t="n"/>
    </row>
    <row r="32">
      <c r="A32" s="9" t="n"/>
      <c r="B32" s="19" t="n"/>
    </row>
    <row r="33">
      <c r="A33" s="9" t="n"/>
      <c r="B33" s="19" t="n"/>
    </row>
    <row r="34">
      <c r="A34" s="9" t="n"/>
      <c r="B34" s="19" t="n"/>
    </row>
    <row r="35">
      <c r="A35" s="9" t="n"/>
      <c r="B35" s="19" t="n"/>
    </row>
    <row r="36">
      <c r="A36" s="9" t="n"/>
      <c r="B36" s="19" t="n"/>
    </row>
    <row r="37">
      <c r="A37" s="9" t="n"/>
      <c r="B37" s="18" t="n"/>
    </row>
    <row r="38">
      <c r="A38" s="9" t="n"/>
      <c r="B38" s="18" t="n"/>
    </row>
    <row r="39">
      <c r="B39" s="18" t="n"/>
    </row>
    <row r="40">
      <c r="B40" s="18" t="n"/>
    </row>
    <row r="41">
      <c r="B41" s="18" t="n"/>
    </row>
    <row r="42">
      <c r="B42" s="18" t="n"/>
    </row>
    <row r="43">
      <c r="B43" s="18" t="n"/>
    </row>
    <row r="44">
      <c r="B44" s="18" t="n"/>
    </row>
    <row r="45">
      <c r="B45" s="18" t="n"/>
    </row>
    <row r="46">
      <c r="B46" s="18" t="n"/>
    </row>
    <row r="47">
      <c r="B47" s="18" t="n"/>
    </row>
    <row r="48">
      <c r="B48" s="18" t="n"/>
    </row>
    <row r="49">
      <c r="B49" s="18" t="n"/>
    </row>
  </sheetData>
  <mergeCells count="3">
    <mergeCell ref="A1:C1"/>
    <mergeCell ref="A3:C3"/>
    <mergeCell ref="A5:C5"/>
  </mergeCell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sheetPr>
  <dimension ref="A1:S173"/>
  <sheetViews>
    <sheetView tabSelected="1" topLeftCell="A93" zoomScale="78" zoomScaleNormal="78" workbookViewId="0">
      <selection activeCell="E27" sqref="E27:E32"/>
    </sheetView>
  </sheetViews>
  <sheetFormatPr baseColWidth="8" defaultRowHeight="14.4"/>
  <cols>
    <col width="57.109375" customWidth="1" min="1" max="1"/>
    <col width="9.44140625" bestFit="1" customWidth="1" min="4" max="4"/>
    <col width="44.44140625" customWidth="1" min="5" max="5"/>
    <col width="86.5546875" customWidth="1" min="6" max="6"/>
    <col width="91.88671875" customWidth="1" min="7" max="7"/>
    <col width="76.44140625" bestFit="1" customWidth="1" min="8" max="8"/>
    <col width="10.44140625" bestFit="1" customWidth="1" min="9" max="9"/>
    <col width="15" customWidth="1" min="11" max="11"/>
  </cols>
  <sheetData>
    <row r="1" customFormat="1" s="25">
      <c r="A1" s="59" t="inlineStr">
        <is>
          <t>Item</t>
        </is>
      </c>
      <c r="B1" s="59" t="inlineStr">
        <is>
          <t>Count</t>
        </is>
      </c>
      <c r="C1" s="59" t="inlineStr">
        <is>
          <t>Spares</t>
        </is>
      </c>
      <c r="D1" s="60" t="inlineStr">
        <is>
          <t>Sub-Total</t>
        </is>
      </c>
      <c r="E1" s="59" t="inlineStr">
        <is>
          <t>Model/PN</t>
        </is>
      </c>
      <c r="F1" s="59" t="inlineStr">
        <is>
          <t>Description</t>
        </is>
      </c>
      <c r="G1" s="61" t="inlineStr">
        <is>
          <t>Notes</t>
        </is>
      </c>
      <c r="H1" s="24" t="n"/>
      <c r="I1" s="24" t="n"/>
      <c r="J1" s="24" t="n"/>
      <c r="K1" s="24" t="n"/>
      <c r="L1" s="24" t="n"/>
      <c r="M1" s="24" t="n"/>
      <c r="N1" s="24" t="n"/>
      <c r="O1" s="24" t="n"/>
    </row>
    <row r="2">
      <c r="A2" s="148" t="inlineStr">
        <is>
          <t>E-W Switches</t>
        </is>
      </c>
      <c r="B2" s="178" t="n"/>
      <c r="C2" s="178" t="n"/>
      <c r="D2" s="178" t="n"/>
      <c r="E2" s="178" t="n"/>
      <c r="F2" s="178" t="n"/>
      <c r="G2" s="179" t="n"/>
    </row>
    <row r="3" customFormat="1" s="25">
      <c r="A3" s="59" t="inlineStr">
        <is>
          <t>Item</t>
        </is>
      </c>
      <c r="B3" s="59" t="inlineStr">
        <is>
          <t>Count</t>
        </is>
      </c>
      <c r="C3" s="59" t="inlineStr">
        <is>
          <t>Spares</t>
        </is>
      </c>
      <c r="D3" s="60" t="inlineStr">
        <is>
          <t>Sub-Total</t>
        </is>
      </c>
      <c r="E3" s="59" t="inlineStr">
        <is>
          <t>Model/PN</t>
        </is>
      </c>
      <c r="F3" s="59" t="inlineStr">
        <is>
          <t>Description</t>
        </is>
      </c>
      <c r="G3" s="61" t="inlineStr">
        <is>
          <t>Notes</t>
        </is>
      </c>
      <c r="H3" s="24" t="n"/>
      <c r="I3" s="24" t="n"/>
      <c r="J3" s="24" t="n"/>
      <c r="K3" s="24" t="n"/>
      <c r="L3" s="24" t="n"/>
      <c r="M3" s="24" t="n"/>
      <c r="N3" s="24" t="n"/>
      <c r="O3" s="24" t="n"/>
    </row>
    <row r="4" ht="43.2" customFormat="1" customHeight="1" s="27">
      <c r="A4" s="62" t="inlineStr">
        <is>
          <t>E-W Leaf (exclude E-W Leaf in GPU L11)</t>
        </is>
      </c>
      <c r="B4" s="62" t="n">
        <v>128</v>
      </c>
      <c r="C4" s="62" t="n">
        <v>0</v>
      </c>
      <c r="D4" s="62">
        <f>SUM(B4:C4)</f>
        <v/>
      </c>
      <c r="E4" s="119" t="inlineStr">
        <is>
          <t>920-9N42F-00RI-3C1</t>
        </is>
      </c>
      <c r="F4" s="120" t="inlineStr">
        <is>
          <t>SN5610 Nvidia Spectrum-4 based 800GbE 2U Open Ethernet switch with Cumulus Linux Authentication, 64 OSFP ports and 2 SFP28 ports, 4 AC PSUs, Secure-boot, standard depth, Connector-to-Power Airflow, Tool-less Rail Kit</t>
        </is>
      </c>
      <c r="G4" s="63" t="n"/>
      <c r="H4" s="26" t="n"/>
      <c r="I4" s="26" t="n"/>
      <c r="J4" s="26" t="n"/>
      <c r="K4" s="26" t="n"/>
      <c r="L4" s="26" t="n"/>
      <c r="M4" s="26" t="n"/>
      <c r="N4" s="26" t="n"/>
      <c r="O4" s="26" t="n"/>
    </row>
    <row r="5" ht="24.9" customFormat="1" customHeight="1" s="27">
      <c r="A5" s="62" t="inlineStr">
        <is>
          <t>E-W Spine</t>
        </is>
      </c>
      <c r="B5" s="62" t="n">
        <v>64</v>
      </c>
      <c r="C5" s="62" t="n">
        <v>0</v>
      </c>
      <c r="D5" s="62">
        <f>SUM(B5:C5)</f>
        <v/>
      </c>
      <c r="E5" s="119" t="inlineStr">
        <is>
          <t>920-9N42F-00RI-3C1</t>
        </is>
      </c>
      <c r="F5" s="120" t="inlineStr">
        <is>
          <t>SN5610 Nvidia Spectrum-4 based 800GbE 2U Open Ethernet switch with Cumulus Linux Authentication, 64 OSFP ports and 2 SFP28 ports, 4 AC PSUs, Secure-boot, standard depth, Connector-to-Power Airflow, Tool-less Rail Kit</t>
        </is>
      </c>
      <c r="G5" s="63" t="n"/>
      <c r="H5" s="26" t="n"/>
      <c r="I5" s="26" t="n"/>
      <c r="J5" s="26" t="n"/>
      <c r="K5" s="26" t="n"/>
      <c r="L5" s="26" t="n"/>
      <c r="M5" s="26" t="n"/>
      <c r="N5" s="26" t="n"/>
      <c r="O5" s="26" t="n"/>
    </row>
    <row r="6" customFormat="1" s="27">
      <c r="A6" s="62" t="inlineStr">
        <is>
          <t>E-W Core</t>
        </is>
      </c>
      <c r="B6" s="62" t="n">
        <v>0</v>
      </c>
      <c r="C6" s="62" t="n">
        <v>0</v>
      </c>
      <c r="D6" s="62">
        <f>SUM(B6:C6)</f>
        <v/>
      </c>
      <c r="E6" s="64" t="n"/>
      <c r="F6" s="62" t="n"/>
      <c r="G6" s="63" t="n"/>
      <c r="H6" s="26" t="n"/>
      <c r="I6" s="26" t="n"/>
      <c r="J6" s="26" t="n"/>
      <c r="K6" s="26" t="n"/>
      <c r="L6" s="26" t="n"/>
      <c r="M6" s="26" t="n"/>
      <c r="N6" s="26" t="n"/>
      <c r="O6" s="26" t="n"/>
    </row>
    <row r="7" customFormat="1" s="27">
      <c r="A7" s="62" t="inlineStr">
        <is>
          <t>GPU Racks</t>
        </is>
      </c>
      <c r="B7" s="62" t="n">
        <v>256</v>
      </c>
      <c r="C7" s="62" t="n">
        <v>0</v>
      </c>
      <c r="D7" s="62">
        <f>SUM(B7:C7)</f>
        <v/>
      </c>
      <c r="E7" s="64" t="n"/>
      <c r="F7" s="62" t="inlineStr">
        <is>
          <t>B200 XE9780 : 4x XE9780/Rack : 32 GPU/Rack</t>
        </is>
      </c>
      <c r="G7" s="65" t="n"/>
      <c r="H7" s="26" t="n"/>
      <c r="I7" s="26" t="n"/>
      <c r="J7" s="26" t="n"/>
      <c r="K7" s="26" t="n"/>
      <c r="L7" s="26" t="n"/>
      <c r="M7" s="26" t="n"/>
      <c r="N7" s="26" t="n"/>
      <c r="O7" s="26" t="n"/>
    </row>
    <row r="8" customFormat="1" s="27">
      <c r="A8" s="65" t="n"/>
      <c r="B8" s="65" t="n"/>
      <c r="C8" s="65" t="n"/>
      <c r="D8" s="65" t="n"/>
      <c r="E8" s="119" t="inlineStr">
        <is>
          <t> </t>
        </is>
      </c>
      <c r="F8" s="121" t="inlineStr">
        <is>
          <t> </t>
        </is>
      </c>
      <c r="G8" s="65" t="n"/>
      <c r="H8" s="26" t="n"/>
      <c r="I8" s="26" t="n"/>
      <c r="J8" s="26" t="n"/>
      <c r="K8" s="26" t="n"/>
      <c r="L8" s="26" t="n"/>
      <c r="M8" s="26" t="n"/>
      <c r="N8" s="26" t="n"/>
      <c r="O8" s="26" t="n"/>
    </row>
    <row r="9" customFormat="1" s="27">
      <c r="A9" s="148" t="inlineStr">
        <is>
          <t>N-S Switches</t>
        </is>
      </c>
      <c r="B9" s="178" t="n"/>
      <c r="C9" s="178" t="n"/>
      <c r="D9" s="178" t="n"/>
      <c r="E9" s="178" t="n"/>
      <c r="F9" s="178" t="n"/>
      <c r="G9" s="179" t="n"/>
      <c r="H9" s="26" t="n"/>
      <c r="I9" s="26" t="n"/>
      <c r="J9" s="26" t="n"/>
      <c r="K9" s="26" t="n"/>
      <c r="L9" s="26" t="n"/>
      <c r="M9" s="26" t="n"/>
      <c r="N9" s="26" t="n"/>
      <c r="O9" s="26" t="n"/>
    </row>
    <row r="10" customFormat="1" s="27">
      <c r="A10" s="59" t="inlineStr">
        <is>
          <t>Item</t>
        </is>
      </c>
      <c r="B10" s="59" t="inlineStr">
        <is>
          <t>Count</t>
        </is>
      </c>
      <c r="C10" s="59" t="inlineStr">
        <is>
          <t>Spares</t>
        </is>
      </c>
      <c r="D10" s="66" t="inlineStr">
        <is>
          <t>Sub-Total</t>
        </is>
      </c>
      <c r="E10" s="59" t="inlineStr">
        <is>
          <t>Model/PN</t>
        </is>
      </c>
      <c r="F10" s="59" t="inlineStr">
        <is>
          <t>Description</t>
        </is>
      </c>
      <c r="G10" s="61" t="inlineStr">
        <is>
          <t>Notes</t>
        </is>
      </c>
      <c r="H10" s="26" t="n"/>
      <c r="I10" s="26" t="n"/>
      <c r="J10" s="26" t="n"/>
      <c r="K10" s="26" t="n"/>
      <c r="L10" s="26" t="n"/>
      <c r="M10" s="26" t="n"/>
      <c r="N10" s="26" t="n"/>
      <c r="O10" s="26" t="n"/>
    </row>
    <row r="11" ht="43.2" customFormat="1" customHeight="1" s="27">
      <c r="A11" s="67" t="inlineStr">
        <is>
          <t>N-S Leaf</t>
        </is>
      </c>
      <c r="B11" s="67" t="n">
        <v>32</v>
      </c>
      <c r="C11" s="67" t="n">
        <v>0</v>
      </c>
      <c r="D11" s="67">
        <f>B11+C11</f>
        <v/>
      </c>
      <c r="E11" s="119" t="inlineStr">
        <is>
          <t>920-9N42F-00RI-3C1</t>
        </is>
      </c>
      <c r="F11" s="120" t="inlineStr">
        <is>
          <t>SN5610 Nvidia Spectrum-4 based 800GbE 2U Open Ethernet switch with Cumulus Linux Authentication, 64 OSFP ports and 2 SFP28 ports, 4 AC PSUs, Secure-boot, standard depth, Connector-to-Power Airflow, Tool-less Rail Kit</t>
        </is>
      </c>
      <c r="G11" s="63" t="n"/>
      <c r="H11" s="26" t="n"/>
      <c r="I11" s="26" t="n"/>
      <c r="J11" s="26" t="n"/>
      <c r="K11" s="26" t="n"/>
      <c r="L11" s="26" t="n"/>
      <c r="M11" s="26" t="n"/>
      <c r="N11" s="26" t="n"/>
      <c r="O11" s="26" t="n"/>
    </row>
    <row r="12" ht="43.2" customFormat="1" customHeight="1" s="27">
      <c r="A12" s="67" t="inlineStr">
        <is>
          <t>N-S Spine</t>
        </is>
      </c>
      <c r="B12" s="67" t="n">
        <v>4</v>
      </c>
      <c r="C12" s="67" t="n">
        <v>0</v>
      </c>
      <c r="D12" s="67">
        <f>B12+C12</f>
        <v/>
      </c>
      <c r="E12" s="119" t="inlineStr">
        <is>
          <t>920-9N42F-00RI-3C1</t>
        </is>
      </c>
      <c r="F12" s="120" t="inlineStr">
        <is>
          <t>SN5610 Nvidia Spectrum-4 based 800GbE 2U Open Ethernet switch with Cumulus Linux Authentication, 64 OSFP ports and 2 SFP28 ports, 4 AC PSUs, Secure-boot, standard depth, Connector-to-Power Airflow, Tool-less Rail Kit</t>
        </is>
      </c>
      <c r="G12" s="63" t="n"/>
      <c r="H12" s="26" t="n"/>
      <c r="I12" s="26" t="inlineStr">
        <is>
          <t> </t>
        </is>
      </c>
      <c r="J12" s="26" t="n"/>
      <c r="K12" s="26" t="inlineStr">
        <is>
          <t> </t>
        </is>
      </c>
      <c r="L12" s="26" t="n"/>
      <c r="M12" s="26" t="n"/>
      <c r="N12" s="26" t="n"/>
      <c r="O12" s="26" t="n"/>
      <c r="S12" s="26" t="n"/>
    </row>
    <row r="13" ht="43.2" customFormat="1" customHeight="1" s="27">
      <c r="A13" s="67" t="inlineStr">
        <is>
          <t>Storage Leaf</t>
        </is>
      </c>
      <c r="B13" s="67" t="n">
        <v>4</v>
      </c>
      <c r="C13" s="67" t="n">
        <v>0</v>
      </c>
      <c r="D13" s="67">
        <f>B13+C13</f>
        <v/>
      </c>
      <c r="E13" s="119" t="inlineStr">
        <is>
          <t>920-9N42F-00RI-3C1</t>
        </is>
      </c>
      <c r="F13" s="120" t="inlineStr">
        <is>
          <t>SN5610 Nvidia Spectrum-4 based 800GbE 2U Open Ethernet switch with Cumulus Linux Authentication, 64 OSFP ports and 2 SFP28 ports, 4 AC PSUs, Secure-boot, standard depth, Connector-to-Power Airflow, Tool-less Rail Kit</t>
        </is>
      </c>
      <c r="G13" s="63" t="n"/>
      <c r="H13" s="26" t="n"/>
      <c r="I13" s="26" t="n"/>
      <c r="J13" s="26" t="n"/>
      <c r="K13" s="26" t="n"/>
      <c r="L13" s="26" t="n"/>
      <c r="M13" s="26" t="n"/>
      <c r="N13" s="26" t="n"/>
      <c r="O13" s="26" t="n"/>
      <c r="S13" s="26" t="n"/>
    </row>
    <row r="14" ht="43.2" customFormat="1" customHeight="1" s="27">
      <c r="A14" s="67" t="inlineStr">
        <is>
          <t>Control Leaf</t>
        </is>
      </c>
      <c r="B14" s="67" t="n">
        <v>2</v>
      </c>
      <c r="C14" s="67" t="n">
        <v>0</v>
      </c>
      <c r="D14" s="67">
        <f>B14+C14</f>
        <v/>
      </c>
      <c r="E14" s="119" t="inlineStr">
        <is>
          <t>920-9N42F-00RI-3C1</t>
        </is>
      </c>
      <c r="F14" s="120" t="inlineStr">
        <is>
          <t>SN5610 Nvidia Spectrum-4 based 800GbE 2U Open Ethernet switch with Cumulus Linux Authentication, 64 OSFP ports and 2 SFP28 ports, 4 AC PSUs, Secure-boot, standard depth, Connector-to-Power Airflow, Tool-less Rail Kit</t>
        </is>
      </c>
      <c r="G14" s="63" t="n"/>
      <c r="H14" s="26" t="n"/>
      <c r="I14" s="26" t="n"/>
      <c r="J14" s="26" t="n"/>
      <c r="K14" s="26" t="n"/>
      <c r="L14" s="26" t="n"/>
      <c r="M14" s="26" t="n"/>
      <c r="N14" s="26" t="n"/>
      <c r="O14" s="26" t="n"/>
      <c r="S14" s="26" t="n"/>
    </row>
    <row r="15" ht="43.2" customFormat="1" customHeight="1" s="27">
      <c r="A15" s="67" t="inlineStr">
        <is>
          <t>N-S Core</t>
        </is>
      </c>
      <c r="B15" s="67" t="n">
        <v>0</v>
      </c>
      <c r="C15" s="67" t="n">
        <v>0</v>
      </c>
      <c r="D15" s="67">
        <f>B15+C15</f>
        <v/>
      </c>
      <c r="E15" s="119" t="inlineStr">
        <is>
          <t>920-9N42F-00RI-3C1</t>
        </is>
      </c>
      <c r="F15" s="120" t="inlineStr">
        <is>
          <t>SN5610 Nvidia Spectrum-4 based 800GbE 2U Open Ethernet switch with Cumulus Linux Authentication, 64 OSFP ports and 2 SFP28 ports, 4 AC PSUs, Secure-boot, standard depth, Connector-to-Power Airflow, Tool-less Rail Kit</t>
        </is>
      </c>
      <c r="G15" s="63" t="inlineStr">
        <is>
          <t>ordered as part of Childress B1</t>
        </is>
      </c>
      <c r="H15" s="26" t="inlineStr">
        <is>
          <t>change to 0 not needed as it was built in B200 1-3 building</t>
        </is>
      </c>
      <c r="I15" s="26" t="n"/>
      <c r="J15" s="26" t="n"/>
      <c r="K15" s="26" t="n"/>
      <c r="L15" s="26" t="n"/>
      <c r="M15" s="26" t="n"/>
      <c r="N15" s="26" t="n"/>
      <c r="O15" s="26" t="n"/>
      <c r="S15" s="26" t="n"/>
    </row>
    <row r="16" customFormat="1" s="27">
      <c r="A16" s="67" t="n"/>
      <c r="B16" s="67" t="n"/>
      <c r="C16" s="67" t="n"/>
      <c r="D16" s="67" t="n"/>
      <c r="E16" s="110" t="n"/>
      <c r="F16" s="111" t="n"/>
      <c r="G16" s="63" t="n"/>
      <c r="H16" s="26" t="n"/>
      <c r="I16" s="26" t="n"/>
      <c r="J16" s="26" t="n"/>
      <c r="K16" s="26" t="n"/>
      <c r="L16" s="26" t="n"/>
      <c r="M16" s="26" t="n"/>
      <c r="N16" s="26" t="n"/>
      <c r="O16" s="26" t="n"/>
      <c r="S16" s="26" t="n"/>
    </row>
    <row r="17" customFormat="1" s="26">
      <c r="A17" s="180" t="inlineStr">
        <is>
          <t>OOB Switches</t>
        </is>
      </c>
      <c r="B17" s="181" t="n"/>
      <c r="C17" s="181" t="n"/>
      <c r="D17" s="181" t="n"/>
      <c r="E17" s="181" t="n"/>
      <c r="F17" s="181" t="n"/>
      <c r="G17" s="182" t="n"/>
      <c r="P17" s="27" t="n"/>
      <c r="Q17" s="27" t="n"/>
      <c r="R17" s="27" t="n"/>
      <c r="S17" s="27" t="n"/>
    </row>
    <row r="18" customFormat="1" s="26">
      <c r="A18" s="61" t="inlineStr">
        <is>
          <t>Item</t>
        </is>
      </c>
      <c r="B18" s="61" t="inlineStr">
        <is>
          <t>Count</t>
        </is>
      </c>
      <c r="C18" s="61" t="inlineStr">
        <is>
          <t>Spares</t>
        </is>
      </c>
      <c r="D18" s="69" t="inlineStr">
        <is>
          <t>Sub-Total</t>
        </is>
      </c>
      <c r="E18" s="61" t="inlineStr">
        <is>
          <t>Model/PN</t>
        </is>
      </c>
      <c r="F18" s="61" t="inlineStr">
        <is>
          <t>Description</t>
        </is>
      </c>
      <c r="G18" s="61" t="inlineStr">
        <is>
          <t>Notes</t>
        </is>
      </c>
      <c r="P18" s="27" t="n"/>
      <c r="Q18" s="27" t="n"/>
      <c r="R18" s="27" t="n"/>
      <c r="S18" s="27" t="n"/>
    </row>
    <row r="19" ht="28.8" customFormat="1" customHeight="1" s="131">
      <c r="A19" s="62" t="inlineStr">
        <is>
          <t>OOB ToR</t>
        </is>
      </c>
      <c r="B19" s="62" t="n">
        <v>198</v>
      </c>
      <c r="C19" s="62" t="n">
        <v>0</v>
      </c>
      <c r="D19" s="62">
        <f>C19+B19</f>
        <v/>
      </c>
      <c r="E19" s="130" t="inlineStr">
        <is>
          <t>920-9N110-00R1- 0C0</t>
        </is>
      </c>
      <c r="F19" s="136" t="inlineStr">
        <is>
          <t>SN2201 Nvidia Spectrum based 1GBase-T/100GbE 1U Open Ethernet switch with Cumulus Linux, 48 RJ45 ports and 4 QSFP28 ports, Dual Power Supply (AC), x86 CPU, short depth, C2P airflow, 4- post Rail-kit.</t>
        </is>
      </c>
      <c r="G19" s="137" t="inlineStr">
        <is>
          <t xml:space="preserve">Does not include ToR for storage racks. It does include GPU and CPU compute.  </t>
        </is>
      </c>
    </row>
    <row r="20" ht="28.8" customFormat="1" customHeight="1" s="27">
      <c r="A20" s="67" t="inlineStr">
        <is>
          <t>OOB Aggregator</t>
        </is>
      </c>
      <c r="B20" s="67" t="n">
        <v>4</v>
      </c>
      <c r="C20" s="67" t="n">
        <v>0</v>
      </c>
      <c r="D20" s="67">
        <f>C20+B20</f>
        <v/>
      </c>
      <c r="E20" s="119" t="inlineStr">
        <is>
          <t>920-9N301-00RB-0C0</t>
        </is>
      </c>
      <c r="F20" s="120" t="inlineStr">
        <is>
          <t>SN4700 NVIDIA Spectrum-3 based 400GbE 1U Open Ethernet Switch with Cumulus Linux, 32 QSFPDD ports, 2 Power Supplies (AC), x86 CPU, standard depth, C2P airflow, Rail Kit</t>
        </is>
      </c>
      <c r="G20" s="63" t="n"/>
    </row>
    <row r="21" customFormat="1" s="27">
      <c r="A21" s="67" t="inlineStr">
        <is>
          <t> </t>
        </is>
      </c>
      <c r="B21" s="67" t="inlineStr">
        <is>
          <t> </t>
        </is>
      </c>
      <c r="C21" s="67" t="inlineStr">
        <is>
          <t> </t>
        </is>
      </c>
      <c r="D21" s="67" t="inlineStr">
        <is>
          <t> </t>
        </is>
      </c>
      <c r="E21" s="105" t="inlineStr">
        <is>
          <t> </t>
        </is>
      </c>
      <c r="F21" s="72" t="inlineStr">
        <is>
          <t> </t>
        </is>
      </c>
      <c r="G21" s="63" t="n"/>
    </row>
    <row r="22" customFormat="1" s="27">
      <c r="A22" s="70" t="inlineStr">
        <is>
          <t>OOB BorderLeaf</t>
        </is>
      </c>
      <c r="B22" s="67" t="n">
        <v>0</v>
      </c>
      <c r="C22" s="67" t="n">
        <v>0</v>
      </c>
      <c r="D22" s="67">
        <f>C22+B22</f>
        <v/>
      </c>
      <c r="E22" s="96" t="inlineStr">
        <is>
          <t>IREN WILL PROVIDE</t>
        </is>
      </c>
      <c r="F22" s="72" t="inlineStr">
        <is>
          <t> </t>
        </is>
      </c>
      <c r="G22" s="63" t="n"/>
    </row>
    <row r="23" ht="13.95" customFormat="1" customHeight="1" s="28">
      <c r="A23" s="67" t="n"/>
      <c r="B23" s="73" t="n"/>
      <c r="C23" s="73" t="n"/>
      <c r="D23" s="67" t="n"/>
      <c r="E23" s="67" t="n"/>
      <c r="F23" s="67" t="n"/>
      <c r="G23" s="65" t="n"/>
      <c r="S23" s="27" t="n"/>
    </row>
    <row r="24" ht="13.95" customFormat="1" customHeight="1" s="28">
      <c r="A24" s="67" t="n"/>
      <c r="B24" s="73" t="n"/>
      <c r="C24" s="73" t="n"/>
      <c r="D24" s="67" t="n"/>
      <c r="E24" s="67" t="n"/>
      <c r="F24" s="67" t="n"/>
      <c r="G24" s="65" t="n"/>
      <c r="S24" s="27" t="n"/>
    </row>
    <row r="25" ht="13.95" customFormat="1" customHeight="1" s="28">
      <c r="A25" s="144" t="inlineStr">
        <is>
          <t>Racks, PDUs and CDUs</t>
        </is>
      </c>
      <c r="B25" s="178" t="n"/>
      <c r="C25" s="178" t="n"/>
      <c r="D25" s="178" t="n"/>
      <c r="E25" s="178" t="n"/>
      <c r="F25" s="178" t="n"/>
      <c r="G25" s="179" t="n"/>
      <c r="S25" s="27" t="n"/>
    </row>
    <row r="26" ht="13.95" customFormat="1" customHeight="1" s="28">
      <c r="A26" s="61" t="inlineStr">
        <is>
          <t>Item</t>
        </is>
      </c>
      <c r="B26" s="61" t="inlineStr">
        <is>
          <t>Count</t>
        </is>
      </c>
      <c r="C26" s="61" t="inlineStr">
        <is>
          <t>Spares</t>
        </is>
      </c>
      <c r="D26" s="66" t="inlineStr">
        <is>
          <t>Sub-Total</t>
        </is>
      </c>
      <c r="E26" s="61" t="inlineStr">
        <is>
          <t>Model/PN</t>
        </is>
      </c>
      <c r="F26" s="61" t="inlineStr">
        <is>
          <t>Description</t>
        </is>
      </c>
      <c r="G26" s="61" t="inlineStr">
        <is>
          <t>Notes</t>
        </is>
      </c>
      <c r="S26" s="27" t="n"/>
    </row>
    <row r="27" ht="13.95" customFormat="1" customHeight="1" s="28">
      <c r="A27" s="71" t="inlineStr">
        <is>
          <t>T1 E-W NtwkRack</t>
        </is>
      </c>
      <c r="B27" s="71">
        <f>B4/8</f>
        <v/>
      </c>
      <c r="C27" s="71" t="n">
        <v>0</v>
      </c>
      <c r="D27" s="67">
        <f>B27+C27</f>
        <v/>
      </c>
      <c r="E27" s="72" t="inlineStr">
        <is>
          <t>IR9148</t>
        </is>
      </c>
      <c r="F27" s="71" t="inlineStr">
        <is>
          <t>750mm x 1200mm/ 42RU</t>
        </is>
      </c>
      <c r="G27" s="73" t="n"/>
      <c r="H27" s="42" t="n"/>
      <c r="I27" s="42" t="n"/>
      <c r="J27" s="42" t="n"/>
      <c r="K27" s="42" t="n"/>
      <c r="L27" s="42" t="n"/>
      <c r="M27" s="42" t="n"/>
      <c r="N27" s="42" t="n"/>
      <c r="O27" s="42" t="n"/>
      <c r="P27" s="42" t="n"/>
      <c r="Q27" s="42" t="n"/>
      <c r="R27" s="42" t="n"/>
      <c r="S27" s="27" t="n"/>
    </row>
    <row r="28" ht="13.95" customFormat="1" customHeight="1" s="28">
      <c r="A28" s="71" t="inlineStr">
        <is>
          <t>T2 E-W NtwkRack</t>
        </is>
      </c>
      <c r="B28" s="71">
        <f>B5/8</f>
        <v/>
      </c>
      <c r="C28" s="71" t="n">
        <v>0</v>
      </c>
      <c r="D28" s="67">
        <f>B28+C28</f>
        <v/>
      </c>
      <c r="E28" s="72" t="inlineStr">
        <is>
          <t>IR9148</t>
        </is>
      </c>
      <c r="F28" s="71" t="inlineStr">
        <is>
          <t>750mm x 1200mm/ 42RU</t>
        </is>
      </c>
      <c r="G28" s="73" t="n"/>
      <c r="H28" s="42" t="n"/>
      <c r="I28" s="42" t="n"/>
      <c r="J28" s="42" t="n"/>
      <c r="K28" s="42" t="n"/>
      <c r="L28" s="42" t="n"/>
      <c r="M28" s="42" t="n"/>
      <c r="N28" s="42" t="n"/>
      <c r="O28" s="42" t="n"/>
      <c r="P28" s="42" t="n"/>
      <c r="Q28" s="42" t="n"/>
      <c r="R28" s="42" t="n"/>
      <c r="S28" s="27" t="n"/>
    </row>
    <row r="29" ht="13.95" customFormat="1" customHeight="1" s="28">
      <c r="A29" s="71" t="inlineStr">
        <is>
          <t>T2 N-S NtwkRack</t>
        </is>
      </c>
      <c r="B29" s="71" t="n">
        <v>0</v>
      </c>
      <c r="C29" s="71" t="n"/>
      <c r="D29" s="67" t="n">
        <v>0</v>
      </c>
      <c r="E29" s="72" t="inlineStr">
        <is>
          <t>IR9148</t>
        </is>
      </c>
      <c r="F29" s="71" t="inlineStr">
        <is>
          <t> </t>
        </is>
      </c>
      <c r="G29" s="73" t="n"/>
      <c r="H29" s="42" t="n"/>
      <c r="I29" s="42" t="n"/>
      <c r="J29" s="42" t="n"/>
      <c r="K29" s="42" t="n"/>
      <c r="L29" s="42" t="n"/>
      <c r="M29" s="42" t="n"/>
      <c r="N29" s="42" t="n"/>
      <c r="O29" s="42" t="n"/>
      <c r="P29" s="42" t="n"/>
      <c r="Q29" s="42" t="n"/>
      <c r="R29" s="42" t="n"/>
      <c r="S29" s="27" t="n"/>
    </row>
    <row r="30" ht="13.95" customFormat="1" customHeight="1" s="28">
      <c r="A30" s="71" t="inlineStr">
        <is>
          <t>T3 N-S NtwkRack</t>
        </is>
      </c>
      <c r="B30" s="71">
        <f>ROUNDUP(1,B15/8)</f>
        <v/>
      </c>
      <c r="C30" s="71" t="n">
        <v>0</v>
      </c>
      <c r="D30" s="67">
        <f>B30+C30</f>
        <v/>
      </c>
      <c r="E30" s="72" t="inlineStr">
        <is>
          <t>IR9148</t>
        </is>
      </c>
      <c r="F30" s="71" t="inlineStr">
        <is>
          <t>750mm x 1200mm/ 42RU</t>
        </is>
      </c>
      <c r="G30" s="67" t="n"/>
      <c r="H30" s="42" t="n"/>
      <c r="I30" s="42" t="n"/>
      <c r="J30" s="42" t="n"/>
      <c r="K30" s="42" t="n"/>
      <c r="L30" s="42" t="n"/>
      <c r="M30" s="42" t="n"/>
      <c r="N30" s="42" t="n"/>
      <c r="O30" s="42" t="n"/>
      <c r="P30" s="42" t="n"/>
      <c r="Q30" s="42" t="n"/>
      <c r="R30" s="42" t="n"/>
      <c r="S30" s="27" t="n"/>
    </row>
    <row r="31" ht="13.95" customFormat="1" customHeight="1" s="28">
      <c r="A31" s="71" t="inlineStr">
        <is>
          <t>OOB/AGGR/Storage/Control Racks</t>
        </is>
      </c>
      <c r="B31" s="74" t="n">
        <v>2</v>
      </c>
      <c r="C31" s="71" t="n"/>
      <c r="D31" s="67" t="n">
        <v>2</v>
      </c>
      <c r="E31" s="72" t="inlineStr">
        <is>
          <t>IR9148</t>
        </is>
      </c>
      <c r="F31" s="71" t="inlineStr">
        <is>
          <t>750mm x 1200mm/ 42RU</t>
        </is>
      </c>
      <c r="G31" s="67" t="n"/>
      <c r="H31" s="42" t="n"/>
      <c r="I31" s="42" t="n"/>
      <c r="J31" s="42" t="n"/>
      <c r="K31" s="42" t="n"/>
      <c r="L31" s="42" t="n"/>
      <c r="M31" s="42" t="n"/>
      <c r="N31" s="42" t="n"/>
      <c r="O31" s="42" t="n"/>
      <c r="P31" s="42" t="n"/>
      <c r="Q31" s="42" t="n"/>
      <c r="R31" s="42" t="n"/>
      <c r="S31" s="27" t="n"/>
    </row>
    <row r="32" ht="13.95" customFormat="1" customHeight="1" s="28">
      <c r="A32" s="117" t="inlineStr">
        <is>
          <t>PDU 3Ph, 415V, 60A</t>
        </is>
      </c>
      <c r="B32" s="71">
        <f>SUM(B27:B31)*2</f>
        <v/>
      </c>
      <c r="C32" s="71" t="n">
        <v>0</v>
      </c>
      <c r="D32" s="67">
        <f>B32+C32</f>
        <v/>
      </c>
      <c r="E32" s="71" t="inlineStr">
        <is>
          <t>PDU 3Ph, 415V, 60A</t>
        </is>
      </c>
      <c r="F32" t="inlineStr">
        <is>
          <t>3PH, 415V, 60A, 560P6, 42 Outlet</t>
        </is>
      </c>
      <c r="G32" s="67" t="n"/>
      <c r="H32" s="42" t="n"/>
      <c r="I32" s="42" t="n"/>
      <c r="J32" s="42" t="n"/>
      <c r="K32" s="42" t="n"/>
      <c r="L32" s="42" t="n"/>
      <c r="M32" s="42" t="n"/>
      <c r="N32" s="42" t="n"/>
      <c r="O32" s="42" t="n"/>
      <c r="P32" s="42" t="n"/>
      <c r="Q32" s="42" t="n"/>
      <c r="R32" s="42" t="n"/>
      <c r="S32" s="27" t="n"/>
    </row>
    <row r="33" ht="13.95" customFormat="1" customHeight="1" s="28">
      <c r="A33" s="71" t="inlineStr">
        <is>
          <t>RDHx CL20</t>
        </is>
      </c>
      <c r="B33" s="71" t="n">
        <v>0</v>
      </c>
      <c r="C33" s="71" t="n">
        <v>0</v>
      </c>
      <c r="D33" s="67">
        <f>B33+C33</f>
        <v/>
      </c>
      <c r="E33" s="72" t="n"/>
      <c r="F33" s="71" t="n"/>
      <c r="G33" s="67" t="n"/>
      <c r="H33" s="42" t="n"/>
      <c r="I33" s="42" t="n"/>
      <c r="J33" s="42" t="n"/>
      <c r="K33" s="42" t="n"/>
      <c r="L33" s="42" t="n"/>
      <c r="M33" s="42" t="n"/>
      <c r="N33" s="42" t="n"/>
      <c r="O33" s="42" t="n"/>
      <c r="P33" s="42" t="n"/>
      <c r="Q33" s="42" t="n"/>
      <c r="R33" s="42" t="n"/>
      <c r="S33" s="27" t="n"/>
    </row>
    <row r="34" customFormat="1" s="26">
      <c r="A34" s="65" t="n"/>
      <c r="B34" s="65" t="n"/>
      <c r="C34" s="65" t="n"/>
      <c r="D34" s="65" t="n"/>
      <c r="E34" s="65" t="n"/>
      <c r="F34" s="65" t="n"/>
      <c r="G34" s="65" t="n"/>
      <c r="H34" s="29" t="n"/>
      <c r="I34" s="42" t="n"/>
      <c r="J34" s="42" t="n"/>
      <c r="K34" s="42" t="n"/>
      <c r="L34" s="42" t="n"/>
      <c r="M34" s="42" t="n"/>
      <c r="N34" s="42" t="n"/>
      <c r="O34" s="42" t="n"/>
      <c r="P34" s="42" t="n"/>
      <c r="Q34" s="42" t="n"/>
      <c r="R34" s="42" t="n"/>
      <c r="S34" s="27" t="n"/>
    </row>
    <row r="35" customFormat="1" s="26">
      <c r="A35" s="68" t="n"/>
      <c r="B35" s="68" t="n"/>
      <c r="C35" s="68" t="n"/>
      <c r="D35" s="65" t="n"/>
      <c r="E35" s="65" t="n"/>
      <c r="F35" s="65" t="n"/>
      <c r="G35" s="68" t="n"/>
      <c r="H35" s="28" t="n"/>
      <c r="I35" s="28" t="n"/>
      <c r="J35" s="28" t="n"/>
      <c r="K35" s="28" t="n"/>
      <c r="L35" s="28" t="n"/>
      <c r="M35" s="28" t="n"/>
      <c r="N35" s="28" t="n"/>
      <c r="O35" s="28" t="n"/>
      <c r="P35" s="28" t="n"/>
      <c r="Q35" s="28" t="n"/>
      <c r="R35" s="28" t="n"/>
      <c r="S35" s="27" t="n"/>
    </row>
    <row r="36" customFormat="1" s="26">
      <c r="A36" s="144" t="inlineStr">
        <is>
          <t>Patch Panels / Shuffle Componets Side Car</t>
        </is>
      </c>
      <c r="B36" s="178" t="n"/>
      <c r="C36" s="178" t="n"/>
      <c r="D36" s="178" t="n"/>
      <c r="E36" s="178" t="n"/>
      <c r="F36" s="178" t="n"/>
      <c r="G36" s="179" t="n"/>
      <c r="H36" s="28" t="n"/>
      <c r="I36" s="28" t="n"/>
      <c r="J36" s="28" t="n"/>
      <c r="K36" s="28" t="n"/>
      <c r="L36" s="28" t="n"/>
      <c r="M36" s="28" t="n"/>
      <c r="N36" s="28" t="n"/>
      <c r="O36" s="28" t="n"/>
      <c r="P36" s="28" t="n"/>
      <c r="Q36" s="28" t="n"/>
      <c r="R36" s="28" t="n"/>
      <c r="S36" s="27" t="n"/>
    </row>
    <row r="37" customFormat="1" s="26">
      <c r="A37" s="61" t="inlineStr">
        <is>
          <t>Item</t>
        </is>
      </c>
      <c r="B37" s="61" t="inlineStr">
        <is>
          <t>Count</t>
        </is>
      </c>
      <c r="C37" s="61" t="inlineStr">
        <is>
          <t>Spares</t>
        </is>
      </c>
      <c r="D37" s="66" t="inlineStr">
        <is>
          <t>Sub-Total</t>
        </is>
      </c>
      <c r="E37" s="61" t="inlineStr">
        <is>
          <t>Model/PN</t>
        </is>
      </c>
      <c r="F37" s="61" t="inlineStr">
        <is>
          <t>Description</t>
        </is>
      </c>
      <c r="G37" s="61" t="inlineStr">
        <is>
          <t>Notes</t>
        </is>
      </c>
      <c r="S37" s="27" t="n"/>
    </row>
    <row r="38" ht="13.95" customFormat="1" customHeight="1" s="28">
      <c r="A38" s="67" t="inlineStr">
        <is>
          <t>Cassette /SU</t>
        </is>
      </c>
      <c r="B38" s="73" t="n">
        <v>0</v>
      </c>
      <c r="C38" s="73" t="n">
        <v>0</v>
      </c>
      <c r="D38" s="67">
        <f>B38+C38</f>
        <v/>
      </c>
      <c r="E38" s="67" t="n"/>
      <c r="F38" s="67" t="n"/>
      <c r="G38" s="67" t="n"/>
      <c r="S38" s="27" t="n"/>
    </row>
    <row r="39" ht="13.95" customFormat="1" customHeight="1" s="28">
      <c r="A39" s="67" t="inlineStr">
        <is>
          <t>Shuffle Box / Cassette</t>
        </is>
      </c>
      <c r="B39" s="73" t="n">
        <v>0</v>
      </c>
      <c r="C39" s="73" t="n">
        <v>0</v>
      </c>
      <c r="D39" s="67">
        <f>B39+C39</f>
        <v/>
      </c>
      <c r="E39" s="67" t="n"/>
      <c r="F39" s="67" t="n"/>
      <c r="G39" s="67" t="n"/>
      <c r="S39" s="27" t="n"/>
    </row>
    <row r="40" ht="13.95" customFormat="1" customHeight="1" s="28">
      <c r="A40" s="67" t="inlineStr">
        <is>
          <t>FiberPanel</t>
        </is>
      </c>
      <c r="B40" s="73" t="n">
        <v>0</v>
      </c>
      <c r="C40" s="73" t="n"/>
      <c r="D40" s="67" t="n">
        <v>0</v>
      </c>
      <c r="E40" s="67" t="n"/>
      <c r="F40" s="67" t="n"/>
      <c r="G40" s="67" t="n"/>
      <c r="S40" s="27" t="n"/>
    </row>
    <row r="41" ht="13.95" customFormat="1" customHeight="1" s="28">
      <c r="A41" s="67" t="inlineStr">
        <is>
          <t>Shuffle Racks</t>
        </is>
      </c>
      <c r="B41" s="75" t="n">
        <v>0</v>
      </c>
      <c r="C41" s="73" t="n">
        <v>0</v>
      </c>
      <c r="D41" s="67" t="n">
        <v>0</v>
      </c>
      <c r="E41" s="67" t="n"/>
      <c r="F41" s="67" t="n"/>
      <c r="G41" s="67" t="n"/>
      <c r="S41" s="27" t="n"/>
    </row>
    <row r="42" ht="13.95" customFormat="1" customHeight="1" s="28">
      <c r="A42" s="67" t="inlineStr">
        <is>
          <t>Shuffle Boxes (Passive &amp; Openframe) [36x64x 1x (leaf_To_spine) x 1x(Host_To_leaf)</t>
        </is>
      </c>
      <c r="B42" s="75" t="n">
        <v>0</v>
      </c>
      <c r="C42" s="73" t="n"/>
      <c r="D42" s="75" t="n">
        <v>0</v>
      </c>
      <c r="E42" s="67" t="n"/>
      <c r="F42" s="67" t="n"/>
      <c r="G42" s="67" t="n"/>
      <c r="S42" s="27" t="n"/>
    </row>
    <row r="43" ht="13.95" customFormat="1" customHeight="1" s="28">
      <c r="A43" s="67" t="inlineStr">
        <is>
          <t>Side Car</t>
        </is>
      </c>
      <c r="B43" s="73" t="n">
        <v>0</v>
      </c>
      <c r="C43" s="73" t="n">
        <v>0</v>
      </c>
      <c r="D43" s="67">
        <f>B43+C43</f>
        <v/>
      </c>
      <c r="E43" s="67" t="n"/>
      <c r="F43" s="67" t="n"/>
      <c r="G43" s="67" t="n"/>
      <c r="S43" s="27" t="n"/>
    </row>
    <row r="44" ht="13.95" customFormat="1" customHeight="1" s="28">
      <c r="A44" s="65" t="n"/>
      <c r="B44" s="68" t="n"/>
      <c r="C44" s="68" t="n"/>
      <c r="D44" s="65" t="n"/>
      <c r="E44" s="65" t="n"/>
      <c r="F44" s="65" t="n"/>
      <c r="G44" s="65" t="n"/>
      <c r="S44" s="27" t="n"/>
    </row>
    <row r="45" ht="13.95" customFormat="1" customHeight="1" s="28">
      <c r="A45" s="65" t="n"/>
      <c r="B45" s="68" t="n"/>
      <c r="C45" s="68" t="n"/>
      <c r="D45" s="65" t="n"/>
      <c r="E45" s="65" t="n"/>
      <c r="F45" s="65" t="n"/>
      <c r="G45" s="65" t="n"/>
      <c r="S45" s="27" t="n"/>
    </row>
    <row r="46" customFormat="1" s="26">
      <c r="A46" s="151" t="inlineStr">
        <is>
          <t>East-West NIC-LEAF : Transceiver/Fiber/Cable</t>
        </is>
      </c>
      <c r="B46" s="178" t="n"/>
      <c r="C46" s="178" t="n"/>
      <c r="D46" s="178" t="n"/>
      <c r="E46" s="178" t="n"/>
      <c r="F46" s="178" t="n"/>
      <c r="G46" s="179" t="n"/>
      <c r="S46" s="27" t="n"/>
    </row>
    <row r="47" customFormat="1" s="26">
      <c r="A47" s="59" t="inlineStr">
        <is>
          <t>Item</t>
        </is>
      </c>
      <c r="B47" s="59" t="inlineStr">
        <is>
          <t>Count</t>
        </is>
      </c>
      <c r="C47" s="59" t="inlineStr">
        <is>
          <t>Spares</t>
        </is>
      </c>
      <c r="D47" s="66" t="inlineStr">
        <is>
          <t>Sub-Total</t>
        </is>
      </c>
      <c r="E47" s="59" t="inlineStr">
        <is>
          <t>Model/PN</t>
        </is>
      </c>
      <c r="F47" s="59" t="inlineStr">
        <is>
          <t>Description</t>
        </is>
      </c>
      <c r="G47" s="61" t="inlineStr">
        <is>
          <t>Notes</t>
        </is>
      </c>
      <c r="S47" s="27" t="n"/>
    </row>
    <row r="48" ht="29.4" customFormat="1" customHeight="1" s="27" thickBot="1">
      <c r="A48" s="67" t="inlineStr">
        <is>
          <t>E-W NIC-Leaf Link NIC Xcvr</t>
        </is>
      </c>
      <c r="B48" s="138">
        <f>B7*32*1</f>
        <v/>
      </c>
      <c r="C48" s="76" t="n">
        <v>0</v>
      </c>
      <c r="D48" s="76">
        <f>B48+C48</f>
        <v/>
      </c>
      <c r="E48" s="139" t="inlineStr">
        <is>
          <t>MMS4X00-NS400</t>
        </is>
      </c>
      <c r="F48" s="140" t="inlineStr">
        <is>
          <t>NVDA XCVR, 400Gbps, NDR, OSFP, MPO12 APC, 1310nm SMF, up to 100m, flat top(CX7 only)[MMS4X00-NS400]</t>
        </is>
      </c>
      <c r="G48" s="116" t="inlineStr">
        <is>
          <t> </t>
        </is>
      </c>
      <c r="H48" s="26" t="n"/>
      <c r="I48" s="26" t="n"/>
      <c r="J48" s="26" t="n"/>
      <c r="K48" s="26" t="n"/>
      <c r="L48" s="26" t="n"/>
      <c r="M48" s="26" t="n"/>
      <c r="N48" s="26" t="n"/>
      <c r="O48" s="26" t="n"/>
    </row>
    <row r="49" customFormat="1" s="27">
      <c r="A49" s="67" t="inlineStr">
        <is>
          <t>E-W NIC-Leaf Link NIC Xcvr Cable</t>
        </is>
      </c>
      <c r="B49" s="78">
        <f>B48</f>
        <v/>
      </c>
      <c r="C49" s="76" t="n">
        <v>0</v>
      </c>
      <c r="D49" s="76">
        <f>B49+C49</f>
        <v/>
      </c>
      <c r="E49" s="113" t="inlineStr">
        <is>
          <t>MFP7E30-N050</t>
        </is>
      </c>
      <c r="F49" s="113" t="inlineStr">
        <is>
          <t>MPO-12/APC to MPO-12/APC cable, 1310nm SMF OS2, 100m max, 50 M</t>
        </is>
      </c>
      <c r="G49" s="94" t="inlineStr">
        <is>
          <t> </t>
        </is>
      </c>
      <c r="H49" s="26" t="n"/>
      <c r="I49" s="26" t="n"/>
      <c r="J49" s="26" t="n"/>
      <c r="K49" s="26" t="n"/>
      <c r="L49" s="26" t="n"/>
      <c r="M49" s="26" t="n"/>
      <c r="N49" s="26" t="n"/>
      <c r="O49" s="26" t="n"/>
    </row>
    <row r="50" customFormat="1" s="26">
      <c r="A50" s="67" t="inlineStr">
        <is>
          <t>E-W NIC-Leaf Link Leaf Xcvr</t>
        </is>
      </c>
      <c r="B50" s="67">
        <f>B4*32</f>
        <v/>
      </c>
      <c r="C50" s="76" t="n">
        <v>0</v>
      </c>
      <c r="D50" s="76">
        <f>B50+C50</f>
        <v/>
      </c>
      <c r="E50" s="113" t="inlineStr">
        <is>
          <t>980-9I30G-F4NM00</t>
        </is>
      </c>
      <c r="F50" s="113" t="inlineStr">
        <is>
          <t>TWIN PORT TRANSCEIVER, 800GBPS,2X400GbE, OSFP, 2XMPO, 1310NM SMF, UP TO 500M, FINNED</t>
        </is>
      </c>
      <c r="G50" s="63" t="inlineStr">
        <is>
          <t> </t>
        </is>
      </c>
      <c r="S50" s="27" t="n"/>
    </row>
    <row r="51" customFormat="1" s="26">
      <c r="A51" s="65" t="n"/>
      <c r="B51" s="65" t="n"/>
      <c r="C51" s="65" t="n"/>
      <c r="D51" s="65" t="n"/>
      <c r="E51" t="inlineStr">
        <is>
          <t> </t>
        </is>
      </c>
      <c r="F51" s="65" t="n"/>
      <c r="G51" s="65" t="n"/>
    </row>
    <row r="52" customFormat="1" s="26">
      <c r="A52" s="65" t="n"/>
      <c r="B52" s="65" t="n"/>
      <c r="C52" s="65" t="n"/>
      <c r="D52" s="65" t="n"/>
      <c r="E52" s="97" t="inlineStr">
        <is>
          <t> </t>
        </is>
      </c>
      <c r="F52" s="65" t="n"/>
      <c r="G52" s="65" t="n"/>
    </row>
    <row r="53" customFormat="1" s="26">
      <c r="A53" s="151" t="inlineStr">
        <is>
          <t>East-West LEAF-SPINE : Transceiver and Fiber/Cable</t>
        </is>
      </c>
      <c r="B53" s="178" t="n"/>
      <c r="C53" s="178" t="n"/>
      <c r="D53" s="178" t="n"/>
      <c r="E53" s="178" t="n"/>
      <c r="F53" s="178" t="n"/>
      <c r="G53" s="179" t="n"/>
    </row>
    <row r="54" customFormat="1" s="26">
      <c r="A54" s="61" t="inlineStr">
        <is>
          <t>Item</t>
        </is>
      </c>
      <c r="B54" s="61" t="inlineStr">
        <is>
          <t>Count</t>
        </is>
      </c>
      <c r="C54" s="61" t="inlineStr">
        <is>
          <t>Spares</t>
        </is>
      </c>
      <c r="D54" s="69" t="inlineStr">
        <is>
          <t>Sub-Total</t>
        </is>
      </c>
      <c r="E54" s="59" t="inlineStr">
        <is>
          <t>Model/PN</t>
        </is>
      </c>
      <c r="F54" s="59" t="inlineStr">
        <is>
          <t>Description</t>
        </is>
      </c>
      <c r="G54" s="59" t="inlineStr">
        <is>
          <t>Notes</t>
        </is>
      </c>
    </row>
    <row r="55" customFormat="1" s="27">
      <c r="A55" s="79" t="inlineStr">
        <is>
          <t>E-W Leaf-Spine Link Leaf Xcvr</t>
        </is>
      </c>
      <c r="B55" s="79">
        <f>B4*64/2</f>
        <v/>
      </c>
      <c r="C55" s="80" t="n">
        <v>0</v>
      </c>
      <c r="D55" s="81">
        <f>SUM(B55:C55)</f>
        <v/>
      </c>
      <c r="E55" s="113" t="inlineStr">
        <is>
          <t>980-9I30G-F4NM00</t>
        </is>
      </c>
      <c r="F55" s="113" t="inlineStr">
        <is>
          <t>TWIN PORT TRANSCEIVER, 800GBPS,2X400GbE, OSFP, 2XMPO, 1310NM SMF, UP TO 500M, FINNED</t>
        </is>
      </c>
      <c r="G55" s="67" t="inlineStr">
        <is>
          <t>Optics: Leaf to Spine</t>
        </is>
      </c>
      <c r="H55" s="26" t="n"/>
      <c r="I55" s="26" t="n"/>
      <c r="J55" s="26" t="n"/>
      <c r="K55" s="26" t="n"/>
      <c r="L55" s="26" t="n"/>
      <c r="M55" s="26" t="n"/>
      <c r="N55" s="26" t="n"/>
      <c r="O55" s="26" t="n"/>
    </row>
    <row r="56" customFormat="1" s="27">
      <c r="A56" s="67" t="inlineStr">
        <is>
          <t>E-W Leaf-Spine Link Leaf Xcvr Cable</t>
        </is>
      </c>
      <c r="B56" s="78">
        <f>B55*2</f>
        <v/>
      </c>
      <c r="C56" s="80" t="n">
        <v>0</v>
      </c>
      <c r="D56" s="81">
        <f>SUM(B56:C56)</f>
        <v/>
      </c>
      <c r="E56" s="113" t="inlineStr">
        <is>
          <t>MFP7E30-N050</t>
        </is>
      </c>
      <c r="F56" s="113" t="inlineStr">
        <is>
          <t>MPO-12/APC to MPO-12/APC cable, 1310nm SMF OS2, 100m max, 50 M</t>
        </is>
      </c>
      <c r="G56" s="67" t="inlineStr">
        <is>
          <t>Cables: Leaf to Spine</t>
        </is>
      </c>
      <c r="H56" s="26" t="n"/>
      <c r="I56" s="26" t="n"/>
      <c r="J56" s="26" t="n"/>
      <c r="K56" s="26" t="n"/>
      <c r="L56" s="26" t="n"/>
      <c r="M56" s="26" t="n"/>
      <c r="N56" s="26" t="n"/>
      <c r="O56" s="26" t="n"/>
    </row>
    <row r="57" customFormat="1" s="27">
      <c r="A57" s="67" t="inlineStr">
        <is>
          <t>E-W Leaf-Spine Link Spine Xcvr</t>
        </is>
      </c>
      <c r="B57" s="67">
        <f>B5*64</f>
        <v/>
      </c>
      <c r="C57" s="80" t="n">
        <v>0</v>
      </c>
      <c r="D57" s="81">
        <f>SUM(B57:C57)</f>
        <v/>
      </c>
      <c r="E57" s="113" t="inlineStr">
        <is>
          <t>980-9I30G-F4NM00</t>
        </is>
      </c>
      <c r="F57" s="113" t="inlineStr">
        <is>
          <t>TWIN PORT TRANSCEIVER, 800GBPS,2X400GbE, OSFP, 2XMPO, 1310NM SMF, UP TO 500M, FINNED</t>
        </is>
      </c>
      <c r="G57" s="77" t="inlineStr">
        <is>
          <t>Optics: Spine to Leaf</t>
        </is>
      </c>
      <c r="H57" s="26" t="n"/>
      <c r="I57" s="26" t="n"/>
      <c r="J57" s="26" t="n"/>
      <c r="K57" s="26" t="n"/>
      <c r="L57" s="26" t="n"/>
      <c r="M57" s="26" t="n"/>
      <c r="N57" s="26" t="n"/>
      <c r="O57" s="26" t="n"/>
    </row>
    <row r="58" customFormat="1" s="26">
      <c r="A58" s="67" t="inlineStr">
        <is>
          <t xml:space="preserve">E-W Leaf-Spine Link Spine Xcvr Cable </t>
        </is>
      </c>
      <c r="B58" s="67" t="n">
        <v>0</v>
      </c>
      <c r="C58" s="80" t="n">
        <v>0</v>
      </c>
      <c r="D58" s="81">
        <f>SUM(B58:C58)</f>
        <v/>
      </c>
      <c r="E58" s="79" t="n"/>
      <c r="F58" s="79" t="n"/>
      <c r="G58" s="79" t="n"/>
      <c r="P58" s="27" t="n"/>
      <c r="Q58" s="27" t="n"/>
      <c r="R58" s="27" t="n"/>
      <c r="S58" s="27" t="n"/>
    </row>
    <row r="59" customFormat="1" s="27">
      <c r="A59" s="65" t="n"/>
      <c r="B59" s="65" t="n"/>
      <c r="C59" s="65" t="n"/>
      <c r="D59" s="65" t="n"/>
      <c r="E59" s="65" t="n"/>
      <c r="F59" s="65" t="n"/>
      <c r="G59" s="65" t="n"/>
      <c r="H59" s="26" t="n"/>
      <c r="I59" s="26" t="n"/>
      <c r="J59" s="26" t="n"/>
      <c r="K59" s="26" t="n"/>
      <c r="L59" s="26" t="n"/>
      <c r="M59" s="26" t="n"/>
      <c r="N59" s="26" t="n"/>
      <c r="O59" s="26" t="n"/>
    </row>
    <row r="60" customFormat="1" s="27">
      <c r="A60" s="151" t="inlineStr">
        <is>
          <t>North-South NIC-LEAF : Transceiver and Fiber/Cable</t>
        </is>
      </c>
      <c r="B60" s="178" t="n"/>
      <c r="C60" s="178" t="n"/>
      <c r="D60" s="178" t="n"/>
      <c r="E60" s="178" t="n"/>
      <c r="F60" s="178" t="n"/>
      <c r="G60" s="179" t="n"/>
      <c r="H60" s="26" t="n"/>
      <c r="I60" s="26" t="n"/>
      <c r="J60" s="26" t="n"/>
      <c r="K60" s="26" t="n"/>
      <c r="L60" s="26" t="n"/>
      <c r="M60" s="26" t="n"/>
      <c r="N60" s="26" t="n"/>
      <c r="O60" s="26" t="n"/>
    </row>
    <row r="61" customFormat="1" s="27">
      <c r="A61" s="59" t="inlineStr">
        <is>
          <t>Item</t>
        </is>
      </c>
      <c r="B61" s="59" t="inlineStr">
        <is>
          <t>Count</t>
        </is>
      </c>
      <c r="C61" s="59" t="inlineStr">
        <is>
          <t>Spares</t>
        </is>
      </c>
      <c r="D61" s="60" t="inlineStr">
        <is>
          <t>Sub-Total</t>
        </is>
      </c>
      <c r="E61" s="59" t="inlineStr">
        <is>
          <t>Model/PN</t>
        </is>
      </c>
      <c r="F61" s="59" t="inlineStr">
        <is>
          <t>Description</t>
        </is>
      </c>
      <c r="G61" s="61" t="inlineStr">
        <is>
          <t>Notes</t>
        </is>
      </c>
      <c r="H61" s="26" t="n"/>
      <c r="I61" s="26" t="n"/>
      <c r="J61" s="26" t="n"/>
      <c r="K61" s="26" t="n"/>
      <c r="L61" s="26" t="n"/>
      <c r="M61" s="26" t="n"/>
      <c r="N61" s="26" t="n"/>
      <c r="O61" s="26" t="n"/>
    </row>
    <row r="62" ht="31.2" customFormat="1" customHeight="1" s="26">
      <c r="A62" s="67" t="inlineStr">
        <is>
          <t>N-S NIC-Leaf Link NIC Xcvr</t>
        </is>
      </c>
      <c r="B62" s="67">
        <f>B7*4*2</f>
        <v/>
      </c>
      <c r="C62" s="76" t="n">
        <v>0</v>
      </c>
      <c r="D62" s="76">
        <f>SUM(B62:C62)</f>
        <v/>
      </c>
      <c r="E62" s="114" t="inlineStr">
        <is>
          <t>MMS1X00-NS400</t>
        </is>
      </c>
      <c r="F62" s="115" t="inlineStr">
        <is>
          <t>NVIDIA single port transceiver, 400Gbps, NDR, QSFP112, MPO, 1310nm SMF, up to 500m, flat top</t>
        </is>
      </c>
      <c r="G62" s="82" t="n"/>
      <c r="H62" s="125">
        <f>SUM(D62,D95)</f>
        <v/>
      </c>
      <c r="P62" s="27" t="n"/>
      <c r="Q62" s="27" t="n"/>
      <c r="R62" s="27" t="n"/>
      <c r="S62" s="27" t="n"/>
    </row>
    <row r="63" customFormat="1" s="26">
      <c r="A63" s="67" t="inlineStr">
        <is>
          <t>N-S NIC-Leaf Link Leaf Xcvr</t>
        </is>
      </c>
      <c r="B63" s="67" t="n">
        <v>512</v>
      </c>
      <c r="C63" s="76" t="n">
        <v>0</v>
      </c>
      <c r="D63" s="76">
        <f>SUM(B63:C63)</f>
        <v/>
      </c>
      <c r="E63" s="113" t="inlineStr">
        <is>
          <t>980-9I30G-F4NM00</t>
        </is>
      </c>
      <c r="F63" s="113" t="inlineStr">
        <is>
          <t>TWIN PORT TRANSCEIVER, 800GBPS,2X400GbE, OSFP, 2XMPO, 1310NM SMF, UP TO 500M, FINNED</t>
        </is>
      </c>
      <c r="G63" s="63" t="n"/>
      <c r="H63" s="125">
        <f>SUM(D63,D69,D71,D75,D81,D83,D90,D92,D93,)</f>
        <v/>
      </c>
      <c r="P63" s="27" t="n"/>
      <c r="Q63" s="27" t="n"/>
      <c r="R63" s="27" t="n"/>
      <c r="S63" s="27" t="n"/>
    </row>
    <row r="64" customFormat="1" s="26">
      <c r="A64" s="67" t="inlineStr">
        <is>
          <t>N-S NIC-Leaf Link Leaf Xcvr Cable</t>
        </is>
      </c>
      <c r="B64" s="67" t="n">
        <v>1024</v>
      </c>
      <c r="C64" s="76" t="n">
        <v>0</v>
      </c>
      <c r="D64" s="76">
        <f>SUM(B64:C64)</f>
        <v/>
      </c>
      <c r="E64" s="113" t="inlineStr">
        <is>
          <t>MFP7E40-N050</t>
        </is>
      </c>
      <c r="F64" s="113" t="inlineStr">
        <is>
          <t>MPO-12/APC to 2xMPO-12/APC cable, 1310nm SMF OS2, 100m max, 50 M</t>
        </is>
      </c>
      <c r="G64" s="106" t="inlineStr">
        <is>
          <t> </t>
        </is>
      </c>
      <c r="P64" s="27" t="n"/>
      <c r="Q64" s="27" t="n"/>
      <c r="R64" s="27" t="n"/>
      <c r="S64" s="27" t="n"/>
    </row>
    <row r="65" customFormat="1" s="26">
      <c r="A65" s="65" t="n"/>
      <c r="B65" s="67" t="n">
        <v>0</v>
      </c>
      <c r="C65" s="80">
        <f>B65*0.01</f>
        <v/>
      </c>
      <c r="D65" s="81">
        <f>SUM(B65:C65)</f>
        <v/>
      </c>
      <c r="E65" s="65" t="n"/>
      <c r="F65" s="65" t="n"/>
      <c r="G65" s="65" t="n"/>
      <c r="P65" s="27" t="n"/>
      <c r="Q65" s="27" t="n"/>
      <c r="R65" s="27" t="n"/>
      <c r="S65" s="27" t="n"/>
    </row>
    <row r="66" customFormat="1" s="26">
      <c r="A66" s="65" t="n"/>
      <c r="B66" s="65" t="inlineStr">
        <is>
          <t> </t>
        </is>
      </c>
      <c r="C66" s="65" t="n"/>
      <c r="D66" s="65" t="n"/>
      <c r="E66" s="65" t="n"/>
      <c r="F66" s="65" t="n"/>
      <c r="G66" s="65" t="n"/>
      <c r="P66" s="27" t="n"/>
      <c r="Q66" s="27" t="n"/>
      <c r="R66" s="27" t="n"/>
      <c r="S66" s="27" t="n"/>
    </row>
    <row r="67" customFormat="1" s="26">
      <c r="A67" s="151" t="inlineStr">
        <is>
          <t>North-South LEAF-SPINE : Transceiver and Fiber/Cable</t>
        </is>
      </c>
      <c r="B67" s="178" t="n"/>
      <c r="C67" s="178" t="n"/>
      <c r="D67" s="178" t="n"/>
      <c r="E67" s="178" t="n"/>
      <c r="F67" s="178" t="n"/>
      <c r="G67" s="179" t="n"/>
      <c r="P67" s="27" t="n"/>
      <c r="Q67" s="27" t="n"/>
      <c r="R67" s="27" t="n"/>
      <c r="S67" s="27" t="n"/>
    </row>
    <row r="68" customFormat="1" s="26">
      <c r="A68" s="61" t="inlineStr">
        <is>
          <t>Item</t>
        </is>
      </c>
      <c r="B68" s="61" t="inlineStr">
        <is>
          <t>Count</t>
        </is>
      </c>
      <c r="C68" s="61" t="inlineStr">
        <is>
          <t>Spares</t>
        </is>
      </c>
      <c r="D68" s="69" t="inlineStr">
        <is>
          <t>Sub-Total</t>
        </is>
      </c>
      <c r="E68" s="59" t="inlineStr">
        <is>
          <t>Model/PN</t>
        </is>
      </c>
      <c r="F68" s="59" t="inlineStr">
        <is>
          <t>Description</t>
        </is>
      </c>
      <c r="G68" s="61" t="inlineStr">
        <is>
          <t>Notes</t>
        </is>
      </c>
      <c r="P68" s="27" t="n"/>
      <c r="Q68" s="27" t="n"/>
      <c r="R68" s="27" t="n"/>
      <c r="S68" s="27" t="n"/>
    </row>
    <row r="69" ht="24.9" customFormat="1" customHeight="1" s="26">
      <c r="A69" s="62" t="inlineStr">
        <is>
          <t>N-S Leaf-Spine Link Leaf Xcvr</t>
        </is>
      </c>
      <c r="B69" s="62" t="n">
        <v>128</v>
      </c>
      <c r="C69" s="95" t="n">
        <v>0</v>
      </c>
      <c r="D69" s="95">
        <f>B69+C69</f>
        <v/>
      </c>
      <c r="E69" s="113" t="inlineStr">
        <is>
          <t>980-9I30G-F4NM00</t>
        </is>
      </c>
      <c r="F69" s="113" t="inlineStr">
        <is>
          <t>TWIN PORT TRANSCEIVER, 800GBPS,2X400GbE, OSFP, 2XMPO, 1310NM SMF, UP TO 500M, FINNED</t>
        </is>
      </c>
      <c r="G69" s="63" t="inlineStr">
        <is>
          <t>Optics: Leaf to Spine</t>
        </is>
      </c>
      <c r="P69" s="27" t="n"/>
      <c r="Q69" s="27" t="n"/>
      <c r="R69" s="27" t="n"/>
      <c r="S69" s="27" t="n"/>
    </row>
    <row r="70" customFormat="1" s="26">
      <c r="A70" s="62" t="inlineStr">
        <is>
          <t>N-S Leaf-Spine Link Leaf Xcvr Cable</t>
        </is>
      </c>
      <c r="B70" s="62">
        <f>B69*2</f>
        <v/>
      </c>
      <c r="C70" s="95" t="n">
        <v>0</v>
      </c>
      <c r="D70" s="95">
        <f>B70+C70</f>
        <v/>
      </c>
      <c r="E70" s="113" t="inlineStr">
        <is>
          <t>MFP7E30-N050</t>
        </is>
      </c>
      <c r="F70" s="113" t="inlineStr">
        <is>
          <t>MPO-12/APC to MPO-12/APC cable, 1310nm SMF OS2, 100m max, 50 M</t>
        </is>
      </c>
      <c r="G70" s="63" t="inlineStr">
        <is>
          <t>Cables: Leaf to Spine</t>
        </is>
      </c>
      <c r="P70" s="27" t="n"/>
      <c r="Q70" s="27" t="n"/>
      <c r="R70" s="27" t="n"/>
      <c r="S70" s="27" t="n"/>
    </row>
    <row r="71" ht="24.9" customFormat="1" customHeight="1" s="26">
      <c r="A71" s="62" t="inlineStr">
        <is>
          <t>N-S Leaf-Spine Link Spine Xcvr</t>
        </is>
      </c>
      <c r="B71" s="62">
        <f>B69</f>
        <v/>
      </c>
      <c r="C71" s="95" t="n">
        <v>0</v>
      </c>
      <c r="D71" s="95">
        <f>B71+C71</f>
        <v/>
      </c>
      <c r="E71" s="113" t="inlineStr">
        <is>
          <t>980-9I30G-F4NM00</t>
        </is>
      </c>
      <c r="F71" s="113" t="inlineStr">
        <is>
          <t>TWIN PORT TRANSCEIVER, 800GBPS,2X400GbE, OSFP, 2XMPO, 1310NM SMF, UP TO 500M, FINNED</t>
        </is>
      </c>
      <c r="G71" s="94" t="inlineStr">
        <is>
          <t>Optics: Spine to Leaf</t>
        </is>
      </c>
      <c r="P71" s="27" t="n"/>
      <c r="Q71" s="27" t="n"/>
      <c r="R71" s="27" t="n"/>
      <c r="S71" s="27" t="n"/>
    </row>
    <row r="72" ht="24.9" customFormat="1" customHeight="1" s="26">
      <c r="A72" s="62" t="n"/>
      <c r="B72" s="62" t="n"/>
      <c r="C72" s="95" t="n"/>
      <c r="D72" s="95" t="n"/>
      <c r="E72" s="113" t="n"/>
      <c r="F72" s="113" t="n"/>
      <c r="G72" s="98" t="n"/>
      <c r="P72" s="27" t="n"/>
      <c r="Q72" s="27" t="n"/>
      <c r="R72" s="27" t="n"/>
      <c r="S72" s="27" t="n"/>
    </row>
    <row r="73" ht="24.9" customFormat="1" customHeight="1" s="26">
      <c r="A73" s="151" t="inlineStr">
        <is>
          <t>North-South SPINE-Core : Transceiver and Fiber/Cable</t>
        </is>
      </c>
      <c r="B73" s="178" t="n"/>
      <c r="C73" s="178" t="n"/>
      <c r="D73" s="178" t="n"/>
      <c r="E73" s="178" t="n"/>
      <c r="F73" s="178" t="n"/>
      <c r="G73" s="179" t="n"/>
      <c r="P73" s="27" t="n"/>
      <c r="Q73" s="27" t="n"/>
      <c r="R73" s="27" t="n"/>
      <c r="S73" s="27" t="n"/>
    </row>
    <row r="74" ht="24.9" customFormat="1" customHeight="1" s="26">
      <c r="A74" s="61" t="inlineStr">
        <is>
          <t>Item</t>
        </is>
      </c>
      <c r="B74" s="61" t="inlineStr">
        <is>
          <t>Count</t>
        </is>
      </c>
      <c r="C74" s="61" t="inlineStr">
        <is>
          <t>Spares</t>
        </is>
      </c>
      <c r="D74" s="69" t="inlineStr">
        <is>
          <t>Sub-Total</t>
        </is>
      </c>
      <c r="E74" s="59" t="inlineStr">
        <is>
          <t>Model/PN</t>
        </is>
      </c>
      <c r="F74" s="59" t="inlineStr">
        <is>
          <t>Description</t>
        </is>
      </c>
      <c r="G74" s="61" t="inlineStr">
        <is>
          <t>Notes</t>
        </is>
      </c>
      <c r="P74" s="27" t="n"/>
      <c r="Q74" s="27" t="n"/>
      <c r="R74" s="27" t="n"/>
      <c r="S74" s="27" t="n"/>
    </row>
    <row r="75" ht="24.9" customFormat="1" customHeight="1" s="26">
      <c r="A75" s="62" t="inlineStr">
        <is>
          <t>N-S Spine-Core Link Spine Xcvr</t>
        </is>
      </c>
      <c r="B75" s="62" t="n">
        <v>8</v>
      </c>
      <c r="C75" s="95" t="n">
        <v>0</v>
      </c>
      <c r="D75" s="95">
        <f>B75+C75</f>
        <v/>
      </c>
      <c r="E75" s="113" t="inlineStr">
        <is>
          <t>980-9I30G-F4NM00</t>
        </is>
      </c>
      <c r="F75" s="113" t="inlineStr">
        <is>
          <t>TWIN PORT TRANSCEIVER, 800GBPS,2X400GbE, OSFP, 2XMPO, 1310NM SMF, UP TO 500M, FINNED</t>
        </is>
      </c>
      <c r="G75" s="63" t="inlineStr">
        <is>
          <t>Optics: Leaf to Spine</t>
        </is>
      </c>
      <c r="P75" s="27" t="n"/>
      <c r="Q75" s="27" t="n"/>
      <c r="R75" s="27" t="n"/>
      <c r="S75" s="27" t="n"/>
    </row>
    <row r="76" ht="24.9" customFormat="1" customHeight="1" s="26">
      <c r="A76" s="62" t="inlineStr">
        <is>
          <t>N-S Spine-Core Link Spine Cable</t>
        </is>
      </c>
      <c r="B76" s="62">
        <f>B77*2</f>
        <v/>
      </c>
      <c r="C76" s="95" t="n">
        <v>0</v>
      </c>
      <c r="D76" s="95">
        <f>B76+C76</f>
        <v/>
      </c>
      <c r="E76" s="113" t="inlineStr">
        <is>
          <t>MFP7E30-N050</t>
        </is>
      </c>
      <c r="F76" s="113" t="inlineStr">
        <is>
          <t>MPO-12/APC to MPO-12/APC cable, 1310nm SMF OS2, 100m max, 50 M</t>
        </is>
      </c>
      <c r="G76" s="63" t="inlineStr">
        <is>
          <t>Cables: Leaf to Spine</t>
        </is>
      </c>
      <c r="P76" s="27" t="n"/>
      <c r="Q76" s="27" t="n"/>
      <c r="R76" s="27" t="n"/>
      <c r="S76" s="27" t="n"/>
    </row>
    <row r="77" ht="24.9" customFormat="1" customHeight="1" s="26">
      <c r="A77" s="62" t="inlineStr">
        <is>
          <t>N-S Spine-Core Link Core Xcvr</t>
        </is>
      </c>
      <c r="B77" s="62">
        <f>B15*1*14</f>
        <v/>
      </c>
      <c r="C77" s="95" t="n">
        <v>0</v>
      </c>
      <c r="D77" s="95">
        <f>B77+C77</f>
        <v/>
      </c>
      <c r="E77" s="113" t="inlineStr">
        <is>
          <t>980-9I30G-F4NM00</t>
        </is>
      </c>
      <c r="F77" s="113" t="inlineStr">
        <is>
          <t>TWIN PORT TRANSCEIVER, 800GBPS,2X400GbE, OSFP, 2XMPO, 1310NM SMF, UP TO 500M, FINNED</t>
        </is>
      </c>
      <c r="G77" s="94" t="inlineStr">
        <is>
          <t>Optics: Spine to Leaf</t>
        </is>
      </c>
      <c r="H77" s="26" t="inlineStr">
        <is>
          <t xml:space="preserve">Orginal BOM said that IREN was providing </t>
        </is>
      </c>
      <c r="I77" s="122" t="n">
        <v>46233</v>
      </c>
      <c r="P77" s="27" t="n"/>
      <c r="Q77" s="27" t="n"/>
      <c r="R77" s="27" t="n"/>
      <c r="S77" s="27" t="n"/>
    </row>
    <row r="78" customFormat="1" s="26">
      <c r="A78" s="62" t="n"/>
      <c r="B78" s="62" t="n"/>
      <c r="C78" s="95" t="n"/>
      <c r="D78" s="95" t="n"/>
      <c r="E78" s="62" t="n"/>
      <c r="F78" s="62" t="n"/>
      <c r="G78" s="65" t="n"/>
      <c r="P78" s="27" t="n"/>
      <c r="Q78" s="27" t="n"/>
      <c r="R78" s="27" t="n"/>
      <c r="S78" s="27" t="n"/>
    </row>
    <row r="79" customFormat="1" s="26">
      <c r="A79" s="151" t="inlineStr">
        <is>
          <t>North-South Storage POD: Transceiver and Fiber/Cable</t>
        </is>
      </c>
      <c r="B79" s="178" t="n"/>
      <c r="C79" s="178" t="n"/>
      <c r="D79" s="178" t="n"/>
      <c r="E79" s="178" t="n"/>
      <c r="F79" s="178" t="n"/>
      <c r="G79" s="179" t="n"/>
      <c r="P79" s="27" t="n"/>
      <c r="Q79" s="27" t="n"/>
      <c r="R79" s="27" t="n"/>
      <c r="S79" s="27" t="n"/>
    </row>
    <row r="80" customFormat="1" s="26">
      <c r="A80" s="61" t="inlineStr">
        <is>
          <t>Item</t>
        </is>
      </c>
      <c r="B80" s="61" t="inlineStr">
        <is>
          <t>Count</t>
        </is>
      </c>
      <c r="C80" s="61" t="inlineStr">
        <is>
          <t>Spares</t>
        </is>
      </c>
      <c r="D80" s="69" t="inlineStr">
        <is>
          <t>Sub-Total</t>
        </is>
      </c>
      <c r="E80" s="59" t="inlineStr">
        <is>
          <t>Model/PN</t>
        </is>
      </c>
      <c r="F80" s="59" t="inlineStr">
        <is>
          <t>Description</t>
        </is>
      </c>
      <c r="G80" s="61" t="inlineStr">
        <is>
          <t>Notes</t>
        </is>
      </c>
      <c r="P80" s="27" t="n"/>
      <c r="Q80" s="27" t="n"/>
      <c r="R80" s="27" t="n"/>
      <c r="S80" s="27" t="n"/>
    </row>
    <row r="81" customFormat="1" s="26">
      <c r="A81" s="62" t="inlineStr">
        <is>
          <t>N-S Storage Leaf-Spine Link Leaf Xcvr</t>
        </is>
      </c>
      <c r="B81" s="62" t="n">
        <v>96</v>
      </c>
      <c r="C81" s="95" t="n">
        <v>0</v>
      </c>
      <c r="D81" s="76">
        <f>B81</f>
        <v/>
      </c>
      <c r="E81" s="113" t="inlineStr">
        <is>
          <t>980-9I30G-F4NM00</t>
        </is>
      </c>
      <c r="F81" s="113" t="inlineStr">
        <is>
          <t>TWIN PORT TRANSCEIVER, 800GBPS,2X400GbE, OSFP, 2XMPO, 1310NM SMF, UP TO 500M, FINNED</t>
        </is>
      </c>
      <c r="G81" s="63" t="inlineStr">
        <is>
          <t> </t>
        </is>
      </c>
      <c r="P81" s="27" t="n"/>
      <c r="Q81" s="27" t="n"/>
      <c r="R81" s="27" t="n"/>
      <c r="S81" s="27" t="n"/>
    </row>
    <row r="82" customFormat="1" s="26">
      <c r="A82" s="62" t="inlineStr">
        <is>
          <t>N-S Storage  Leaf-Spine Link Leaf Xcvr Cable</t>
        </is>
      </c>
      <c r="B82" s="62">
        <f>B81*2</f>
        <v/>
      </c>
      <c r="C82" s="95" t="n">
        <v>0</v>
      </c>
      <c r="D82" s="95">
        <f>B82</f>
        <v/>
      </c>
      <c r="E82" s="113" t="inlineStr">
        <is>
          <t>MFP7E30-N050</t>
        </is>
      </c>
      <c r="F82" s="113" t="inlineStr">
        <is>
          <t>MPO-12/APC to MPO-12/APC cable, 1310nm SMF OS2, 100m max, 50 M</t>
        </is>
      </c>
      <c r="G82" s="63" t="inlineStr">
        <is>
          <t> </t>
        </is>
      </c>
      <c r="P82" s="27" t="n"/>
      <c r="Q82" s="27" t="n"/>
      <c r="R82" s="27" t="n"/>
      <c r="S82" s="27" t="n"/>
    </row>
    <row r="83" customFormat="1" s="26">
      <c r="A83" s="62" t="inlineStr">
        <is>
          <t>N-S Storage Leaf-Spine Link Spine Xcvr</t>
        </is>
      </c>
      <c r="B83" s="62">
        <f>B81</f>
        <v/>
      </c>
      <c r="C83" s="95" t="n">
        <v>0</v>
      </c>
      <c r="D83" s="76">
        <f>B83</f>
        <v/>
      </c>
      <c r="E83" s="113" t="inlineStr">
        <is>
          <t>980-9I30G-F4NM00</t>
        </is>
      </c>
      <c r="F83" s="113" t="inlineStr">
        <is>
          <t>TWIN PORT TRANSCEIVER, 800GBPS,2X400GbE, OSFP, 2XMPO, 1310NM SMF, UP TO 500M, FINNED</t>
        </is>
      </c>
      <c r="G83" s="94" t="inlineStr">
        <is>
          <t> </t>
        </is>
      </c>
      <c r="P83" s="27" t="n"/>
      <c r="Q83" s="27" t="n"/>
      <c r="R83" s="27" t="n"/>
      <c r="S83" s="27" t="n"/>
    </row>
    <row r="84" ht="29.25" customFormat="1" customHeight="1" s="26">
      <c r="A84" s="62" t="inlineStr">
        <is>
          <t>N-S Storage Leaf-Compute Link Leaf Xcvr</t>
        </is>
      </c>
      <c r="B84" s="62" t="n">
        <v>94</v>
      </c>
      <c r="C84" s="95" t="n">
        <v>0</v>
      </c>
      <c r="D84" s="95">
        <f>B84</f>
        <v/>
      </c>
      <c r="E84" s="123" t="inlineStr">
        <is>
          <t xml:space="preserve">MMA4Z00‑NS   </t>
        </is>
      </c>
      <c r="F84" s="134" t="inlineStr">
        <is>
          <t>NVIDIA TWIN PORT TRANSCEIVER, 800GBPS,2X400GbE, OSFP, 2XMPO, MMF, UP TO 500M, FINNED</t>
        </is>
      </c>
      <c r="G84" s="98" t="n"/>
      <c r="H84" s="26" t="inlineStr">
        <is>
          <t>Changed with new storage optic needed</t>
        </is>
      </c>
      <c r="I84" s="122" t="n">
        <v>46233</v>
      </c>
      <c r="P84" s="27" t="n"/>
      <c r="Q84" s="27" t="n"/>
      <c r="R84" s="27" t="n"/>
      <c r="S84" s="27" t="n"/>
    </row>
    <row r="85" customFormat="1" s="26">
      <c r="A85" s="62" t="inlineStr">
        <is>
          <t>N-S Storage Leaf-Compute Link  Cable</t>
        </is>
      </c>
      <c r="B85" s="62">
        <f>B86</f>
        <v/>
      </c>
      <c r="C85" s="95" t="n">
        <v>0</v>
      </c>
      <c r="D85" s="95">
        <f>B85</f>
        <v/>
      </c>
      <c r="E85" s="123" t="inlineStr">
        <is>
          <t xml:space="preserve">MFP7E10‑N005 </t>
        </is>
      </c>
      <c r="F85" s="123" t="inlineStr">
        <is>
          <t xml:space="preserve"> (MPO‑12) multimode fiber cable Type‑B</t>
        </is>
      </c>
      <c r="G85" s="98" t="n"/>
      <c r="P85" s="27" t="n"/>
      <c r="Q85" s="27" t="n"/>
      <c r="R85" s="27" t="n"/>
      <c r="S85" s="27" t="n"/>
    </row>
    <row r="86" customFormat="1" s="26">
      <c r="A86" s="62" t="inlineStr">
        <is>
          <t>N-S Storage Leaf-Compute Link  Xcvr</t>
        </is>
      </c>
      <c r="B86" s="62" t="n">
        <v>188</v>
      </c>
      <c r="C86" s="95" t="n">
        <v>0</v>
      </c>
      <c r="D86" s="95">
        <f>B86</f>
        <v/>
      </c>
      <c r="E86" s="123" t="inlineStr">
        <is>
          <t>C4X6C VSR4 Hisense 80C multi‑mode QSFP112 transceiver</t>
        </is>
      </c>
      <c r="F86" s="123" t="inlineStr">
        <is>
          <t>C4X6C VSR4 Hisense 80C multi‑mode QSFP112 transceiver</t>
        </is>
      </c>
      <c r="G86" s="98" t="n"/>
      <c r="H86" s="26" t="inlineStr">
        <is>
          <t>Changed with new storage optic needed</t>
        </is>
      </c>
      <c r="P86" s="27" t="n"/>
      <c r="Q86" s="27" t="n"/>
      <c r="R86" s="27" t="n"/>
      <c r="S86" s="27" t="n"/>
    </row>
    <row r="87" ht="15" customFormat="1" customHeight="1" s="26" thickBot="1">
      <c r="A87" s="62" t="n"/>
      <c r="B87" s="62" t="n"/>
      <c r="C87" s="95" t="n"/>
      <c r="D87" s="95" t="n"/>
      <c r="E87" s="135" t="inlineStr">
        <is>
          <t> </t>
        </is>
      </c>
      <c r="F87" s="135" t="inlineStr">
        <is>
          <t> </t>
        </is>
      </c>
      <c r="G87" s="116" t="inlineStr">
        <is>
          <t> </t>
        </is>
      </c>
      <c r="P87" s="27" t="n"/>
      <c r="Q87" s="27" t="n"/>
      <c r="R87" s="27" t="n"/>
      <c r="S87" s="27" t="n"/>
    </row>
    <row r="88" customFormat="1" s="26">
      <c r="A88" s="183" t="inlineStr">
        <is>
          <t>North-South Control POD: Transceiver and Fiber/Cable</t>
        </is>
      </c>
      <c r="B88" s="181" t="n"/>
      <c r="C88" s="181" t="n"/>
      <c r="D88" s="181" t="n"/>
      <c r="E88" s="181" t="n"/>
      <c r="F88" s="181" t="n"/>
      <c r="G88" s="182" t="n"/>
      <c r="P88" s="27" t="n"/>
      <c r="Q88" s="27" t="n"/>
      <c r="R88" s="27" t="n"/>
      <c r="S88" s="27" t="n"/>
    </row>
    <row r="89" customFormat="1" s="26">
      <c r="A89" s="61" t="inlineStr">
        <is>
          <t>Item</t>
        </is>
      </c>
      <c r="B89" s="61" t="inlineStr">
        <is>
          <t>Count</t>
        </is>
      </c>
      <c r="C89" s="61" t="inlineStr">
        <is>
          <t>Spares</t>
        </is>
      </c>
      <c r="D89" s="69" t="inlineStr">
        <is>
          <t>Sub-Total</t>
        </is>
      </c>
      <c r="E89" s="59" t="inlineStr">
        <is>
          <t>Model/PN</t>
        </is>
      </c>
      <c r="F89" s="59" t="inlineStr">
        <is>
          <t>Description</t>
        </is>
      </c>
      <c r="G89" s="61" t="inlineStr">
        <is>
          <t>Notes</t>
        </is>
      </c>
      <c r="P89" s="27" t="n"/>
      <c r="Q89" s="27" t="n"/>
      <c r="R89" s="27" t="n"/>
      <c r="S89" s="27" t="n"/>
    </row>
    <row r="90" customFormat="1" s="26">
      <c r="A90" s="62" t="inlineStr">
        <is>
          <t>N-S Control Leaf-Spine Link Leaf Xcvr</t>
        </is>
      </c>
      <c r="B90" s="62" t="n">
        <v>16</v>
      </c>
      <c r="C90" s="95" t="n">
        <v>0</v>
      </c>
      <c r="D90" s="95">
        <f>B90+C90</f>
        <v/>
      </c>
      <c r="E90" s="113" t="inlineStr">
        <is>
          <t>980-9I30G-F4NM00</t>
        </is>
      </c>
      <c r="F90" s="113" t="inlineStr">
        <is>
          <t>TWIN PORT TRANSCEIVER, 800GBPS,2X400GbE, OSFP, 2XMPO, 1310NM SMF, UP TO 500M, FINNED</t>
        </is>
      </c>
      <c r="G90" s="63" t="inlineStr">
        <is>
          <t>Optics: Leaf to Spine</t>
        </is>
      </c>
      <c r="H90" s="26" t="inlineStr">
        <is>
          <t>Changed to total control of 208 vs quoted 256 due to change in CPU nodes</t>
        </is>
      </c>
      <c r="I90" s="122" t="n">
        <v>46233</v>
      </c>
      <c r="P90" s="27" t="n"/>
      <c r="Q90" s="27" t="n"/>
      <c r="R90" s="27" t="n"/>
      <c r="S90" s="27" t="n"/>
    </row>
    <row r="91" customFormat="1" s="26">
      <c r="A91" s="62" t="inlineStr">
        <is>
          <t>N-S Control Leaf-Spine Link Leaf Xcvr Cable</t>
        </is>
      </c>
      <c r="B91" s="62">
        <f>B90*2</f>
        <v/>
      </c>
      <c r="C91" s="95" t="n">
        <v>0</v>
      </c>
      <c r="D91" s="95">
        <f>B91+C91</f>
        <v/>
      </c>
      <c r="E91" s="113" t="inlineStr">
        <is>
          <t>MFP7E30-N050</t>
        </is>
      </c>
      <c r="F91" s="113" t="inlineStr">
        <is>
          <t>MPO-12/APC to MPO-12/APC cable, 1310nm SMF OS2, 100m max, 50 M</t>
        </is>
      </c>
      <c r="G91" s="63" t="inlineStr">
        <is>
          <t>Cables: Leaf to Spine</t>
        </is>
      </c>
      <c r="P91" s="27" t="n"/>
      <c r="Q91" s="27" t="n"/>
      <c r="R91" s="27" t="n"/>
      <c r="S91" s="27" t="n"/>
    </row>
    <row r="92" customFormat="1" s="26">
      <c r="A92" s="62" t="inlineStr">
        <is>
          <t>N-S Control Leaf-Spine Link Spine Xcvr</t>
        </is>
      </c>
      <c r="B92" s="127" t="n">
        <v>24</v>
      </c>
      <c r="C92" s="95" t="n">
        <v>0</v>
      </c>
      <c r="D92" s="126">
        <f>B92</f>
        <v/>
      </c>
      <c r="E92" s="113" t="inlineStr">
        <is>
          <t>980-9I30G-F4NM00</t>
        </is>
      </c>
      <c r="F92" s="113" t="inlineStr">
        <is>
          <t>TWIN PORT TRANSCEIVER, 800GBPS,2X400GbE, OSFP, 2XMPO, 1310NM SMF, UP TO 500M, FINNED</t>
        </is>
      </c>
      <c r="G92" s="94" t="inlineStr">
        <is>
          <t>Optics: Spine to Leaf</t>
        </is>
      </c>
      <c r="P92" s="27" t="n"/>
      <c r="Q92" s="27" t="n"/>
      <c r="R92" s="27" t="n"/>
      <c r="S92" s="27" t="n"/>
    </row>
    <row r="93" customFormat="1" s="26">
      <c r="A93" s="62" t="inlineStr">
        <is>
          <t>N-S Control Leaf-Compute Leaf Xcvr</t>
        </is>
      </c>
      <c r="B93" s="62" t="n">
        <v>48</v>
      </c>
      <c r="C93" s="95" t="n">
        <v>0</v>
      </c>
      <c r="D93" s="95">
        <f>B93</f>
        <v/>
      </c>
      <c r="E93" s="113" t="inlineStr">
        <is>
          <t>980-9I30G-F4NM00</t>
        </is>
      </c>
      <c r="F93" s="113" t="inlineStr">
        <is>
          <t>TWIN PORT TRANSCEIVER, 800GBPS,2X400GbE, OSFP, 2XMPO, 1310NM SMF, UP TO 500M, FINNED</t>
        </is>
      </c>
      <c r="G93" s="94" t="n"/>
      <c r="P93" s="27" t="n"/>
      <c r="Q93" s="27" t="n"/>
      <c r="R93" s="27" t="n"/>
      <c r="S93" s="27" t="n"/>
    </row>
    <row r="94" customFormat="1" s="26">
      <c r="A94" s="62" t="inlineStr">
        <is>
          <t>N-S Control Leaf-Compute Leaf Cable</t>
        </is>
      </c>
      <c r="B94" s="62" t="n">
        <v>96</v>
      </c>
      <c r="C94" s="95" t="n">
        <v>0</v>
      </c>
      <c r="D94" s="95">
        <f>B94+C94</f>
        <v/>
      </c>
      <c r="E94" s="113" t="inlineStr">
        <is>
          <t>MFP7E40-N050</t>
        </is>
      </c>
      <c r="F94" s="113" t="inlineStr">
        <is>
          <t>MPO-12/APC to 2xMPO-12/APC cable, 1310nm SMF OS2, 100m max, 50 M</t>
        </is>
      </c>
      <c r="G94" s="63" t="n"/>
      <c r="P94" s="27" t="n"/>
      <c r="Q94" s="27" t="n"/>
      <c r="R94" s="27" t="n"/>
      <c r="S94" s="27" t="n"/>
    </row>
    <row r="95" ht="31.2" customFormat="1" customHeight="1" s="26">
      <c r="A95" s="62" t="inlineStr">
        <is>
          <t>N-S Control Leaf-Compute Xcvr</t>
        </is>
      </c>
      <c r="B95" s="62" t="n">
        <v>192</v>
      </c>
      <c r="C95" s="95" t="n">
        <v>0</v>
      </c>
      <c r="D95" s="95">
        <f>B95+C95</f>
        <v/>
      </c>
      <c r="E95" s="114" t="inlineStr">
        <is>
          <t>MMS1X00-NS400</t>
        </is>
      </c>
      <c r="F95" s="115" t="inlineStr">
        <is>
          <t>NVIDIA single port transceiver, 400Gbps, NDR, QSFP112, MPO, 1310nm SMF, up to 500m, flat top</t>
        </is>
      </c>
      <c r="G95" s="65" t="inlineStr">
        <is>
          <t>BF3140 - connect to Z9864F at 200G</t>
        </is>
      </c>
      <c r="H95" s="26" t="inlineStr">
        <is>
          <t>Changed to 192 due to decrease in CPU node</t>
        </is>
      </c>
      <c r="P95" s="27" t="n"/>
      <c r="Q95" s="27" t="n"/>
      <c r="R95" s="27" t="n"/>
      <c r="S95" s="27" t="n"/>
    </row>
    <row r="96" customFormat="1" s="27">
      <c r="A96" s="183" t="inlineStr">
        <is>
          <t>OOB Cluster : Transceiver and Fiber/Cable</t>
        </is>
      </c>
      <c r="B96" s="181" t="n"/>
      <c r="C96" s="181" t="n"/>
      <c r="D96" s="181" t="n"/>
      <c r="E96" s="181" t="n"/>
      <c r="F96" s="181" t="n"/>
      <c r="G96" s="182" t="n"/>
    </row>
    <row r="97" customFormat="1" s="26">
      <c r="A97" s="59" t="inlineStr">
        <is>
          <t>Item</t>
        </is>
      </c>
      <c r="B97" s="59" t="inlineStr">
        <is>
          <t>Count</t>
        </is>
      </c>
      <c r="C97" s="59" t="inlineStr">
        <is>
          <t>Spares</t>
        </is>
      </c>
      <c r="D97" s="60" t="inlineStr">
        <is>
          <t>Sub-Total</t>
        </is>
      </c>
      <c r="E97" s="59" t="inlineStr">
        <is>
          <t>Model/PN</t>
        </is>
      </c>
      <c r="F97" s="59" t="inlineStr">
        <is>
          <t>Description</t>
        </is>
      </c>
      <c r="G97" s="59" t="inlineStr">
        <is>
          <t>Notes</t>
        </is>
      </c>
      <c r="P97" s="27" t="n"/>
      <c r="Q97" s="27" t="n"/>
      <c r="R97" s="27" t="n"/>
      <c r="S97" s="27" t="n"/>
    </row>
    <row r="98" customFormat="1" s="27">
      <c r="A98" s="62" t="inlineStr">
        <is>
          <t>OOB ToR Cable to end nodes</t>
        </is>
      </c>
      <c r="B98" s="99">
        <f>B19*40</f>
        <v/>
      </c>
      <c r="C98" s="95" t="n">
        <v>0</v>
      </c>
      <c r="D98" s="95">
        <f>SUM(B98:C98)</f>
        <v/>
      </c>
      <c r="E98" s="64" t="inlineStr">
        <is>
          <t>Cat 6</t>
        </is>
      </c>
      <c r="F98" s="62" t="inlineStr">
        <is>
          <t xml:space="preserve">Cat 6 </t>
        </is>
      </c>
      <c r="G98" s="62" t="n"/>
    </row>
    <row r="99" customFormat="1" s="128">
      <c r="A99" s="127" t="inlineStr">
        <is>
          <t>OOB ToR-AGG Link ToR Xcvr</t>
        </is>
      </c>
      <c r="B99" s="127">
        <f>B19*2</f>
        <v/>
      </c>
      <c r="C99" s="126" t="n">
        <v>0</v>
      </c>
      <c r="D99" s="126">
        <f>SUM(B99:C99)</f>
        <v/>
      </c>
      <c r="E99" s="132" t="inlineStr">
        <is>
          <t>980-9I042- 00C000</t>
        </is>
      </c>
      <c r="F99" s="132" t="inlineStr">
        <is>
          <t>Mellanox transceiver, 100GbE, QSFP28, LC-LC, 1310nm, DR1</t>
        </is>
      </c>
      <c r="G99" s="129" t="inlineStr">
        <is>
          <t> </t>
        </is>
      </c>
    </row>
    <row r="100" customFormat="1" s="27">
      <c r="A100" s="62" t="inlineStr">
        <is>
          <t>OOB ToR-AGG Link ToR Xcvr Cable</t>
        </is>
      </c>
      <c r="B100" s="62">
        <f>B20*30</f>
        <v/>
      </c>
      <c r="C100" s="95" t="n">
        <v>0</v>
      </c>
      <c r="D100" s="95">
        <f>SUM(B100:C100)</f>
        <v/>
      </c>
      <c r="E100" s="108" t="inlineStr">
        <is>
          <t>J6TD3</t>
        </is>
      </c>
      <c r="F100" s="112" t="inlineStr">
        <is>
          <t>CBL-MPO12-4LC-SMF-5M</t>
        </is>
      </c>
      <c r="G100" s="62" t="inlineStr">
        <is>
          <t xml:space="preserve">only 5M is available </t>
        </is>
      </c>
    </row>
    <row r="101" customFormat="1" s="27">
      <c r="A101" s="62" t="inlineStr">
        <is>
          <t>OOB TOR-AGG Link TOR Cable</t>
        </is>
      </c>
      <c r="B101" s="62">
        <f>B99</f>
        <v/>
      </c>
      <c r="C101" s="95" t="n">
        <v>0</v>
      </c>
      <c r="D101" s="95">
        <f>B101</f>
        <v/>
      </c>
      <c r="E101" s="123" t="inlineStr">
        <is>
          <t xml:space="preserve">A7204378 </t>
        </is>
      </c>
      <c r="F101" s="133" t="inlineStr">
        <is>
          <t>Switch Xcvr to LC Patch Panel LC-LC short leg patch cable, Other end is MPO to 4xLC to OOB Spine</t>
        </is>
      </c>
      <c r="G101" s="62" t="n"/>
    </row>
    <row r="102" customFormat="1" s="27">
      <c r="A102" s="62" t="inlineStr">
        <is>
          <t>4x100G Break out Patch Panel local to AGGR rack</t>
        </is>
      </c>
      <c r="B102" s="62" t="n">
        <v>4</v>
      </c>
      <c r="C102" s="95" t="n">
        <v>0</v>
      </c>
      <c r="D102" s="95" t="n">
        <v>4</v>
      </c>
      <c r="E102" s="124" t="inlineStr">
        <is>
          <t>Corning has to provide the part number</t>
        </is>
      </c>
      <c r="F102" s="124" t="inlineStr">
        <is>
          <t>One Patch Panel to rack where SN4700 is installed since 4x100G cable length max size is 5m</t>
        </is>
      </c>
      <c r="G102" s="62" t="n"/>
    </row>
    <row r="103" customFormat="1" s="128">
      <c r="A103" s="127" t="inlineStr">
        <is>
          <t xml:space="preserve">OOB ToR-AGG Link AGGR Xcvr </t>
        </is>
      </c>
      <c r="B103" s="127">
        <f>B20*30</f>
        <v/>
      </c>
      <c r="C103" s="126" t="n">
        <v>0</v>
      </c>
      <c r="D103" s="126">
        <f>SUM(B103:C103)</f>
        <v/>
      </c>
      <c r="E103" s="132" t="inlineStr">
        <is>
          <t>980-9I16Y-00W000</t>
        </is>
      </c>
      <c r="F103" s="132" t="inlineStr">
        <is>
          <t>Mellanox transceiver, 400GbE, QSFP-DD, MPO, 1310nm, DR4+</t>
        </is>
      </c>
      <c r="G103" s="127" t="inlineStr">
        <is>
          <t>Additional for IREN Border Leaf [120x DR4+]</t>
        </is>
      </c>
    </row>
    <row r="104" customFormat="1" s="27">
      <c r="A104" s="62" t="inlineStr">
        <is>
          <t>OOB AGG-Border leaf Link AGG Xcvr</t>
        </is>
      </c>
      <c r="B104" s="62" t="n">
        <v>8</v>
      </c>
      <c r="C104" s="95">
        <f>B104*0.02</f>
        <v/>
      </c>
      <c r="D104" s="95">
        <f>SUM(B104:C104)</f>
        <v/>
      </c>
      <c r="E104" s="123" t="inlineStr">
        <is>
          <t>980-9I16Y-00W000</t>
        </is>
      </c>
      <c r="F104" s="123" t="inlineStr">
        <is>
          <t>Mellanox transceiver, 400GbE, QSFP-DD, MPO, 1310nm, DR4+</t>
        </is>
      </c>
      <c r="G104" s="62" t="n"/>
    </row>
    <row r="105" customFormat="1" s="27">
      <c r="A105" s="62" t="inlineStr">
        <is>
          <t>OOB AGG-Border Link Border Xcvr Cable</t>
        </is>
      </c>
      <c r="B105" s="62" t="n">
        <v>8</v>
      </c>
      <c r="C105" s="95">
        <f>B105*0.02</f>
        <v/>
      </c>
      <c r="D105" s="95">
        <f>SUM(B105:C105)</f>
        <v/>
      </c>
      <c r="E105" s="107" t="inlineStr">
        <is>
          <t>D3P20</t>
        </is>
      </c>
      <c r="F105" s="123" t="inlineStr">
        <is>
          <t>CBL-MPO12-APC-SMF-5M</t>
        </is>
      </c>
      <c r="G105" s="62" t="n"/>
    </row>
    <row r="106" customFormat="1" s="27">
      <c r="A106" s="62" t="inlineStr">
        <is>
          <t xml:space="preserve">OOB AGG-Border Link Border Xcvr </t>
        </is>
      </c>
      <c r="B106" s="62" t="n">
        <v>8</v>
      </c>
      <c r="C106" s="95">
        <f>B106*0.02</f>
        <v/>
      </c>
      <c r="D106" s="95">
        <f>SUM(B106:C106)</f>
        <v/>
      </c>
      <c r="E106" s="123" t="inlineStr">
        <is>
          <t>980-9I16Y-00W000</t>
        </is>
      </c>
      <c r="F106" s="123" t="inlineStr">
        <is>
          <t>Mellanox transceiver, 400GbE, QSFP-DD, MPO, 1310nm, DR4+</t>
        </is>
      </c>
      <c r="G106" s="62" t="n"/>
      <c r="H106" s="26" t="n"/>
      <c r="I106" s="26" t="n"/>
      <c r="J106" s="26" t="n"/>
      <c r="K106" s="26" t="n"/>
      <c r="L106" s="26" t="n"/>
      <c r="M106" s="26" t="n"/>
      <c r="N106" s="26" t="n"/>
      <c r="O106" s="26" t="n"/>
    </row>
    <row r="107" customFormat="1" s="27">
      <c r="A107" s="166" t="inlineStr">
        <is>
          <t>Border Leaf : Transceiver and Fiber/Cable</t>
        </is>
      </c>
      <c r="B107" s="178" t="n"/>
      <c r="C107" s="178" t="n"/>
      <c r="D107" s="178" t="n"/>
      <c r="E107" s="178" t="n"/>
      <c r="F107" s="178" t="n"/>
      <c r="G107" s="179" t="n"/>
      <c r="H107" s="26" t="n"/>
      <c r="I107" s="26" t="n"/>
      <c r="J107" s="26" t="n"/>
      <c r="K107" s="26" t="n"/>
      <c r="L107" s="26" t="n"/>
      <c r="M107" s="26" t="n"/>
      <c r="N107" s="26" t="n"/>
      <c r="O107" s="26" t="n"/>
    </row>
    <row r="108" customFormat="1" s="27">
      <c r="A108" s="166" t="inlineStr">
        <is>
          <t>Item</t>
        </is>
      </c>
      <c r="B108" s="166" t="inlineStr">
        <is>
          <t>Count</t>
        </is>
      </c>
      <c r="C108" s="166" t="inlineStr">
        <is>
          <t>Spares</t>
        </is>
      </c>
      <c r="D108" s="102" t="inlineStr">
        <is>
          <t>Sub-Total</t>
        </is>
      </c>
      <c r="E108" s="103" t="inlineStr">
        <is>
          <t>Model/PN</t>
        </is>
      </c>
      <c r="F108" s="166" t="inlineStr">
        <is>
          <t>Description</t>
        </is>
      </c>
      <c r="G108" s="166" t="inlineStr">
        <is>
          <t>Notes</t>
        </is>
      </c>
      <c r="H108" s="26" t="n"/>
      <c r="I108" s="26" t="n"/>
      <c r="J108" s="26" t="n"/>
      <c r="K108" s="26" t="n"/>
      <c r="L108" s="26" t="n"/>
      <c r="M108" s="26" t="n"/>
      <c r="N108" s="26" t="n"/>
      <c r="O108" s="26" t="n"/>
    </row>
    <row r="109" customFormat="1" s="27">
      <c r="A109" s="100" t="inlineStr">
        <is>
          <t xml:space="preserve">Border Leaf to Spine - Border leaf tranceiver </t>
        </is>
      </c>
      <c r="B109" s="100" t="n">
        <v>8</v>
      </c>
      <c r="C109" s="100" t="n">
        <v>0</v>
      </c>
      <c r="D109" s="104">
        <f>SUM(B109:C109)</f>
        <v/>
      </c>
      <c r="E109" s="118" t="inlineStr">
        <is>
          <t>IREN will Provide</t>
        </is>
      </c>
      <c r="F109" s="118" t="inlineStr">
        <is>
          <t>IREN Will Provide</t>
        </is>
      </c>
      <c r="G109" s="100" t="n"/>
      <c r="H109" s="26" t="n"/>
      <c r="I109" s="26" t="n"/>
      <c r="J109" s="26" t="n"/>
      <c r="K109" s="26" t="n"/>
      <c r="L109" s="26" t="n"/>
      <c r="M109" s="26" t="n"/>
      <c r="N109" s="26" t="n"/>
      <c r="O109" s="26" t="n"/>
    </row>
    <row r="110" customFormat="1" s="27">
      <c r="A110" s="100" t="inlineStr">
        <is>
          <t>Border Leaf to Spine - Border leaf - Spine Cable</t>
        </is>
      </c>
      <c r="B110" s="100" t="n">
        <v>8</v>
      </c>
      <c r="C110" s="100" t="n">
        <v>0</v>
      </c>
      <c r="D110" s="104">
        <f>SUM(B110:C110)</f>
        <v/>
      </c>
      <c r="E110" s="113" t="inlineStr">
        <is>
          <t>MFP7E30-N050</t>
        </is>
      </c>
      <c r="F110" s="113" t="inlineStr">
        <is>
          <t>MPO-12/APC to MPO-12/APC cable, 1310nm SMF OS2, 100m max, 50 M</t>
        </is>
      </c>
      <c r="G110" s="100" t="n"/>
      <c r="H110" s="26" t="n"/>
      <c r="I110" s="26" t="n"/>
      <c r="J110" s="26" t="n"/>
      <c r="K110" s="26" t="n"/>
      <c r="L110" s="26" t="n"/>
      <c r="M110" s="26" t="n"/>
      <c r="N110" s="26" t="n"/>
      <c r="O110" s="26" t="n"/>
    </row>
    <row r="111" customFormat="1" s="27">
      <c r="A111" s="100" t="inlineStr">
        <is>
          <t xml:space="preserve">Border Leaf to Spine - Border Spine tranceiver </t>
        </is>
      </c>
      <c r="B111" s="100" t="n">
        <v>8</v>
      </c>
      <c r="C111" s="100" t="n">
        <v>0</v>
      </c>
      <c r="D111" s="104">
        <f>SUM(B111:C111)</f>
        <v/>
      </c>
      <c r="E111" s="113" t="inlineStr">
        <is>
          <t>980-9I30G-F4NM00</t>
        </is>
      </c>
      <c r="F111" s="113" t="inlineStr">
        <is>
          <t>TWIN PORT TRANSCEIVER, 800GBPS,2X400GbE, OSFP, 2XMPO, 1310NM SMF, UP TO 500M, FINNED</t>
        </is>
      </c>
      <c r="G111" s="100" t="n"/>
      <c r="H111" s="26" t="n"/>
      <c r="I111" s="26" t="n"/>
      <c r="J111" s="26" t="n"/>
      <c r="K111" s="26" t="n"/>
      <c r="L111" s="26" t="n"/>
      <c r="M111" s="26" t="n"/>
      <c r="N111" s="26" t="n"/>
      <c r="O111" s="26" t="n"/>
    </row>
    <row r="112" customFormat="1" s="27">
      <c r="A112" s="65" t="n"/>
      <c r="B112" s="65" t="n"/>
      <c r="C112" s="65" t="n"/>
      <c r="D112" s="65" t="n"/>
      <c r="E112" s="65" t="n"/>
      <c r="F112" s="65" t="n"/>
      <c r="G112" s="65" t="n"/>
      <c r="H112" s="26" t="n"/>
      <c r="I112" s="26" t="n"/>
      <c r="J112" s="26" t="n"/>
      <c r="K112" s="26" t="n"/>
      <c r="L112" s="26" t="n"/>
      <c r="M112" s="26" t="n"/>
      <c r="N112" s="26" t="n"/>
      <c r="O112" s="26" t="n"/>
    </row>
    <row r="113" ht="15" customHeight="1" thickBot="1">
      <c r="A113" s="83" t="n"/>
      <c r="B113" s="83" t="n"/>
      <c r="C113" s="83" t="n"/>
      <c r="D113" s="83" t="n"/>
      <c r="E113" s="83" t="n"/>
      <c r="F113" s="83" t="n"/>
      <c r="G113" s="83" t="n"/>
    </row>
    <row r="114" ht="37.5" customHeight="1" thickBot="1">
      <c r="A114" s="184" t="inlineStr">
        <is>
          <t>LIMITED EDITING BELOW THIS LINE</t>
        </is>
      </c>
      <c r="B114" s="185" t="n"/>
      <c r="C114" s="185" t="n"/>
      <c r="D114" s="185" t="n"/>
      <c r="E114" s="185" t="n"/>
      <c r="F114" s="185" t="n"/>
      <c r="G114" s="186" t="n"/>
    </row>
    <row r="115">
      <c r="A115" s="83" t="n"/>
      <c r="B115" s="83" t="n"/>
      <c r="C115" s="83" t="n"/>
      <c r="D115" s="83" t="n"/>
      <c r="E115" s="83" t="n"/>
      <c r="F115" s="83" t="n"/>
      <c r="G115" s="83" t="n"/>
    </row>
    <row r="116" ht="15" customHeight="1" thickBot="1">
      <c r="A116" s="83" t="n"/>
      <c r="B116" s="83" t="n"/>
      <c r="C116" s="83" t="n"/>
      <c r="D116" s="83" t="n"/>
      <c r="E116" s="83" t="n"/>
      <c r="F116" s="83" t="n"/>
      <c r="G116" s="83" t="n"/>
    </row>
    <row r="117" ht="27.6" customHeight="1">
      <c r="A117" s="84" t="inlineStr">
        <is>
          <t>Row End Range for Column D
 (MUST Be Set Correctly)</t>
        </is>
      </c>
      <c r="B117" s="157" t="inlineStr">
        <is>
          <t>Row End Range for Column E
 (MUST Be Set Correctly)</t>
        </is>
      </c>
      <c r="C117" s="187" t="n"/>
      <c r="D117" s="188" t="n"/>
      <c r="E117" s="85" t="inlineStr">
        <is>
          <t>Row End Range for Column F
 (MUST Be Set Correctly)</t>
        </is>
      </c>
      <c r="F117" s="58" t="n"/>
      <c r="G117" s="86" t="n"/>
      <c r="H117" s="45" t="n"/>
      <c r="I117" s="45" t="n"/>
    </row>
    <row r="118" ht="15" customHeight="1" thickBot="1">
      <c r="A118" s="87" t="inlineStr">
        <is>
          <t>D110</t>
        </is>
      </c>
      <c r="B118" s="160" t="inlineStr">
        <is>
          <t>E110</t>
        </is>
      </c>
      <c r="C118" s="189" t="n"/>
      <c r="D118" s="190" t="n"/>
      <c r="E118" s="88" t="inlineStr">
        <is>
          <t>F110</t>
        </is>
      </c>
      <c r="F118" s="58" t="n"/>
      <c r="G118" s="83" t="n"/>
      <c r="H118" s="41" t="n"/>
      <c r="I118" s="41" t="n"/>
    </row>
    <row r="119">
      <c r="A119" s="89" t="n"/>
      <c r="B119" s="83" t="n"/>
      <c r="C119" s="83" t="n"/>
      <c r="D119" s="83" t="n"/>
      <c r="E119" s="83" t="n"/>
      <c r="F119" s="83" t="n"/>
      <c r="G119" s="83" t="n"/>
    </row>
    <row r="120" ht="75.75" customHeight="1">
      <c r="A120" s="149" t="inlineStr">
        <is>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is>
      </c>
    </row>
    <row r="121" ht="15" customHeight="1" thickBot="1">
      <c r="A121" s="83" t="n"/>
      <c r="B121" s="83" t="n"/>
      <c r="C121" s="65" t="n"/>
      <c r="D121" s="83" t="n"/>
      <c r="E121" s="83" t="n"/>
      <c r="F121" s="83" t="n"/>
      <c r="G121" s="83" t="n"/>
    </row>
    <row r="122">
      <c r="A122" s="68" t="n"/>
      <c r="B122" s="141" t="inlineStr">
        <is>
          <t>Summary Table</t>
        </is>
      </c>
      <c r="C122" s="187" t="n"/>
      <c r="D122" s="187" t="n"/>
      <c r="E122" s="187" t="n"/>
      <c r="F122" s="187" t="n"/>
      <c r="G122" s="188" t="n"/>
      <c r="H122" s="43" t="n"/>
      <c r="I122" s="43" t="n"/>
      <c r="J122" s="43" t="n"/>
      <c r="K122" s="43" t="n"/>
      <c r="L122" s="43" t="n"/>
      <c r="M122" s="43" t="n"/>
    </row>
    <row r="123">
      <c r="A123" s="65" t="n"/>
      <c r="B123" s="90" t="inlineStr">
        <is>
          <t>DPN</t>
        </is>
      </c>
      <c r="C123" s="90" t="inlineStr">
        <is>
          <t>SKU</t>
        </is>
      </c>
      <c r="D123" s="91" t="inlineStr">
        <is>
          <t>Count</t>
        </is>
      </c>
      <c r="E123" s="92" t="inlineStr">
        <is>
          <t>Item Model/PN</t>
        </is>
      </c>
      <c r="F123" s="92" t="inlineStr">
        <is>
          <t>Description</t>
        </is>
      </c>
      <c r="G123" s="93" t="inlineStr">
        <is>
          <t>Notes</t>
        </is>
      </c>
      <c r="H123" s="43" t="n"/>
      <c r="I123" s="43" t="n"/>
      <c r="J123" s="43" t="n"/>
      <c r="K123" s="43" t="n"/>
      <c r="L123" s="43" t="n"/>
      <c r="M123" s="43" t="n"/>
    </row>
    <row r="124">
      <c r="A124" s="65" t="n"/>
      <c r="B124" s="72" t="n"/>
      <c r="C124" s="72" t="n"/>
      <c r="D124" s="76">
        <f>SUMIF($E$2:INDIRECT($B$118),E124,$D$2:INDIRECT($A$118))</f>
        <v/>
      </c>
      <c r="E124" s="67">
        <f t="array" ref="E124:E144">IFERROR(_xlfn._xlws.SORT(_xlfn.UNIQUE(_xlfn._xlws.FILTER(E2:INDIRECT($B$118),(E2:INDIRECT($B$118)&lt;&gt;0)*(E2:INDIRECT($B$118)&lt;&gt;" ")*(ISERROR(SEARCH("Model",E2:INDIRECT($B$118))))))),"               [No Date in Source Table]")</f>
        <v/>
      </c>
      <c r="F124" s="67">
        <f>IFERROR(IF(INDEX($F$2:INDIRECT($E$118),MATCH(E124,$E$2:INDIRECT($B$118),0))=0," ",INDEX($F$2:INDIRECT($E$118),MATCH(E124,$E$2:INDIRECT($B$118),0))),"   [ Adjacent Item Model/PN cell is Empty ]")</f>
        <v/>
      </c>
      <c r="G124" s="67" t="n"/>
      <c r="H124" s="43" t="n"/>
      <c r="I124" s="43" t="n"/>
      <c r="J124" s="43" t="n"/>
      <c r="K124" s="43" t="n"/>
      <c r="L124" s="43" t="n"/>
      <c r="M124" s="43" t="n"/>
    </row>
    <row r="125">
      <c r="A125" s="65" t="n"/>
      <c r="B125" s="72" t="n"/>
      <c r="C125" s="72" t="n"/>
      <c r="D125" s="76">
        <f>SUMIF($E$2:INDIRECT($B$118),E125,$D$2:INDIRECT($A$118))</f>
        <v/>
      </c>
      <c r="E125" s="67" t="inlineStr">
        <is>
          <t>=</t>
        </is>
      </c>
      <c r="F125" s="67">
        <f>IFERROR(IF(INDEX($F$2:INDIRECT($E$118),MATCH(E125,$E$2:INDIRECT($B$118),0))=0," ",INDEX($F$2:INDIRECT($E$118),MATCH(E125,$E$2:INDIRECT($B$118),0))),"   [ Adjacent Item Model/PN cell is Empty ]")</f>
        <v/>
      </c>
      <c r="G125" s="72" t="n"/>
      <c r="H125" s="43" t="n"/>
      <c r="I125" s="43" t="n"/>
      <c r="J125" s="43" t="n"/>
      <c r="K125" s="43" t="n"/>
      <c r="L125" s="43" t="n"/>
      <c r="M125" s="43" t="n"/>
    </row>
    <row r="126">
      <c r="A126" s="65" t="n"/>
      <c r="B126" s="72" t="n"/>
      <c r="C126" s="72" t="n"/>
      <c r="D126" s="76">
        <f>SUMIF($E$2:INDIRECT($B$118),E126,$D$2:INDIRECT($A$118))</f>
        <v/>
      </c>
      <c r="E126" s="67" t="inlineStr">
        <is>
          <t>=</t>
        </is>
      </c>
      <c r="F126" s="67">
        <f>IFERROR(IF(INDEX($F$2:INDIRECT($E$118),MATCH(E126,$E$2:INDIRECT($B$118),0))=0," ",INDEX($F$2:INDIRECT($E$118),MATCH(E126,$E$2:INDIRECT($B$118),0))),"   [ Adjacent Item Model/PN cell is Empty ]")</f>
        <v/>
      </c>
      <c r="G126" s="72" t="n"/>
      <c r="H126" s="43" t="n"/>
      <c r="I126" s="43" t="n"/>
      <c r="J126" s="43" t="n"/>
      <c r="K126" s="43" t="n"/>
      <c r="L126" s="43" t="n"/>
      <c r="M126" s="43" t="n"/>
    </row>
    <row r="127">
      <c r="A127" s="65" t="n"/>
      <c r="B127" s="72" t="n"/>
      <c r="C127" s="72" t="n"/>
      <c r="D127" s="76">
        <f>SUMIF($E$2:INDIRECT($B$118),E127,$D$2:INDIRECT($A$118))</f>
        <v/>
      </c>
      <c r="E127" s="67" t="inlineStr">
        <is>
          <t>=</t>
        </is>
      </c>
      <c r="F127" s="67">
        <f>IFERROR(IF(INDEX($F$2:INDIRECT($E$118),MATCH(E127,$E$2:INDIRECT($B$118),0))=0," ",INDEX($F$2:INDIRECT($E$118),MATCH(E127,$E$2:INDIRECT($B$118),0))),"   [ Adjacent Item Model/PN cell is Empty ]")</f>
        <v/>
      </c>
      <c r="G127" s="72" t="n"/>
      <c r="H127" s="43" t="n"/>
      <c r="I127" s="43" t="n"/>
      <c r="J127" s="43" t="n"/>
      <c r="K127" s="43" t="n"/>
      <c r="L127" s="43" t="n"/>
      <c r="M127" s="43" t="n"/>
    </row>
    <row r="128">
      <c r="A128" s="65" t="n"/>
      <c r="B128" s="72" t="n"/>
      <c r="C128" s="72" t="n"/>
      <c r="D128" s="76">
        <f>SUMIF($E$2:INDIRECT($B$118),E128,$D$2:INDIRECT($A$118))</f>
        <v/>
      </c>
      <c r="E128" s="67" t="inlineStr">
        <is>
          <t>=</t>
        </is>
      </c>
      <c r="F128" s="67">
        <f>IFERROR(IF(INDEX($F$2:INDIRECT($E$118),MATCH(E128,$E$2:INDIRECT($B$118),0))=0," ",INDEX($F$2:INDIRECT($E$118),MATCH(E128,$E$2:INDIRECT($B$118),0))),"   [ Adjacent Item Model/PN cell is Empty ]")</f>
        <v/>
      </c>
      <c r="G128" s="72" t="n"/>
      <c r="H128" s="43" t="n"/>
      <c r="I128" s="43" t="n"/>
      <c r="J128" s="43" t="n"/>
      <c r="K128" s="43" t="n"/>
      <c r="L128" s="43" t="n"/>
      <c r="M128" s="43" t="n"/>
    </row>
    <row r="129">
      <c r="A129" s="65" t="n"/>
      <c r="B129" s="72" t="n"/>
      <c r="C129" s="72" t="n"/>
      <c r="D129" s="76">
        <f>SUMIF($E$2:INDIRECT($B$118),E129,$D$2:INDIRECT($A$118))</f>
        <v/>
      </c>
      <c r="E129" s="67" t="inlineStr">
        <is>
          <t>=</t>
        </is>
      </c>
      <c r="F129" s="67">
        <f>IFERROR(IF(INDEX($F$2:INDIRECT($E$118),MATCH(E129,$E$2:INDIRECT($B$118),0))=0," ",INDEX($F$2:INDIRECT($E$118),MATCH(E129,$E$2:INDIRECT($B$118),0))),"   [ Adjacent Item Model/PN cell is Empty ]")</f>
        <v/>
      </c>
      <c r="G129" s="72" t="n"/>
      <c r="H129" s="43" t="n"/>
      <c r="I129" s="43" t="n"/>
      <c r="J129" s="43" t="n"/>
      <c r="K129" s="43" t="n"/>
      <c r="L129" s="43" t="n"/>
      <c r="M129" s="43" t="n"/>
    </row>
    <row r="130">
      <c r="A130" s="65" t="n"/>
      <c r="B130" s="72" t="n"/>
      <c r="C130" s="72" t="n"/>
      <c r="D130" s="76">
        <f>SUMIF($E$2:INDIRECT($B$118),E130,$D$2:INDIRECT($A$118))</f>
        <v/>
      </c>
      <c r="E130" s="67" t="inlineStr">
        <is>
          <t>=</t>
        </is>
      </c>
      <c r="F130" s="67">
        <f>IFERROR(IF(INDEX($F$2:INDIRECT($E$118),MATCH(E130,$E$2:INDIRECT($B$118),0))=0," ",INDEX($F$2:INDIRECT($E$118),MATCH(E130,$E$2:INDIRECT($B$118),0))),"   [ Adjacent Item Model/PN cell is Empty ]")</f>
        <v/>
      </c>
      <c r="G130" s="72" t="n"/>
      <c r="H130" s="43" t="n"/>
      <c r="I130" s="43" t="n"/>
      <c r="J130" s="43" t="n"/>
      <c r="K130" s="43" t="n"/>
      <c r="L130" s="43" t="n"/>
      <c r="M130" s="43" t="n"/>
    </row>
    <row r="131">
      <c r="A131" s="65" t="n"/>
      <c r="B131" s="72" t="n"/>
      <c r="C131" s="72" t="n"/>
      <c r="D131" s="76">
        <f>SUMIF($E$2:INDIRECT($B$118),E131,$D$2:INDIRECT($A$118))</f>
        <v/>
      </c>
      <c r="E131" s="67" t="inlineStr">
        <is>
          <t>=</t>
        </is>
      </c>
      <c r="F131" s="67">
        <f>IFERROR(IF(INDEX($F$2:INDIRECT($E$118),MATCH(E131,$E$2:INDIRECT($B$118),0))=0," ",INDEX($F$2:INDIRECT($E$118),MATCH(E131,$E$2:INDIRECT($B$118),0))),"   [ Adjacent Item Model/PN cell is Empty ]")</f>
        <v/>
      </c>
      <c r="G131" s="72" t="n"/>
      <c r="H131" s="43" t="n"/>
      <c r="I131" s="43" t="n"/>
      <c r="J131" s="43" t="n"/>
      <c r="K131" s="43" t="n"/>
      <c r="L131" s="43" t="n"/>
      <c r="M131" s="43" t="n"/>
    </row>
    <row r="132">
      <c r="A132" s="65" t="n"/>
      <c r="B132" s="72" t="n"/>
      <c r="C132" s="72" t="n"/>
      <c r="D132" s="76">
        <f>SUMIF($E$2:INDIRECT($B$118),E132,$D$2:INDIRECT($A$118))</f>
        <v/>
      </c>
      <c r="E132" s="67" t="inlineStr">
        <is>
          <t>=</t>
        </is>
      </c>
      <c r="F132" s="67">
        <f>IFERROR(IF(INDEX($F$2:INDIRECT($E$118),MATCH(E132,$E$2:INDIRECT($B$118),0))=0," ",INDEX($F$2:INDIRECT($E$118),MATCH(E132,$E$2:INDIRECT($B$118),0))),"   [ Adjacent Item Model/PN cell is Empty ]")</f>
        <v/>
      </c>
      <c r="G132" s="72" t="n"/>
      <c r="H132" s="43" t="n"/>
      <c r="I132" s="43" t="n"/>
      <c r="J132" s="43" t="n"/>
      <c r="K132" s="43" t="n"/>
      <c r="L132" s="43" t="n"/>
      <c r="M132" s="43" t="n"/>
    </row>
    <row r="133">
      <c r="A133" s="65" t="n"/>
      <c r="B133" s="72" t="n"/>
      <c r="C133" s="72" t="n"/>
      <c r="D133" s="67">
        <f>SUMIF($E$2:INDIRECT($B$118),E133,$D$2:INDIRECT($A$118))</f>
        <v/>
      </c>
      <c r="E133" s="67" t="inlineStr">
        <is>
          <t>=</t>
        </is>
      </c>
      <c r="F133" s="67">
        <f>IFERROR(IF(INDEX($F$2:INDIRECT($E$118),MATCH(E133,$E$2:INDIRECT($B$118),0))=0," ",INDEX($F$2:INDIRECT($E$118),MATCH(E133,$E$2:INDIRECT($B$118),0))),"   [ Adjacent Item Model/PN cell is Empty ]")</f>
        <v/>
      </c>
      <c r="G133" s="72" t="n"/>
      <c r="H133" s="43" t="n"/>
      <c r="I133" s="43" t="n"/>
      <c r="J133" s="43" t="n"/>
      <c r="K133" s="43" t="n"/>
      <c r="L133" s="43" t="n"/>
      <c r="M133" s="43" t="n"/>
    </row>
    <row r="134">
      <c r="A134" s="65" t="n"/>
      <c r="B134" s="72" t="n"/>
      <c r="C134" s="72" t="n"/>
      <c r="D134" s="67">
        <f>SUMIF($E$2:INDIRECT($B$118),E134,$D$2:INDIRECT($A$118))</f>
        <v/>
      </c>
      <c r="E134" s="67" t="inlineStr">
        <is>
          <t>=</t>
        </is>
      </c>
      <c r="F134" s="67">
        <f>IFERROR(IF(INDEX($F$2:INDIRECT($E$118),MATCH(E134,$E$2:INDIRECT($B$118),0))=0," ",INDEX($F$2:INDIRECT($E$118),MATCH(E134,$E$2:INDIRECT($B$118),0))),"   [ Adjacent Item Model/PN cell is Empty ]")</f>
        <v/>
      </c>
      <c r="G134" s="72" t="n"/>
      <c r="H134" s="43" t="n"/>
      <c r="I134" s="43" t="n"/>
      <c r="J134" s="43" t="n"/>
      <c r="K134" s="43" t="n"/>
      <c r="L134" s="43" t="n"/>
      <c r="M134" s="43" t="n"/>
    </row>
    <row r="135">
      <c r="A135" s="65" t="n"/>
      <c r="B135" s="72" t="n"/>
      <c r="C135" s="72" t="n"/>
      <c r="D135" s="67">
        <f>SUMIF($E$2:INDIRECT($B$118),E135,$D$2:INDIRECT($A$118))</f>
        <v/>
      </c>
      <c r="E135" s="67" t="inlineStr">
        <is>
          <t>=</t>
        </is>
      </c>
      <c r="F135" s="67">
        <f>IFERROR(IF(INDEX($F$2:INDIRECT($E$118),MATCH(E135,$E$2:INDIRECT($B$118),0))=0," ",INDEX($F$2:INDIRECT($E$118),MATCH(E135,$E$2:INDIRECT($B$118),0))),"   [ Adjacent Item Model/PN cell is Empty ]")</f>
        <v/>
      </c>
      <c r="G135" s="72" t="n"/>
      <c r="H135" s="43" t="n"/>
      <c r="I135" s="43" t="n"/>
      <c r="J135" s="43" t="n"/>
      <c r="K135" s="43" t="n"/>
      <c r="L135" s="43" t="n"/>
      <c r="M135" s="43" t="n"/>
    </row>
    <row r="136">
      <c r="A136" s="65" t="n"/>
      <c r="B136" s="72" t="n"/>
      <c r="C136" s="72" t="n"/>
      <c r="D136" s="67">
        <f>SUMIF($E$2:INDIRECT($B$118),E136,$D$2:INDIRECT($A$118))</f>
        <v/>
      </c>
      <c r="E136" s="67" t="inlineStr">
        <is>
          <t>=</t>
        </is>
      </c>
      <c r="F136" s="67">
        <f>IFERROR(IF(INDEX($F$2:INDIRECT($E$118),MATCH(E136,$E$2:INDIRECT($B$118),0))=0," ",INDEX($F$2:INDIRECT($E$118),MATCH(E136,$E$2:INDIRECT($B$118),0))),"   [ Adjacent Item Model/PN cell is Empty ]")</f>
        <v/>
      </c>
      <c r="G136" s="72" t="n"/>
      <c r="H136" s="43" t="n"/>
      <c r="I136" s="43" t="n"/>
      <c r="J136" s="43" t="n"/>
      <c r="K136" s="43" t="n"/>
      <c r="L136" s="43" t="n"/>
      <c r="M136" s="43" t="n"/>
    </row>
    <row r="137">
      <c r="A137" s="65" t="n"/>
      <c r="B137" s="72" t="n"/>
      <c r="C137" s="72" t="n"/>
      <c r="D137" s="67">
        <f>SUMIF($E$2:INDIRECT($B$118),E137,$D$2:INDIRECT($A$118))</f>
        <v/>
      </c>
      <c r="E137" s="67" t="inlineStr">
        <is>
          <t>=</t>
        </is>
      </c>
      <c r="F137" s="67">
        <f>IFERROR(IF(INDEX($F$2:INDIRECT($E$118),MATCH(E137,$E$2:INDIRECT($B$118),0))=0," ",INDEX($F$2:INDIRECT($E$118),MATCH(E137,$E$2:INDIRECT($B$118),0))),"   [ Adjacent Item Model/PN cell is Empty ]")</f>
        <v/>
      </c>
      <c r="G137" s="67" t="n"/>
      <c r="H137" s="43" t="n"/>
      <c r="I137" s="43" t="n"/>
      <c r="J137" s="43" t="n"/>
      <c r="K137" s="43" t="n"/>
      <c r="L137" s="43" t="n"/>
      <c r="M137" s="43" t="n"/>
    </row>
    <row r="138">
      <c r="A138" s="65" t="n"/>
      <c r="B138" s="72" t="n"/>
      <c r="C138" s="72" t="n"/>
      <c r="D138" s="67">
        <f>SUMIF($E$2:INDIRECT($B$118),E138,$D$2:INDIRECT($A$118))</f>
        <v/>
      </c>
      <c r="E138" s="67" t="inlineStr">
        <is>
          <t>=</t>
        </is>
      </c>
      <c r="F138" s="67">
        <f>IFERROR(IF(INDEX($F$2:INDIRECT($E$118),MATCH(E138,$E$2:INDIRECT($B$118),0))=0," ",INDEX($F$2:INDIRECT($E$118),MATCH(E138,$E$2:INDIRECT($B$118),0))),"   [ Adjacent Item Model/PN cell is Empty ]")</f>
        <v/>
      </c>
      <c r="G138" s="67" t="n"/>
      <c r="H138" s="43" t="n"/>
      <c r="I138" s="43" t="n"/>
      <c r="J138" s="43" t="n"/>
      <c r="K138" s="43" t="n"/>
      <c r="L138" s="43" t="n"/>
      <c r="M138" s="43" t="n"/>
    </row>
    <row r="139">
      <c r="A139" s="65" t="n"/>
      <c r="B139" s="72" t="n"/>
      <c r="C139" s="72" t="n"/>
      <c r="D139" s="67">
        <f>SUMIF($E$2:INDIRECT($B$118),E139,$D$2:INDIRECT($A$118))</f>
        <v/>
      </c>
      <c r="E139" s="67" t="inlineStr">
        <is>
          <t>=</t>
        </is>
      </c>
      <c r="F139" s="67">
        <f>IFERROR(IF(INDEX($F$2:INDIRECT($E$118),MATCH(E139,$E$2:INDIRECT($B$118),0))=0," ",INDEX($F$2:INDIRECT($E$118),MATCH(E139,$E$2:INDIRECT($B$118),0))),"   [ Adjacent Item Model/PN cell is Empty ]")</f>
        <v/>
      </c>
      <c r="G139" s="67" t="n"/>
      <c r="H139" s="43" t="n"/>
      <c r="I139" s="43" t="n"/>
      <c r="J139" s="43" t="n"/>
      <c r="K139" s="43" t="n"/>
      <c r="L139" s="43" t="n"/>
      <c r="M139" s="43" t="n"/>
    </row>
    <row r="140">
      <c r="A140" s="65" t="n"/>
      <c r="B140" s="72" t="n"/>
      <c r="C140" s="67" t="n"/>
      <c r="D140" s="67">
        <f>SUMIF($E$2:INDIRECT($B$118),E140,$D$2:INDIRECT($A$118))</f>
        <v/>
      </c>
      <c r="E140" s="67" t="inlineStr">
        <is>
          <t>=</t>
        </is>
      </c>
      <c r="F140" s="67">
        <f>IFERROR(IF(INDEX($F$2:INDIRECT($E$118),MATCH(E140,$E$2:INDIRECT($B$118),0))=0," ",INDEX($F$2:INDIRECT($E$118),MATCH(E140,$E$2:INDIRECT($B$118),0))),"   [ Adjacent Item Model/PN cell is Empty ]")</f>
        <v/>
      </c>
      <c r="G140" s="67" t="n"/>
      <c r="H140" s="43" t="n"/>
      <c r="I140" s="43" t="n"/>
      <c r="J140" s="43" t="n"/>
      <c r="K140" s="43" t="n"/>
      <c r="L140" s="43" t="n"/>
      <c r="M140" s="43" t="n"/>
    </row>
    <row r="141">
      <c r="A141" s="65" t="n"/>
      <c r="B141" s="72" t="n"/>
      <c r="C141" s="67" t="n"/>
      <c r="D141" s="67">
        <f>SUMIF($E$2:INDIRECT($B$118),E141,$D$2:INDIRECT($A$118))</f>
        <v/>
      </c>
      <c r="E141" s="67" t="inlineStr">
        <is>
          <t>=</t>
        </is>
      </c>
      <c r="F141" s="67">
        <f>IFERROR(IF(INDEX($F$2:INDIRECT($E$118),MATCH(E141,$E$2:INDIRECT($B$118),0))=0," ",INDEX($F$2:INDIRECT($E$118),MATCH(E141,$E$2:INDIRECT($B$118),0))),"   [ Adjacent Item Model/PN cell is Empty ]")</f>
        <v/>
      </c>
      <c r="G141" s="67" t="n"/>
      <c r="H141" s="43" t="n"/>
      <c r="I141" s="43" t="n"/>
      <c r="J141" s="43" t="n"/>
      <c r="K141" s="43" t="n"/>
      <c r="L141" s="43" t="n"/>
      <c r="M141" s="43" t="n"/>
    </row>
    <row r="142">
      <c r="A142" s="65" t="n"/>
      <c r="B142" s="72" t="n"/>
      <c r="C142" s="67" t="n"/>
      <c r="D142" s="67">
        <f>SUMIF($E$2:INDIRECT($B$118),E142,$D$2:INDIRECT($A$118))</f>
        <v/>
      </c>
      <c r="E142" s="67" t="inlineStr">
        <is>
          <t>=</t>
        </is>
      </c>
      <c r="F142" s="67">
        <f>IFERROR(IF(INDEX($F$2:INDIRECT($E$118),MATCH(E142,$E$2:INDIRECT($B$118),0))=0," ",INDEX($F$2:INDIRECT($E$118),MATCH(E142,$E$2:INDIRECT($B$118),0))),"   [ Adjacent Item Model/PN cell is Empty ]")</f>
        <v/>
      </c>
      <c r="G142" s="67" t="n"/>
      <c r="H142" s="43" t="n"/>
      <c r="I142" s="43" t="n"/>
      <c r="J142" s="43" t="n"/>
      <c r="K142" s="43" t="n"/>
      <c r="L142" s="43" t="n"/>
      <c r="M142" s="43" t="n"/>
    </row>
    <row r="143">
      <c r="A143" s="65" t="n"/>
      <c r="B143" s="72" t="n"/>
      <c r="C143" s="67" t="n"/>
      <c r="D143" s="67">
        <f>SUMIF($E$2:INDIRECT($B$118),E143,$D$2:INDIRECT($A$118))</f>
        <v/>
      </c>
      <c r="E143" s="67" t="inlineStr">
        <is>
          <t>=</t>
        </is>
      </c>
      <c r="F143" s="67">
        <f>IFERROR(IF(INDEX($F$2:INDIRECT($E$118),MATCH(E143,$E$2:INDIRECT($B$118),0))=0," ",INDEX($F$2:INDIRECT($E$118),MATCH(E143,$E$2:INDIRECT($B$118),0))),"   [ Adjacent Item Model/PN cell is Empty ]")</f>
        <v/>
      </c>
      <c r="G143" s="67" t="n"/>
      <c r="H143" s="43" t="n"/>
      <c r="I143" s="43" t="n"/>
      <c r="J143" s="43" t="n"/>
      <c r="K143" s="43" t="n"/>
      <c r="L143" s="43" t="n"/>
      <c r="M143" s="43" t="n"/>
    </row>
    <row r="144">
      <c r="A144" s="65" t="n"/>
      <c r="B144" s="72" t="n"/>
      <c r="C144" s="67" t="n"/>
      <c r="D144" s="67">
        <f>SUMIF($E$2:INDIRECT($B$118),E144,$D$2:INDIRECT($A$118))</f>
        <v/>
      </c>
      <c r="E144" s="67" t="inlineStr">
        <is>
          <t>=</t>
        </is>
      </c>
      <c r="F144" s="67">
        <f>IFERROR(IF(INDEX($F$2:INDIRECT($E$118),MATCH(E144,$E$2:INDIRECT($B$118),0))=0," ",INDEX($F$2:INDIRECT($E$118),MATCH(E144,$E$2:INDIRECT($B$118),0))),"   [ Adjacent Item Model/PN cell is Empty ]")</f>
        <v/>
      </c>
      <c r="G144" s="67" t="n"/>
      <c r="H144" s="43" t="n"/>
      <c r="I144" s="43" t="n"/>
      <c r="J144" s="43" t="n"/>
      <c r="K144" s="43" t="n"/>
      <c r="L144" s="43" t="n"/>
      <c r="M144" s="43" t="n"/>
    </row>
    <row r="145">
      <c r="A145" s="65" t="n"/>
      <c r="B145" s="72" t="n"/>
      <c r="C145" s="67" t="n"/>
      <c r="D145" s="67">
        <f>SUMIF($E$2:INDIRECT($B$118),E145,$D$2:INDIRECT($A$118))</f>
        <v/>
      </c>
      <c r="E145" s="67" t="n"/>
      <c r="F145" s="67">
        <f>IFERROR(IF(INDEX($F$2:INDIRECT($E$118),MATCH(E145,$E$2:INDIRECT($B$118),0))=0," ",INDEX($F$2:INDIRECT($E$118),MATCH(E145,$E$2:INDIRECT($B$118),0))),"   [ Adjacent Item Model/PN cell is Empty ]")</f>
        <v/>
      </c>
      <c r="G145" s="72" t="n"/>
      <c r="H145" s="43" t="n"/>
      <c r="I145" s="43" t="n"/>
      <c r="J145" s="43" t="n"/>
      <c r="K145" s="43" t="n"/>
      <c r="L145" s="43" t="n"/>
      <c r="M145" s="43" t="n"/>
    </row>
    <row r="146">
      <c r="A146" s="65" t="n"/>
      <c r="B146" s="72" t="n"/>
      <c r="C146" s="67" t="n"/>
      <c r="D146" s="67">
        <f>SUMIF($E$2:INDIRECT($B$118),E146,$D$2:INDIRECT($A$118))</f>
        <v/>
      </c>
      <c r="E146" s="67" t="n"/>
      <c r="F146" s="67">
        <f>IFERROR(IF(INDEX($F$2:INDIRECT($E$118),MATCH(E146,$E$2:INDIRECT($B$118),0))=0," ",INDEX($F$2:INDIRECT($E$118),MATCH(E146,$E$2:INDIRECT($B$118),0))),"   [ Adjacent Item Model/PN cell is Empty ]")</f>
        <v/>
      </c>
      <c r="G146" s="72" t="n"/>
      <c r="H146" s="43" t="n"/>
      <c r="I146" s="43" t="n"/>
      <c r="J146" s="43" t="n"/>
      <c r="K146" s="43" t="n"/>
      <c r="L146" s="43" t="n"/>
      <c r="M146" s="43" t="n"/>
    </row>
    <row r="147">
      <c r="A147" s="65" t="n"/>
      <c r="B147" s="72" t="n"/>
      <c r="C147" s="67" t="n"/>
      <c r="D147" s="67">
        <f>SUMIF($E$2:INDIRECT($B$118),E147,$D$2:INDIRECT($A$118))</f>
        <v/>
      </c>
      <c r="E147" s="67" t="n"/>
      <c r="F147" s="67">
        <f>IFERROR(IF(INDEX($F$2:INDIRECT($E$118),MATCH(E147,$E$2:INDIRECT($B$118),0))=0," ",INDEX($F$2:INDIRECT($E$118),MATCH(E147,$E$2:INDIRECT($B$118),0))),"   [ Adjacent Item Model/PN cell is Empty ]")</f>
        <v/>
      </c>
      <c r="G147" s="72" t="n"/>
      <c r="H147" s="43" t="n"/>
      <c r="I147" s="43" t="n"/>
      <c r="J147" s="43" t="n"/>
      <c r="K147" s="43" t="n"/>
      <c r="L147" s="43" t="n"/>
      <c r="M147" s="43" t="n"/>
    </row>
    <row r="148">
      <c r="A148" s="65" t="n"/>
      <c r="B148" s="72" t="n"/>
      <c r="C148" s="67" t="n"/>
      <c r="D148" s="67">
        <f>SUMIF($E$2:INDIRECT($B$118),E148,$D$2:INDIRECT($A$118))</f>
        <v/>
      </c>
      <c r="E148" s="67" t="n"/>
      <c r="F148" s="67">
        <f>IFERROR(IF(INDEX($F$2:INDIRECT($E$118),MATCH(E148,$E$2:INDIRECT($B$118),0))=0," ",INDEX($F$2:INDIRECT($E$118),MATCH(E148,$E$2:INDIRECT($B$118),0))),"   [ Adjacent Item Model/PN cell is Empty ]")</f>
        <v/>
      </c>
      <c r="G148" s="72" t="n"/>
      <c r="H148" s="43" t="n"/>
      <c r="I148" s="43" t="n"/>
      <c r="J148" s="43" t="n"/>
      <c r="K148" s="43" t="n"/>
      <c r="L148" s="43" t="n"/>
      <c r="M148" s="43" t="n"/>
    </row>
    <row r="149">
      <c r="A149" s="65" t="n"/>
      <c r="B149" s="72" t="n"/>
      <c r="C149" s="67" t="n"/>
      <c r="D149" s="67">
        <f>SUMIF($E$2:INDIRECT($B$118),E149,$D$2:INDIRECT($A$118))</f>
        <v/>
      </c>
      <c r="E149" s="67" t="n"/>
      <c r="F149" s="67">
        <f>IFERROR(IF(INDEX($F$2:INDIRECT($E$118),MATCH(E149,$E$2:INDIRECT($B$118),0))=0," ",INDEX($F$2:INDIRECT($E$118),MATCH(E149,$E$2:INDIRECT($B$118),0))),"   [ Adjacent Item Model/PN cell is Empty ]")</f>
        <v/>
      </c>
      <c r="G149" s="72" t="n"/>
      <c r="H149" s="43" t="n"/>
      <c r="I149" s="43" t="n"/>
      <c r="J149" s="43" t="n"/>
      <c r="K149" s="43" t="n"/>
      <c r="L149" s="43" t="n"/>
      <c r="M149" s="43" t="n"/>
    </row>
    <row r="150">
      <c r="A150" s="65" t="n"/>
      <c r="B150" s="72" t="n"/>
      <c r="C150" s="67" t="n"/>
      <c r="D150" s="67">
        <f>SUMIF($E$2:INDIRECT($B$118),E150,$D$2:INDIRECT($A$118))</f>
        <v/>
      </c>
      <c r="E150" s="67" t="n"/>
      <c r="F150" s="67">
        <f>IFERROR(IF(INDEX($F$2:INDIRECT($E$118),MATCH(E150,$E$2:INDIRECT($B$118),0))=0," ",INDEX($F$2:INDIRECT($E$118),MATCH(E150,$E$2:INDIRECT($B$118),0))),"   [ Adjacent Item Model/PN cell is Empty ]")</f>
        <v/>
      </c>
      <c r="G150" s="72" t="n"/>
      <c r="H150" s="43" t="n"/>
      <c r="I150" s="43" t="n"/>
      <c r="J150" s="43" t="n"/>
      <c r="K150" s="43" t="n"/>
      <c r="L150" s="43" t="n"/>
      <c r="M150" s="43" t="n"/>
    </row>
    <row r="151">
      <c r="A151" s="65" t="n"/>
      <c r="B151" s="72" t="n"/>
      <c r="C151" s="67" t="n"/>
      <c r="D151" s="67">
        <f>SUMIF($E$2:INDIRECT($B$118),E151,$D$2:INDIRECT($A$118))</f>
        <v/>
      </c>
      <c r="E151" s="67" t="n"/>
      <c r="F151" s="67">
        <f>IFERROR(IF(INDEX($F$2:INDIRECT($E$118),MATCH(E151,$E$2:INDIRECT($B$118),0))=0," ",INDEX($F$2:INDIRECT($E$118),MATCH(E151,$E$2:INDIRECT($B$118),0))),"   [ Adjacent Item Model/PN cell is Empty ]")</f>
        <v/>
      </c>
      <c r="G151" s="72" t="n"/>
      <c r="H151" s="43" t="n"/>
      <c r="I151" s="43" t="n"/>
      <c r="J151" s="43" t="n"/>
      <c r="K151" s="43" t="n"/>
      <c r="L151" s="43" t="n"/>
      <c r="M151" s="43" t="n"/>
    </row>
    <row r="152">
      <c r="A152" s="65" t="n"/>
      <c r="B152" s="72" t="n"/>
      <c r="C152" s="67" t="n"/>
      <c r="D152" s="67">
        <f>SUMIF($E$2:INDIRECT($B$118),E152,$D$2:INDIRECT($A$118))</f>
        <v/>
      </c>
      <c r="E152" s="67" t="n"/>
      <c r="F152" s="67">
        <f>IFERROR(IF(INDEX($F$2:INDIRECT($E$118),MATCH(E152,$E$2:INDIRECT($B$118),0))=0," ",INDEX($F$2:INDIRECT($E$118),MATCH(E152,$E$2:INDIRECT($B$118),0))),"   [ Adjacent Item Model/PN cell is Empty ]")</f>
        <v/>
      </c>
      <c r="G152" s="72" t="n"/>
      <c r="H152" s="43" t="n"/>
      <c r="I152" s="43" t="n"/>
      <c r="J152" s="43" t="n"/>
      <c r="K152" s="43" t="n"/>
      <c r="L152" s="43" t="n"/>
      <c r="M152" s="43" t="n"/>
    </row>
    <row r="153">
      <c r="A153" s="65" t="n"/>
      <c r="B153" s="72" t="n"/>
      <c r="C153" s="67" t="n"/>
      <c r="D153" s="67">
        <f>SUMIF($E$2:INDIRECT($B$118),E153,$D$2:INDIRECT($A$118))</f>
        <v/>
      </c>
      <c r="E153" s="72" t="n"/>
      <c r="F153" s="67">
        <f>IFERROR(IF(INDEX($F$2:INDIRECT($E$118),MATCH(E153,$E$2:INDIRECT($B$118),0))=0," ",INDEX($F$2:INDIRECT($E$118),MATCH(E153,$E$2:INDIRECT($B$118),0))),"   [ Adjacent Item Model/PN cell is Empty ]")</f>
        <v/>
      </c>
      <c r="G153" s="72" t="n"/>
      <c r="H153" s="43" t="n"/>
      <c r="I153" s="43" t="n"/>
      <c r="J153" s="43" t="n"/>
      <c r="K153" s="43" t="n"/>
      <c r="L153" s="43" t="n"/>
      <c r="M153" s="43" t="n"/>
    </row>
    <row r="154">
      <c r="A154" s="65" t="n"/>
      <c r="B154" s="65" t="n"/>
      <c r="C154" s="65" t="n"/>
      <c r="D154" s="65" t="n"/>
      <c r="E154" s="65" t="n"/>
      <c r="F154" s="65" t="n"/>
      <c r="G154" s="58" t="n"/>
      <c r="H154" s="43" t="n"/>
      <c r="I154" s="43" t="n"/>
      <c r="J154" s="43" t="n"/>
      <c r="K154" s="43" t="n"/>
      <c r="L154" s="43" t="n"/>
      <c r="M154" s="43" t="n"/>
    </row>
    <row r="155">
      <c r="A155" s="43" t="n"/>
      <c r="B155" s="43" t="n"/>
      <c r="C155" s="43" t="n"/>
      <c r="D155" s="43" t="n"/>
      <c r="E155" s="43" t="n"/>
      <c r="F155" s="43" t="n"/>
      <c r="H155" s="43" t="n"/>
      <c r="I155" s="43" t="n"/>
      <c r="J155" s="43" t="n"/>
      <c r="K155" s="43" t="n"/>
      <c r="L155" s="43" t="n"/>
      <c r="M155" s="43" t="n"/>
    </row>
    <row r="156">
      <c r="A156" s="43" t="n"/>
      <c r="B156" s="43" t="n"/>
      <c r="C156" s="43" t="n"/>
      <c r="D156" s="43" t="n"/>
      <c r="E156" s="43" t="n"/>
      <c r="F156" s="43" t="n"/>
      <c r="H156" s="43" t="n"/>
      <c r="I156" s="43" t="n"/>
      <c r="J156" s="43" t="n"/>
      <c r="K156" s="43" t="n"/>
      <c r="L156" s="43" t="n"/>
      <c r="M156" s="43" t="n"/>
    </row>
    <row r="157">
      <c r="A157" s="43" t="n"/>
      <c r="C157" s="43" t="n"/>
      <c r="D157" s="43" t="n"/>
      <c r="E157" s="43" t="n"/>
      <c r="F157" s="43" t="n"/>
      <c r="G157" s="43" t="n"/>
      <c r="H157" s="43" t="n"/>
      <c r="I157" s="43" t="n"/>
      <c r="J157" s="43" t="n"/>
      <c r="K157" s="43" t="n"/>
      <c r="L157" s="43" t="n"/>
      <c r="M157" s="43" t="n"/>
    </row>
    <row r="158"/>
    <row r="159"/>
    <row r="160"/>
    <row r="161">
      <c r="D161" s="43" t="n"/>
      <c r="E161" s="43" t="n"/>
      <c r="G161" s="43" t="n"/>
    </row>
    <row r="162"/>
    <row r="163"/>
    <row r="164">
      <c r="G164" s="43" t="n"/>
    </row>
    <row r="165">
      <c r="G165" s="43" t="n"/>
    </row>
    <row r="166"/>
    <row r="167">
      <c r="G167" s="43" t="n"/>
    </row>
    <row r="168">
      <c r="G168" s="44" t="n"/>
    </row>
    <row r="169">
      <c r="G169" s="43" t="n"/>
    </row>
    <row r="170">
      <c r="G170" s="43" t="n"/>
    </row>
    <row r="171">
      <c r="G171" s="43" t="n"/>
    </row>
    <row r="172">
      <c r="G172" s="43" t="n"/>
    </row>
    <row r="173">
      <c r="G173" s="43" t="n"/>
    </row>
  </sheetData>
  <mergeCells count="19">
    <mergeCell ref="A17:G17"/>
    <mergeCell ref="A53:G53"/>
    <mergeCell ref="A96:G96"/>
    <mergeCell ref="A9:G9"/>
    <mergeCell ref="A67:G67"/>
    <mergeCell ref="B118:D118"/>
    <mergeCell ref="A114:G114"/>
    <mergeCell ref="A60:G60"/>
    <mergeCell ref="A73:G73"/>
    <mergeCell ref="A107:G107"/>
    <mergeCell ref="A36:G36"/>
    <mergeCell ref="A88:G88"/>
    <mergeCell ref="A79:G79"/>
    <mergeCell ref="A25:G25"/>
    <mergeCell ref="A46:G46"/>
    <mergeCell ref="A120:G120"/>
    <mergeCell ref="B122:G122"/>
    <mergeCell ref="A2:G2"/>
    <mergeCell ref="B117:D117"/>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tabColor theme="9"/>
    <outlinePr summaryBelow="1" summaryRight="1"/>
    <pageSetUpPr fitToPage="1"/>
  </sheetPr>
  <dimension ref="A1:AH71"/>
  <sheetViews>
    <sheetView zoomScale="41" zoomScaleNormal="41" workbookViewId="0">
      <selection activeCell="AJ45" sqref="AJ45"/>
    </sheetView>
  </sheetViews>
  <sheetFormatPr baseColWidth="8" defaultColWidth="12.5546875" defaultRowHeight="15" customHeight="1"/>
  <cols>
    <col width="8.5546875" customWidth="1" min="1" max="1"/>
    <col width="9.5546875" customWidth="1" min="2" max="2"/>
    <col width="3.88671875" customWidth="1" min="3" max="3"/>
    <col width="28.5546875" customWidth="1" min="5" max="5"/>
    <col width="3.88671875" customWidth="1" min="6" max="9"/>
    <col width="28.5546875" customWidth="1" min="11" max="11"/>
    <col width="3.88671875" customWidth="1" min="12" max="15"/>
    <col width="28.5546875" customWidth="1" min="17" max="17"/>
    <col width="3.88671875" customWidth="1" min="18" max="20"/>
    <col width="28.5546875" customWidth="1" min="22" max="22"/>
    <col width="3.88671875" customWidth="1" min="23" max="26"/>
    <col width="9.109375" customWidth="1" min="27" max="27"/>
    <col width="28.5546875" customWidth="1" min="28" max="28"/>
    <col width="3.88671875" customWidth="1" min="29" max="29"/>
    <col width="3.88671875" customWidth="1" min="31" max="31"/>
    <col width="28.5546875" customWidth="1" min="33" max="33"/>
    <col width="3.88671875" customWidth="1" min="34" max="34"/>
  </cols>
  <sheetData>
    <row r="1"/>
    <row r="2"/>
    <row r="3"/>
    <row r="4"/>
    <row r="5" ht="14.25" customHeight="1">
      <c r="D5" t="inlineStr">
        <is>
          <t> </t>
        </is>
      </c>
      <c r="E5" s="52" t="inlineStr">
        <is>
          <t xml:space="preserve">E-W/N-S Common Spine </t>
        </is>
      </c>
      <c r="F5" t="inlineStr">
        <is>
          <t>x4</t>
        </is>
      </c>
      <c r="J5" t="inlineStr">
        <is>
          <t> </t>
        </is>
      </c>
      <c r="K5" s="52" t="inlineStr">
        <is>
          <t xml:space="preserve">E-W Common Spine </t>
        </is>
      </c>
      <c r="L5" t="inlineStr">
        <is>
          <t>x4</t>
        </is>
      </c>
      <c r="P5" t="inlineStr">
        <is>
          <t> </t>
        </is>
      </c>
      <c r="Q5" s="52" t="inlineStr">
        <is>
          <t>E-W/N-S Common Leaf</t>
        </is>
      </c>
      <c r="R5" t="inlineStr">
        <is>
          <t>x16</t>
        </is>
      </c>
      <c r="U5" t="inlineStr">
        <is>
          <t> </t>
        </is>
      </c>
      <c r="V5" s="52" t="inlineStr">
        <is>
          <t>AGG/OOB/MISC</t>
        </is>
      </c>
      <c r="W5" t="inlineStr">
        <is>
          <t>x1</t>
        </is>
      </c>
      <c r="AA5" t="inlineStr">
        <is>
          <t> </t>
        </is>
      </c>
      <c r="AB5" s="52" t="inlineStr">
        <is>
          <t>E-W/N-S Common Core</t>
        </is>
      </c>
      <c r="AC5" t="inlineStr">
        <is>
          <t>x1</t>
        </is>
      </c>
      <c r="AF5" t="inlineStr">
        <is>
          <t> </t>
        </is>
      </c>
      <c r="AG5" s="52" t="inlineStr">
        <is>
          <t>AGG/OOB/MISC</t>
        </is>
      </c>
      <c r="AH5" t="inlineStr">
        <is>
          <t>x1</t>
        </is>
      </c>
    </row>
    <row r="6" ht="14.25" customHeight="1">
      <c r="C6" s="46" t="n"/>
      <c r="D6" s="47" t="n"/>
      <c r="E6" s="48" t="inlineStr">
        <is>
          <t>750mm</t>
        </is>
      </c>
      <c r="F6" s="49" t="n"/>
      <c r="G6" s="50" t="n"/>
      <c r="H6" s="50" t="n"/>
      <c r="I6" s="46" t="n"/>
      <c r="J6" s="47" t="n"/>
      <c r="K6" s="48" t="inlineStr">
        <is>
          <t>750mm</t>
        </is>
      </c>
      <c r="L6" s="49" t="n"/>
      <c r="M6" s="50" t="n"/>
      <c r="N6" s="50" t="n"/>
      <c r="O6" s="46" t="n"/>
      <c r="P6" s="47" t="n"/>
      <c r="Q6" s="48" t="inlineStr">
        <is>
          <t>750mm</t>
        </is>
      </c>
      <c r="R6" s="49" t="n"/>
      <c r="T6" s="46" t="n"/>
      <c r="U6" s="47" t="n"/>
      <c r="V6" s="48" t="inlineStr">
        <is>
          <t>750mm</t>
        </is>
      </c>
      <c r="W6" s="49" t="n"/>
      <c r="X6" s="50" t="n"/>
      <c r="Y6" s="50" t="n"/>
      <c r="Z6" s="46" t="n"/>
      <c r="AA6" s="47" t="n"/>
      <c r="AB6" s="48" t="inlineStr">
        <is>
          <t>750mm</t>
        </is>
      </c>
      <c r="AC6" s="49" t="n"/>
      <c r="AE6" s="46" t="n"/>
      <c r="AF6" s="47" t="n"/>
      <c r="AG6" s="48" t="inlineStr">
        <is>
          <t>750mm</t>
        </is>
      </c>
      <c r="AH6" s="49" t="n"/>
    </row>
    <row r="7" ht="14.25" customHeight="1">
      <c r="C7" s="51" t="n"/>
      <c r="D7" s="52" t="inlineStr">
        <is>
          <t>RU</t>
        </is>
      </c>
      <c r="E7" s="52" t="inlineStr">
        <is>
          <t xml:space="preserve">E-W/N-S Common Spine </t>
        </is>
      </c>
      <c r="F7" s="53" t="n"/>
      <c r="G7" s="54" t="n"/>
      <c r="H7" s="54" t="n"/>
      <c r="I7" s="51" t="n"/>
      <c r="J7" s="52" t="inlineStr">
        <is>
          <t>RU</t>
        </is>
      </c>
      <c r="K7" s="52" t="inlineStr">
        <is>
          <t xml:space="preserve">E-W Common Spine </t>
        </is>
      </c>
      <c r="L7" s="53" t="n"/>
      <c r="M7" s="54" t="n"/>
      <c r="N7" s="54" t="n"/>
      <c r="O7" s="51" t="n"/>
      <c r="P7" s="52" t="inlineStr">
        <is>
          <t>RU</t>
        </is>
      </c>
      <c r="Q7" s="52" t="inlineStr">
        <is>
          <t xml:space="preserve">E-W/N-S Common Leaf </t>
        </is>
      </c>
      <c r="R7" s="53" t="n"/>
      <c r="T7" s="51" t="n"/>
      <c r="U7" s="52" t="inlineStr">
        <is>
          <t>RU</t>
        </is>
      </c>
      <c r="V7" s="52" t="inlineStr">
        <is>
          <t>AGG/OOB/MISC</t>
        </is>
      </c>
      <c r="W7" s="53" t="n"/>
      <c r="X7" s="54" t="n"/>
      <c r="Y7" s="54" t="n"/>
      <c r="Z7" s="51" t="n"/>
      <c r="AA7" s="52" t="inlineStr">
        <is>
          <t>RU</t>
        </is>
      </c>
      <c r="AB7" s="52" t="inlineStr">
        <is>
          <t xml:space="preserve">E-W/N-S Common Spine </t>
        </is>
      </c>
      <c r="AC7" s="53" t="n"/>
      <c r="AE7" s="51" t="n"/>
      <c r="AF7" s="52" t="inlineStr">
        <is>
          <t>RU</t>
        </is>
      </c>
      <c r="AG7" s="52" t="inlineStr">
        <is>
          <t>AGG/OOB/MISC</t>
        </is>
      </c>
      <c r="AH7" s="53" t="n"/>
    </row>
    <row r="8" ht="14.25" customHeight="1">
      <c r="C8" s="191" t="inlineStr">
        <is>
          <t>97 mm Vetical Manager</t>
        </is>
      </c>
      <c r="D8" s="55" t="n">
        <v>48</v>
      </c>
      <c r="E8" s="109" t="inlineStr">
        <is>
          <t>OOB TOR # 1(SN2201)</t>
        </is>
      </c>
      <c r="F8" s="191" t="inlineStr">
        <is>
          <t>97 mm Vetical Manager</t>
        </is>
      </c>
      <c r="G8" s="56" t="n"/>
      <c r="H8" s="56" t="n"/>
      <c r="I8" s="191" t="inlineStr">
        <is>
          <t>97 mm Vetical Manager</t>
        </is>
      </c>
      <c r="J8" s="55" t="n">
        <v>48</v>
      </c>
      <c r="K8" s="109" t="inlineStr">
        <is>
          <t>OOB TOR # 1(SN2201)</t>
        </is>
      </c>
      <c r="L8" s="191" t="inlineStr">
        <is>
          <t>97 mm Vetical Manager</t>
        </is>
      </c>
      <c r="M8" s="56" t="n"/>
      <c r="N8" s="56" t="n"/>
      <c r="O8" s="191" t="inlineStr">
        <is>
          <t>97 mm Vetical Manager</t>
        </is>
      </c>
      <c r="P8" s="55" t="n">
        <v>48</v>
      </c>
      <c r="Q8" s="109" t="inlineStr">
        <is>
          <t>OOB TOR # 1(SN2201)</t>
        </is>
      </c>
      <c r="R8" s="191" t="inlineStr">
        <is>
          <t>97 mm Vetical Manager</t>
        </is>
      </c>
      <c r="T8" s="191" t="inlineStr">
        <is>
          <t>97 mm Vetical Manager</t>
        </is>
      </c>
      <c r="U8" s="55" t="n">
        <v>48</v>
      </c>
      <c r="V8" s="109" t="inlineStr">
        <is>
          <t>OOB TOR # 1(SN2201)</t>
        </is>
      </c>
      <c r="W8" s="191" t="n"/>
      <c r="X8" s="56" t="n"/>
      <c r="Y8" s="56" t="n"/>
      <c r="Z8" s="191" t="inlineStr">
        <is>
          <t>97 mm Vetical Manager</t>
        </is>
      </c>
      <c r="AA8" s="55" t="n">
        <v>48</v>
      </c>
      <c r="AB8" s="109" t="inlineStr">
        <is>
          <t>OOB TOR # 1(SN2201)</t>
        </is>
      </c>
      <c r="AC8" s="191" t="inlineStr">
        <is>
          <t>97 mm Vetical Manager</t>
        </is>
      </c>
      <c r="AE8" s="191" t="inlineStr">
        <is>
          <t>97 mm Vetical Manager</t>
        </is>
      </c>
      <c r="AF8" s="55" t="n">
        <v>48</v>
      </c>
      <c r="AG8" s="109" t="inlineStr">
        <is>
          <t>OOB TOR # 1(SN2201)</t>
        </is>
      </c>
      <c r="AH8" s="191" t="n"/>
    </row>
    <row r="9" ht="14.25" customHeight="1">
      <c r="C9" s="192" t="n"/>
      <c r="D9" s="55" t="n">
        <v>47</v>
      </c>
      <c r="E9" s="109" t="inlineStr">
        <is>
          <t>OOB TOR # 2(SN2201)</t>
        </is>
      </c>
      <c r="F9" s="192" t="n"/>
      <c r="G9" s="56" t="n"/>
      <c r="H9" s="56" t="n"/>
      <c r="I9" s="192" t="n"/>
      <c r="J9" s="55" t="n">
        <v>47</v>
      </c>
      <c r="K9" s="109" t="inlineStr">
        <is>
          <t>OOB TOR # 2(SN2201)</t>
        </is>
      </c>
      <c r="L9" s="192" t="n"/>
      <c r="M9" s="56" t="n"/>
      <c r="N9" s="56" t="n"/>
      <c r="O9" s="192" t="n"/>
      <c r="P9" s="55" t="n">
        <v>47</v>
      </c>
      <c r="Q9" s="109" t="inlineStr">
        <is>
          <t>OOB TOR # 2(SN2201)</t>
        </is>
      </c>
      <c r="R9" s="192" t="n"/>
      <c r="T9" s="192" t="n"/>
      <c r="U9" s="55" t="n">
        <v>47</v>
      </c>
      <c r="W9" s="192" t="n"/>
      <c r="X9" s="56" t="n"/>
      <c r="Y9" s="56" t="n"/>
      <c r="Z9" s="192" t="n"/>
      <c r="AA9" s="55" t="n">
        <v>47</v>
      </c>
      <c r="AC9" s="192" t="n"/>
      <c r="AE9" s="192" t="n"/>
      <c r="AF9" s="55" t="n">
        <v>47</v>
      </c>
      <c r="AH9" s="192" t="n"/>
    </row>
    <row r="10" ht="14.25" customHeight="1">
      <c r="C10" s="192" t="n"/>
      <c r="D10" s="55" t="n">
        <v>46</v>
      </c>
      <c r="E10" s="56" t="n"/>
      <c r="F10" s="192" t="n"/>
      <c r="G10" s="56" t="n"/>
      <c r="H10" s="56" t="n"/>
      <c r="I10" s="192" t="n"/>
      <c r="J10" s="55" t="n">
        <v>46</v>
      </c>
      <c r="K10" s="56" t="n"/>
      <c r="L10" s="192" t="n"/>
      <c r="M10" s="56" t="n"/>
      <c r="N10" s="56" t="n"/>
      <c r="O10" s="192" t="n"/>
      <c r="P10" s="55" t="n">
        <v>46</v>
      </c>
      <c r="Q10" s="109" t="inlineStr">
        <is>
          <t>OOB TOR # 3(SN2201)</t>
        </is>
      </c>
      <c r="R10" s="192" t="n"/>
      <c r="T10" s="192" t="n"/>
      <c r="U10" s="55" t="n">
        <v>46</v>
      </c>
      <c r="W10" s="192" t="n"/>
      <c r="X10" s="56" t="n"/>
      <c r="Y10" s="56" t="n"/>
      <c r="Z10" s="192" t="n"/>
      <c r="AA10" s="55" t="n">
        <v>46</v>
      </c>
      <c r="AB10" s="56" t="n"/>
      <c r="AC10" s="192" t="n"/>
      <c r="AE10" s="192" t="n"/>
      <c r="AF10" s="55" t="n">
        <v>46</v>
      </c>
      <c r="AH10" s="192" t="n"/>
    </row>
    <row r="11" ht="14.25" customHeight="1">
      <c r="C11" s="192" t="n"/>
      <c r="D11" s="55" t="n">
        <v>45</v>
      </c>
      <c r="E11" s="193" t="inlineStr">
        <is>
          <t>N-S Spine-1(SN5610)</t>
        </is>
      </c>
      <c r="F11" s="192" t="n"/>
      <c r="G11" s="56" t="n"/>
      <c r="H11" s="56" t="n"/>
      <c r="I11" s="192" t="n"/>
      <c r="J11" s="55" t="n">
        <v>45</v>
      </c>
      <c r="K11" s="56" t="n"/>
      <c r="L11" s="192" t="n"/>
      <c r="M11" s="56" t="n"/>
      <c r="N11" s="56" t="n"/>
      <c r="O11" s="192" t="n"/>
      <c r="P11" s="55" t="n">
        <v>45</v>
      </c>
      <c r="Q11" s="193" t="inlineStr">
        <is>
          <t xml:space="preserve">N-S Leaf-1(SN5610) </t>
        </is>
      </c>
      <c r="R11" s="192" t="n"/>
      <c r="T11" s="192" t="n"/>
      <c r="U11" s="55" t="n">
        <v>45</v>
      </c>
      <c r="W11" s="192" t="n"/>
      <c r="X11" s="56" t="n"/>
      <c r="Y11" s="56" t="n"/>
      <c r="Z11" s="192" t="n"/>
      <c r="AA11" s="55" t="n">
        <v>45</v>
      </c>
      <c r="AC11" s="192" t="n"/>
      <c r="AE11" s="192" t="n"/>
      <c r="AF11" s="55" t="n">
        <v>45</v>
      </c>
      <c r="AH11" s="192" t="n"/>
    </row>
    <row r="12" ht="14.25" customHeight="1">
      <c r="C12" s="192" t="n"/>
      <c r="D12" s="55" t="n">
        <v>44</v>
      </c>
      <c r="E12" s="194" t="n"/>
      <c r="F12" s="192" t="n"/>
      <c r="G12" s="56" t="n"/>
      <c r="H12" s="56" t="n"/>
      <c r="I12" s="192" t="n"/>
      <c r="J12" s="55" t="n">
        <v>44</v>
      </c>
      <c r="K12" s="56" t="n"/>
      <c r="L12" s="192" t="n"/>
      <c r="M12" s="56" t="n"/>
      <c r="N12" s="56" t="n"/>
      <c r="O12" s="192" t="n"/>
      <c r="P12" s="55" t="n">
        <v>44</v>
      </c>
      <c r="Q12" s="194" t="n"/>
      <c r="R12" s="192" t="n"/>
      <c r="T12" s="192" t="n"/>
      <c r="U12" s="55" t="n">
        <v>44</v>
      </c>
      <c r="W12" s="192" t="n"/>
      <c r="X12" s="56" t="n"/>
      <c r="Y12" s="56" t="n"/>
      <c r="Z12" s="192" t="n"/>
      <c r="AA12" s="55" t="n">
        <v>44</v>
      </c>
      <c r="AC12" s="192" t="n"/>
      <c r="AE12" s="192" t="n"/>
      <c r="AF12" s="55" t="n">
        <v>44</v>
      </c>
      <c r="AH12" s="192" t="n"/>
    </row>
    <row r="13" ht="14.25" customHeight="1">
      <c r="C13" s="192" t="n"/>
      <c r="D13" s="55" t="n">
        <v>43</v>
      </c>
      <c r="F13" s="192" t="n"/>
      <c r="G13" s="56" t="n"/>
      <c r="H13" s="56" t="n"/>
      <c r="I13" s="192" t="n"/>
      <c r="J13" s="55" t="n">
        <v>43</v>
      </c>
      <c r="K13" s="56" t="n"/>
      <c r="L13" s="192" t="n"/>
      <c r="M13" s="56" t="n"/>
      <c r="N13" s="56" t="n"/>
      <c r="O13" s="192" t="n"/>
      <c r="P13" s="55" t="n">
        <v>43</v>
      </c>
      <c r="R13" s="192" t="n"/>
      <c r="T13" s="192" t="n"/>
      <c r="U13" s="55" t="n">
        <v>43</v>
      </c>
      <c r="W13" s="192" t="n"/>
      <c r="X13" s="56" t="n"/>
      <c r="Y13" s="56" t="n"/>
      <c r="Z13" s="192" t="n"/>
      <c r="AA13" s="55" t="n">
        <v>43</v>
      </c>
      <c r="AC13" s="192" t="n"/>
      <c r="AE13" s="192" t="n"/>
      <c r="AF13" s="55" t="n">
        <v>43</v>
      </c>
      <c r="AH13" s="192" t="n"/>
    </row>
    <row r="14" ht="14.25" customHeight="1">
      <c r="C14" s="192" t="n"/>
      <c r="D14" s="55" t="n">
        <v>42</v>
      </c>
      <c r="F14" s="192" t="n"/>
      <c r="G14" s="56" t="n"/>
      <c r="H14" s="56" t="n"/>
      <c r="I14" s="192" t="n"/>
      <c r="J14" s="55" t="n">
        <v>42</v>
      </c>
      <c r="L14" s="192" t="n"/>
      <c r="M14" s="56" t="n"/>
      <c r="N14" s="56" t="n"/>
      <c r="O14" s="192" t="n"/>
      <c r="P14" s="55" t="n">
        <v>42</v>
      </c>
      <c r="Q14" s="193" t="inlineStr">
        <is>
          <t xml:space="preserve">N-S Leaf-2(SN5610) </t>
        </is>
      </c>
      <c r="R14" s="192" t="n"/>
      <c r="T14" s="192" t="n"/>
      <c r="U14" s="55" t="n">
        <v>42</v>
      </c>
      <c r="W14" s="192" t="n"/>
      <c r="X14" s="56" t="n"/>
      <c r="Y14" s="56" t="n"/>
      <c r="Z14" s="192" t="n"/>
      <c r="AA14" s="55" t="n">
        <v>42</v>
      </c>
      <c r="AC14" s="192" t="n"/>
      <c r="AE14" s="192" t="n"/>
      <c r="AF14" s="55" t="n">
        <v>42</v>
      </c>
      <c r="AH14" s="192" t="n"/>
    </row>
    <row r="15" ht="14.25" customHeight="1">
      <c r="C15" s="192" t="n"/>
      <c r="D15" s="55" t="n">
        <v>41</v>
      </c>
      <c r="F15" s="192" t="n"/>
      <c r="G15" s="56" t="n"/>
      <c r="H15" s="56" t="n"/>
      <c r="I15" s="192" t="n"/>
      <c r="J15" s="55" t="n">
        <v>41</v>
      </c>
      <c r="L15" s="192" t="n"/>
      <c r="M15" s="56" t="n"/>
      <c r="N15" s="56" t="n"/>
      <c r="O15" s="192" t="n"/>
      <c r="P15" s="55" t="n">
        <v>41</v>
      </c>
      <c r="Q15" s="194" t="n"/>
      <c r="R15" s="192" t="n"/>
      <c r="T15" s="192" t="n"/>
      <c r="U15" s="55" t="n">
        <v>41</v>
      </c>
      <c r="W15" s="192" t="n"/>
      <c r="X15" s="56" t="n"/>
      <c r="Y15" s="56" t="n"/>
      <c r="Z15" s="192" t="n"/>
      <c r="AA15" s="55" t="n">
        <v>41</v>
      </c>
      <c r="AC15" s="192" t="n"/>
      <c r="AE15" s="192" t="n"/>
      <c r="AF15" s="55" t="n">
        <v>41</v>
      </c>
      <c r="AH15" s="192" t="n"/>
    </row>
    <row r="16" ht="14.25" customHeight="1">
      <c r="C16" s="192" t="n"/>
      <c r="D16" s="55" t="n">
        <v>40</v>
      </c>
      <c r="F16" s="192" t="n"/>
      <c r="G16" s="56" t="n"/>
      <c r="H16" s="56" t="n"/>
      <c r="I16" s="192" t="n"/>
      <c r="J16" s="55" t="n">
        <v>40</v>
      </c>
      <c r="L16" s="192" t="n"/>
      <c r="M16" s="56" t="n"/>
      <c r="N16" s="56" t="n"/>
      <c r="O16" s="192" t="n"/>
      <c r="P16" s="55" t="n">
        <v>40</v>
      </c>
      <c r="R16" s="192" t="n"/>
      <c r="T16" s="192" t="n"/>
      <c r="U16" s="55" t="n">
        <v>40</v>
      </c>
      <c r="W16" s="192" t="n"/>
      <c r="X16" s="56" t="n"/>
      <c r="Y16" s="56" t="n"/>
      <c r="Z16" s="192" t="n"/>
      <c r="AA16" s="55" t="n">
        <v>40</v>
      </c>
      <c r="AC16" s="192" t="n"/>
      <c r="AE16" s="192" t="n"/>
      <c r="AF16" s="55" t="n">
        <v>40</v>
      </c>
      <c r="AH16" s="192" t="n"/>
    </row>
    <row r="17" ht="14.25" customHeight="1">
      <c r="C17" s="192" t="n"/>
      <c r="D17" s="55" t="n">
        <v>39</v>
      </c>
      <c r="F17" s="192" t="n"/>
      <c r="G17" s="56" t="n"/>
      <c r="H17" s="56" t="n"/>
      <c r="I17" s="192" t="n"/>
      <c r="J17" s="55" t="n">
        <v>39</v>
      </c>
      <c r="L17" s="192" t="n"/>
      <c r="M17" s="56" t="n"/>
      <c r="N17" s="56" t="n"/>
      <c r="O17" s="192" t="n"/>
      <c r="P17" s="55" t="n">
        <v>39</v>
      </c>
      <c r="R17" s="192" t="n"/>
      <c r="T17" s="192" t="n"/>
      <c r="U17" s="55" t="n">
        <v>39</v>
      </c>
      <c r="W17" s="192" t="n"/>
      <c r="X17" s="56" t="n"/>
      <c r="Y17" s="56" t="n"/>
      <c r="Z17" s="192" t="n"/>
      <c r="AA17" s="55" t="n">
        <v>39</v>
      </c>
      <c r="AC17" s="192" t="n"/>
      <c r="AE17" s="192" t="n"/>
      <c r="AF17" s="55" t="n">
        <v>39</v>
      </c>
      <c r="AH17" s="192" t="n"/>
    </row>
    <row r="18" ht="14.25" customHeight="1">
      <c r="C18" s="192" t="n"/>
      <c r="D18" s="55" t="n">
        <v>38</v>
      </c>
      <c r="E18" s="195" t="inlineStr">
        <is>
          <t xml:space="preserve">E-W Spine-1(SN5610) </t>
        </is>
      </c>
      <c r="F18" s="192" t="n"/>
      <c r="G18" s="56" t="n"/>
      <c r="H18" s="56" t="n"/>
      <c r="I18" s="192" t="n"/>
      <c r="J18" s="55" t="n">
        <v>38</v>
      </c>
      <c r="K18" s="195" t="inlineStr">
        <is>
          <t xml:space="preserve">E-W Spine-1(SN5610) </t>
        </is>
      </c>
      <c r="L18" s="192" t="n"/>
      <c r="M18" s="56" t="n"/>
      <c r="N18" s="56" t="n"/>
      <c r="O18" s="192" t="n"/>
      <c r="P18" s="55" t="n">
        <v>38</v>
      </c>
      <c r="Q18" s="195" t="inlineStr">
        <is>
          <t>E-W Leaf -1(SN5610)</t>
        </is>
      </c>
      <c r="R18" s="192" t="n"/>
      <c r="T18" s="192" t="n"/>
      <c r="U18" s="55" t="n">
        <v>38</v>
      </c>
      <c r="V18" s="195" t="inlineStr">
        <is>
          <t>AGGR1 SN4700</t>
        </is>
      </c>
      <c r="W18" s="192" t="n"/>
      <c r="X18" s="56" t="n"/>
      <c r="Y18" s="56" t="n"/>
      <c r="Z18" s="192" t="n"/>
      <c r="AA18" s="55" t="n">
        <v>38</v>
      </c>
      <c r="AB18" s="195" t="inlineStr">
        <is>
          <t xml:space="preserve">N-S Core-1(SN5610) </t>
        </is>
      </c>
      <c r="AC18" s="192" t="n"/>
      <c r="AE18" s="192" t="n"/>
      <c r="AF18" s="55" t="n">
        <v>38</v>
      </c>
      <c r="AG18" s="195" t="inlineStr">
        <is>
          <t>AGGR1 SN4700</t>
        </is>
      </c>
      <c r="AH18" s="192" t="n"/>
    </row>
    <row r="19" ht="14.25" customHeight="1">
      <c r="C19" s="192" t="n"/>
      <c r="D19" s="55" t="n">
        <v>37</v>
      </c>
      <c r="E19" s="194" t="n"/>
      <c r="F19" s="192" t="n"/>
      <c r="G19" s="56" t="n"/>
      <c r="H19" s="56" t="n"/>
      <c r="I19" s="192" t="n"/>
      <c r="J19" s="55" t="n">
        <v>37</v>
      </c>
      <c r="K19" s="194" t="n"/>
      <c r="L19" s="192" t="n"/>
      <c r="M19" s="56" t="n"/>
      <c r="N19" s="56" t="n"/>
      <c r="O19" s="192" t="n"/>
      <c r="P19" s="55" t="n">
        <v>37</v>
      </c>
      <c r="Q19" s="194" t="n"/>
      <c r="R19" s="192" t="n"/>
      <c r="T19" s="192" t="n"/>
      <c r="U19" s="55" t="n">
        <v>37</v>
      </c>
      <c r="V19" s="194" t="n"/>
      <c r="W19" s="192" t="n"/>
      <c r="X19" s="56" t="n"/>
      <c r="Y19" s="56" t="n"/>
      <c r="Z19" s="192" t="n"/>
      <c r="AA19" s="55" t="n">
        <v>37</v>
      </c>
      <c r="AB19" s="194" t="n"/>
      <c r="AC19" s="192" t="n"/>
      <c r="AE19" s="192" t="n"/>
      <c r="AF19" s="55" t="n">
        <v>37</v>
      </c>
      <c r="AG19" s="194" t="n"/>
      <c r="AH19" s="192" t="n"/>
    </row>
    <row r="20" ht="14.25" customHeight="1">
      <c r="C20" s="192" t="n"/>
      <c r="D20" s="55" t="n">
        <v>36</v>
      </c>
      <c r="F20" s="192" t="n"/>
      <c r="G20" s="56" t="n"/>
      <c r="H20" s="56" t="n"/>
      <c r="I20" s="192" t="n"/>
      <c r="J20" s="55" t="n">
        <v>36</v>
      </c>
      <c r="L20" s="192" t="n"/>
      <c r="M20" s="56" t="n"/>
      <c r="N20" s="56" t="n"/>
      <c r="O20" s="192" t="n"/>
      <c r="P20" s="55" t="n">
        <v>36</v>
      </c>
      <c r="R20" s="192" t="n"/>
      <c r="T20" s="192" t="n"/>
      <c r="U20" s="55" t="n">
        <v>36</v>
      </c>
      <c r="W20" s="192" t="n"/>
      <c r="X20" s="56" t="n"/>
      <c r="Y20" s="56" t="n"/>
      <c r="Z20" s="192" t="n"/>
      <c r="AA20" s="55" t="n">
        <v>36</v>
      </c>
      <c r="AC20" s="192" t="n"/>
      <c r="AE20" s="192" t="n"/>
      <c r="AF20" s="55" t="n">
        <v>36</v>
      </c>
      <c r="AH20" s="192" t="n"/>
    </row>
    <row r="21" ht="14.25" customHeight="1">
      <c r="C21" s="192" t="n"/>
      <c r="D21" s="55" t="n">
        <v>35</v>
      </c>
      <c r="E21" s="195" t="inlineStr">
        <is>
          <t xml:space="preserve">E-W Spine-2(SN5610) </t>
        </is>
      </c>
      <c r="F21" s="192" t="n"/>
      <c r="G21" s="56" t="n"/>
      <c r="H21" s="56" t="n"/>
      <c r="I21" s="192" t="n"/>
      <c r="J21" s="55" t="n">
        <v>35</v>
      </c>
      <c r="K21" s="195" t="inlineStr">
        <is>
          <t xml:space="preserve">E-W Spine-2(SN5610) </t>
        </is>
      </c>
      <c r="L21" s="192" t="n"/>
      <c r="M21" s="56" t="n"/>
      <c r="N21" s="56" t="n"/>
      <c r="O21" s="192" t="n"/>
      <c r="P21" s="55" t="n">
        <v>35</v>
      </c>
      <c r="Q21" s="195" t="inlineStr">
        <is>
          <t xml:space="preserve">E-W Leaf-2(SN5610) </t>
        </is>
      </c>
      <c r="R21" s="192" t="n"/>
      <c r="T21" s="192" t="n"/>
      <c r="U21" s="55" t="n">
        <v>35</v>
      </c>
      <c r="V21" s="195" t="inlineStr">
        <is>
          <t>AGGR2 SN4700</t>
        </is>
      </c>
      <c r="W21" s="192" t="n"/>
      <c r="X21" s="56" t="n"/>
      <c r="Y21" s="56" t="n"/>
      <c r="Z21" s="192" t="n"/>
      <c r="AA21" s="55" t="n">
        <v>35</v>
      </c>
      <c r="AB21" s="195" t="inlineStr">
        <is>
          <t xml:space="preserve">N-S Core-2(SN5610) </t>
        </is>
      </c>
      <c r="AC21" s="192" t="n"/>
      <c r="AE21" s="192" t="n"/>
      <c r="AF21" s="55" t="n">
        <v>35</v>
      </c>
      <c r="AG21" s="195" t="inlineStr">
        <is>
          <t>AGGR2 SN4700</t>
        </is>
      </c>
      <c r="AH21" s="192" t="n"/>
    </row>
    <row r="22" ht="14.25" customHeight="1">
      <c r="C22" s="192" t="n"/>
      <c r="D22" s="55" t="n">
        <v>34</v>
      </c>
      <c r="E22" s="194" t="n"/>
      <c r="F22" s="192" t="n"/>
      <c r="G22" s="56" t="n"/>
      <c r="H22" s="56" t="n"/>
      <c r="I22" s="192" t="n"/>
      <c r="J22" s="55" t="n">
        <v>34</v>
      </c>
      <c r="K22" s="194" t="n"/>
      <c r="L22" s="192" t="n"/>
      <c r="M22" s="56" t="n"/>
      <c r="N22" s="56" t="n"/>
      <c r="O22" s="192" t="n"/>
      <c r="P22" s="55" t="n">
        <v>34</v>
      </c>
      <c r="Q22" s="194" t="n"/>
      <c r="R22" s="192" t="n"/>
      <c r="T22" s="192" t="n"/>
      <c r="U22" s="55" t="n">
        <v>34</v>
      </c>
      <c r="V22" s="194" t="n"/>
      <c r="W22" s="192" t="n"/>
      <c r="X22" s="56" t="n"/>
      <c r="Y22" s="56" t="n"/>
      <c r="Z22" s="192" t="n"/>
      <c r="AA22" s="55" t="n">
        <v>34</v>
      </c>
      <c r="AB22" s="194" t="n"/>
      <c r="AC22" s="192" t="n"/>
      <c r="AE22" s="192" t="n"/>
      <c r="AF22" s="55" t="n">
        <v>34</v>
      </c>
      <c r="AG22" s="194" t="n"/>
      <c r="AH22" s="192" t="n"/>
    </row>
    <row r="23" ht="14.25" customHeight="1">
      <c r="C23" s="192" t="n"/>
      <c r="D23" s="55" t="n">
        <v>33</v>
      </c>
      <c r="F23" s="192" t="n"/>
      <c r="G23" s="56" t="n"/>
      <c r="H23" s="56" t="n"/>
      <c r="I23" s="192" t="n"/>
      <c r="J23" s="55" t="n">
        <v>33</v>
      </c>
      <c r="L23" s="192" t="n"/>
      <c r="M23" s="56" t="n"/>
      <c r="N23" s="56" t="n"/>
      <c r="O23" s="192" t="n"/>
      <c r="P23" s="55" t="n">
        <v>33</v>
      </c>
      <c r="R23" s="192" t="n"/>
      <c r="T23" s="192" t="n"/>
      <c r="U23" s="55" t="n">
        <v>33</v>
      </c>
      <c r="W23" s="192" t="n"/>
      <c r="X23" s="56" t="n"/>
      <c r="Y23" s="56" t="n"/>
      <c r="Z23" s="192" t="n"/>
      <c r="AA23" s="55" t="n">
        <v>33</v>
      </c>
      <c r="AC23" s="192" t="n"/>
      <c r="AE23" s="192" t="n"/>
      <c r="AF23" s="55" t="n">
        <v>33</v>
      </c>
      <c r="AH23" s="192" t="n"/>
    </row>
    <row r="24" ht="14.25" customHeight="1">
      <c r="C24" s="192" t="n"/>
      <c r="D24" s="55" t="n">
        <v>32</v>
      </c>
      <c r="E24" s="195" t="inlineStr">
        <is>
          <t xml:space="preserve">E-W Spine-3(SN5610) </t>
        </is>
      </c>
      <c r="F24" s="192" t="n"/>
      <c r="G24" s="56" t="n"/>
      <c r="H24" s="56" t="n"/>
      <c r="I24" s="192" t="n"/>
      <c r="J24" s="55" t="n">
        <v>32</v>
      </c>
      <c r="K24" s="195" t="inlineStr">
        <is>
          <t xml:space="preserve">E-W Spine-3(SN5610) </t>
        </is>
      </c>
      <c r="L24" s="192" t="n"/>
      <c r="M24" s="56" t="n"/>
      <c r="N24" s="56" t="n"/>
      <c r="O24" s="192" t="n"/>
      <c r="P24" s="55" t="n">
        <v>32</v>
      </c>
      <c r="Q24" s="195" t="inlineStr">
        <is>
          <t xml:space="preserve">E-W Leaf-3(SN5610)  </t>
        </is>
      </c>
      <c r="R24" s="192" t="n"/>
      <c r="T24" s="192" t="n"/>
      <c r="U24" s="55" t="n">
        <v>32</v>
      </c>
      <c r="W24" s="192" t="n"/>
      <c r="X24" s="56" t="n"/>
      <c r="Y24" s="56" t="n"/>
      <c r="Z24" s="192" t="n"/>
      <c r="AA24" s="55" t="n">
        <v>32</v>
      </c>
      <c r="AB24" s="195" t="inlineStr">
        <is>
          <t xml:space="preserve">N-S Core-3(SN5610) </t>
        </is>
      </c>
      <c r="AC24" s="192" t="n"/>
      <c r="AE24" s="192" t="n"/>
      <c r="AF24" s="55" t="n">
        <v>32</v>
      </c>
      <c r="AH24" s="192" t="n"/>
    </row>
    <row r="25" ht="14.25" customHeight="1">
      <c r="C25" s="192" t="n"/>
      <c r="D25" s="55" t="n">
        <v>31</v>
      </c>
      <c r="E25" s="194" t="n"/>
      <c r="F25" s="192" t="n"/>
      <c r="G25" s="56" t="n"/>
      <c r="H25" s="56" t="n"/>
      <c r="I25" s="192" t="n"/>
      <c r="J25" s="55" t="n">
        <v>31</v>
      </c>
      <c r="K25" s="194" t="n"/>
      <c r="L25" s="192" t="n"/>
      <c r="M25" s="56" t="n"/>
      <c r="N25" s="56" t="n"/>
      <c r="O25" s="192" t="n"/>
      <c r="P25" s="55" t="n">
        <v>31</v>
      </c>
      <c r="Q25" s="194" t="n"/>
      <c r="R25" s="192" t="n"/>
      <c r="T25" s="192" t="n"/>
      <c r="U25" s="55" t="n">
        <v>31</v>
      </c>
      <c r="V25" s="195" t="inlineStr">
        <is>
          <t>Contol SN5610-1</t>
        </is>
      </c>
      <c r="W25" s="192" t="n"/>
      <c r="X25" s="56" t="n"/>
      <c r="Y25" s="56" t="n"/>
      <c r="Z25" s="192" t="n"/>
      <c r="AA25" s="55" t="n">
        <v>31</v>
      </c>
      <c r="AB25" s="194" t="n"/>
      <c r="AC25" s="192" t="n"/>
      <c r="AE25" s="192" t="n"/>
      <c r="AF25" s="55" t="n">
        <v>31</v>
      </c>
      <c r="AH25" s="192" t="n"/>
    </row>
    <row r="26" ht="14.25" customHeight="1">
      <c r="C26" s="192" t="n"/>
      <c r="D26" s="55" t="n">
        <v>30</v>
      </c>
      <c r="F26" s="192" t="n"/>
      <c r="G26" s="56" t="n"/>
      <c r="H26" s="56" t="n"/>
      <c r="I26" s="192" t="n"/>
      <c r="J26" s="55" t="n">
        <v>30</v>
      </c>
      <c r="L26" s="192" t="n"/>
      <c r="M26" s="56" t="n"/>
      <c r="N26" s="56" t="n"/>
      <c r="O26" s="192" t="n"/>
      <c r="P26" s="55" t="n">
        <v>30</v>
      </c>
      <c r="R26" s="192" t="n"/>
      <c r="T26" s="192" t="n"/>
      <c r="U26" s="55" t="n">
        <v>30</v>
      </c>
      <c r="V26" s="194" t="n"/>
      <c r="W26" s="192" t="n"/>
      <c r="X26" s="56" t="n"/>
      <c r="Y26" s="56" t="n"/>
      <c r="Z26" s="192" t="n"/>
      <c r="AA26" s="55" t="n">
        <v>30</v>
      </c>
      <c r="AC26" s="192" t="n"/>
      <c r="AE26" s="192" t="n"/>
      <c r="AF26" s="55" t="n">
        <v>30</v>
      </c>
      <c r="AH26" s="192" t="n"/>
    </row>
    <row r="27" ht="14.25" customHeight="1">
      <c r="C27" s="192" t="n"/>
      <c r="D27" s="55" t="n">
        <v>29</v>
      </c>
      <c r="E27" s="195" t="inlineStr">
        <is>
          <t xml:space="preserve">E-W Spine-4(SN5610) </t>
        </is>
      </c>
      <c r="F27" s="192" t="n"/>
      <c r="G27" s="56" t="n"/>
      <c r="H27" s="56" t="n"/>
      <c r="I27" s="192" t="n"/>
      <c r="J27" s="55" t="n">
        <v>29</v>
      </c>
      <c r="K27" s="195" t="inlineStr">
        <is>
          <t xml:space="preserve">E-W Spine-4(SN5610) </t>
        </is>
      </c>
      <c r="L27" s="192" t="n"/>
      <c r="M27" s="56" t="n"/>
      <c r="N27" s="56" t="n"/>
      <c r="O27" s="192" t="n"/>
      <c r="P27" s="55" t="n">
        <v>29</v>
      </c>
      <c r="Q27" s="195" t="inlineStr">
        <is>
          <t xml:space="preserve">E-W Leaf-4(SN5610) </t>
        </is>
      </c>
      <c r="R27" s="192" t="n"/>
      <c r="T27" s="192" t="n"/>
      <c r="U27" s="55" t="n">
        <v>29</v>
      </c>
      <c r="W27" s="192" t="n"/>
      <c r="X27" s="56" t="n"/>
      <c r="Y27" s="56" t="n"/>
      <c r="Z27" s="192" t="n"/>
      <c r="AA27" s="55" t="n">
        <v>29</v>
      </c>
      <c r="AB27" s="195" t="inlineStr">
        <is>
          <t xml:space="preserve">N-S Core-4(SN5610) </t>
        </is>
      </c>
      <c r="AC27" s="192" t="n"/>
      <c r="AE27" s="192" t="n"/>
      <c r="AF27" s="55" t="n">
        <v>29</v>
      </c>
      <c r="AH27" s="192" t="n"/>
    </row>
    <row r="28" ht="14.25" customHeight="1">
      <c r="C28" s="192" t="n"/>
      <c r="D28" s="55" t="n">
        <v>28</v>
      </c>
      <c r="E28" s="194" t="n"/>
      <c r="F28" s="192" t="n"/>
      <c r="G28" s="56" t="n"/>
      <c r="H28" s="56" t="n"/>
      <c r="I28" s="192" t="n"/>
      <c r="J28" s="55" t="n">
        <v>28</v>
      </c>
      <c r="K28" s="194" t="n"/>
      <c r="L28" s="192" t="n"/>
      <c r="M28" s="56" t="n"/>
      <c r="N28" s="56" t="n"/>
      <c r="O28" s="192" t="n"/>
      <c r="P28" s="55" t="n">
        <v>28</v>
      </c>
      <c r="Q28" s="194" t="n"/>
      <c r="R28" s="192" t="n"/>
      <c r="T28" s="192" t="n"/>
      <c r="U28" s="55" t="n">
        <v>28</v>
      </c>
      <c r="V28" s="195" t="inlineStr">
        <is>
          <t>Contol SN5610-2</t>
        </is>
      </c>
      <c r="W28" s="192" t="n"/>
      <c r="X28" s="56" t="n"/>
      <c r="Y28" s="56" t="n"/>
      <c r="Z28" s="192" t="n"/>
      <c r="AA28" s="55" t="n">
        <v>28</v>
      </c>
      <c r="AB28" s="194" t="n"/>
      <c r="AC28" s="192" t="n"/>
      <c r="AE28" s="192" t="n"/>
      <c r="AF28" s="55" t="n">
        <v>28</v>
      </c>
      <c r="AH28" s="192" t="n"/>
    </row>
    <row r="29" ht="14.25" customHeight="1">
      <c r="C29" s="192" t="n"/>
      <c r="D29" s="55" t="n">
        <v>27</v>
      </c>
      <c r="F29" s="192" t="n"/>
      <c r="G29" s="56" t="n"/>
      <c r="H29" s="56" t="n"/>
      <c r="I29" s="192" t="n"/>
      <c r="J29" s="55" t="n">
        <v>27</v>
      </c>
      <c r="L29" s="192" t="n"/>
      <c r="M29" s="56" t="n"/>
      <c r="N29" s="56" t="n"/>
      <c r="O29" s="192" t="n"/>
      <c r="P29" s="55" t="n">
        <v>27</v>
      </c>
      <c r="R29" s="192" t="n"/>
      <c r="T29" s="192" t="n"/>
      <c r="U29" s="55" t="n">
        <v>27</v>
      </c>
      <c r="V29" s="194" t="n"/>
      <c r="W29" s="192" t="n"/>
      <c r="X29" s="56" t="n"/>
      <c r="Y29" s="56" t="n"/>
      <c r="Z29" s="192" t="n"/>
      <c r="AA29" s="55" t="n">
        <v>27</v>
      </c>
      <c r="AC29" s="192" t="n"/>
      <c r="AE29" s="192" t="n"/>
      <c r="AF29" s="55" t="n">
        <v>27</v>
      </c>
      <c r="AH29" s="192" t="n"/>
    </row>
    <row r="30" ht="14.25" customHeight="1">
      <c r="C30" s="192" t="n"/>
      <c r="D30" s="55" t="n">
        <v>26</v>
      </c>
      <c r="E30" s="195" t="inlineStr">
        <is>
          <t xml:space="preserve">E-W Spine-5(SN5610) </t>
        </is>
      </c>
      <c r="F30" s="192" t="n"/>
      <c r="G30" s="56" t="n"/>
      <c r="H30" s="56" t="n"/>
      <c r="I30" s="192" t="n"/>
      <c r="J30" s="55" t="n">
        <v>26</v>
      </c>
      <c r="K30" s="195" t="inlineStr">
        <is>
          <t xml:space="preserve">E-W Spine-5(SN5610) </t>
        </is>
      </c>
      <c r="L30" s="192" t="n"/>
      <c r="M30" s="56" t="n"/>
      <c r="N30" s="56" t="n"/>
      <c r="O30" s="192" t="n"/>
      <c r="P30" s="55" t="n">
        <v>26</v>
      </c>
      <c r="Q30" s="195" t="inlineStr">
        <is>
          <t xml:space="preserve">E-W Leaf-5(SN5610) </t>
        </is>
      </c>
      <c r="R30" s="192" t="n"/>
      <c r="T30" s="192" t="n"/>
      <c r="U30" s="55" t="n">
        <v>26</v>
      </c>
      <c r="W30" s="192" t="n"/>
      <c r="X30" s="56" t="n"/>
      <c r="Y30" s="56" t="n"/>
      <c r="Z30" s="192" t="n"/>
      <c r="AA30" s="55" t="n">
        <v>26</v>
      </c>
      <c r="AB30" s="195" t="inlineStr">
        <is>
          <t xml:space="preserve">N-S Core-5(SN5610) </t>
        </is>
      </c>
      <c r="AC30" s="192" t="n"/>
      <c r="AE30" s="192" t="n"/>
      <c r="AF30" s="55" t="n">
        <v>26</v>
      </c>
      <c r="AH30" s="192" t="n"/>
    </row>
    <row r="31" ht="14.25" customHeight="1">
      <c r="C31" s="192" t="n"/>
      <c r="D31" s="55" t="n">
        <v>25</v>
      </c>
      <c r="E31" s="194" t="n"/>
      <c r="F31" s="192" t="n"/>
      <c r="G31" s="56" t="n"/>
      <c r="H31" s="56" t="n"/>
      <c r="I31" s="192" t="n"/>
      <c r="J31" s="55" t="n">
        <v>25</v>
      </c>
      <c r="K31" s="194" t="n"/>
      <c r="L31" s="192" t="n"/>
      <c r="M31" s="56" t="n"/>
      <c r="N31" s="56" t="n"/>
      <c r="O31" s="192" t="n"/>
      <c r="P31" s="55" t="n">
        <v>25</v>
      </c>
      <c r="Q31" s="194" t="n"/>
      <c r="R31" s="192" t="n"/>
      <c r="T31" s="192" t="n"/>
      <c r="U31" s="55" t="n">
        <v>25</v>
      </c>
      <c r="W31" s="192" t="n"/>
      <c r="X31" s="56" t="n"/>
      <c r="Y31" s="56" t="n"/>
      <c r="Z31" s="192" t="n"/>
      <c r="AA31" s="55" t="n">
        <v>25</v>
      </c>
      <c r="AB31" s="194" t="n"/>
      <c r="AC31" s="192" t="n"/>
      <c r="AE31" s="192" t="n"/>
      <c r="AF31" s="55" t="n">
        <v>25</v>
      </c>
      <c r="AH31" s="192" t="n"/>
    </row>
    <row r="32" ht="14.25" customHeight="1">
      <c r="C32" s="192" t="n"/>
      <c r="D32" s="55" t="n">
        <v>24</v>
      </c>
      <c r="F32" s="192" t="n"/>
      <c r="G32" s="56" t="n"/>
      <c r="H32" s="56" t="n"/>
      <c r="I32" s="192" t="n"/>
      <c r="J32" s="55" t="n">
        <v>24</v>
      </c>
      <c r="L32" s="192" t="n"/>
      <c r="M32" s="56" t="n"/>
      <c r="N32" s="56" t="n"/>
      <c r="O32" s="192" t="n"/>
      <c r="P32" s="55" t="n">
        <v>24</v>
      </c>
      <c r="R32" s="192" t="n"/>
      <c r="T32" s="192" t="n"/>
      <c r="U32" s="55" t="n">
        <v>24</v>
      </c>
      <c r="V32" s="195" t="inlineStr">
        <is>
          <t>Storage SN5610-1</t>
        </is>
      </c>
      <c r="W32" s="192" t="n"/>
      <c r="X32" s="56" t="n"/>
      <c r="Y32" s="56" t="n"/>
      <c r="Z32" s="192" t="n"/>
      <c r="AA32" s="55" t="n">
        <v>24</v>
      </c>
      <c r="AC32" s="192" t="n"/>
      <c r="AE32" s="192" t="n"/>
      <c r="AF32" s="55" t="n">
        <v>24</v>
      </c>
      <c r="AG32" s="195" t="inlineStr">
        <is>
          <t>Storage SN5610-1</t>
        </is>
      </c>
      <c r="AH32" s="192" t="n"/>
    </row>
    <row r="33" ht="14.25" customHeight="1">
      <c r="C33" s="192" t="n"/>
      <c r="D33" s="55" t="n">
        <v>23</v>
      </c>
      <c r="E33" s="195" t="inlineStr">
        <is>
          <t xml:space="preserve">E-W Spine-6(SN5610) </t>
        </is>
      </c>
      <c r="F33" s="192" t="n"/>
      <c r="G33" s="56" t="n"/>
      <c r="H33" s="56" t="n"/>
      <c r="I33" s="192" t="n"/>
      <c r="J33" s="55" t="n">
        <v>23</v>
      </c>
      <c r="K33" s="195" t="inlineStr">
        <is>
          <t xml:space="preserve">E-W Spine-6(SN5610) </t>
        </is>
      </c>
      <c r="L33" s="192" t="n"/>
      <c r="M33" s="56" t="n"/>
      <c r="N33" s="56" t="n"/>
      <c r="O33" s="192" t="n"/>
      <c r="P33" s="55" t="n">
        <v>23</v>
      </c>
      <c r="Q33" s="195" t="inlineStr">
        <is>
          <t xml:space="preserve">E-W Leaf-6(SN5610) </t>
        </is>
      </c>
      <c r="R33" s="192" t="n"/>
      <c r="T33" s="192" t="n"/>
      <c r="U33" s="55" t="n">
        <v>23</v>
      </c>
      <c r="V33" s="194" t="n"/>
      <c r="W33" s="192" t="n"/>
      <c r="X33" s="56" t="n"/>
      <c r="Y33" s="56" t="n"/>
      <c r="Z33" s="192" t="n"/>
      <c r="AA33" s="55" t="n">
        <v>23</v>
      </c>
      <c r="AB33" s="195" t="inlineStr">
        <is>
          <t xml:space="preserve">N-S Core-6(SN5610) </t>
        </is>
      </c>
      <c r="AC33" s="192" t="n"/>
      <c r="AE33" s="192" t="n"/>
      <c r="AF33" s="55" t="n">
        <v>23</v>
      </c>
      <c r="AG33" s="194" t="n"/>
      <c r="AH33" s="192" t="n"/>
    </row>
    <row r="34" ht="14.25" customHeight="1">
      <c r="C34" s="192" t="n"/>
      <c r="D34" s="55" t="n">
        <v>22</v>
      </c>
      <c r="E34" s="194" t="n"/>
      <c r="F34" s="192" t="n"/>
      <c r="G34" s="56" t="n"/>
      <c r="H34" s="56" t="n"/>
      <c r="I34" s="192" t="n"/>
      <c r="J34" s="55" t="n">
        <v>22</v>
      </c>
      <c r="K34" s="194" t="n"/>
      <c r="L34" s="192" t="n"/>
      <c r="M34" s="56" t="n"/>
      <c r="N34" s="56" t="n"/>
      <c r="O34" s="192" t="n"/>
      <c r="P34" s="55" t="n">
        <v>22</v>
      </c>
      <c r="Q34" s="194" t="n"/>
      <c r="R34" s="192" t="n"/>
      <c r="T34" s="192" t="n"/>
      <c r="U34" s="55" t="n">
        <v>22</v>
      </c>
      <c r="W34" s="192" t="n"/>
      <c r="X34" s="56" t="n"/>
      <c r="Y34" s="56" t="n"/>
      <c r="Z34" s="192" t="n"/>
      <c r="AA34" s="55" t="n">
        <v>22</v>
      </c>
      <c r="AB34" s="194" t="n"/>
      <c r="AC34" s="192" t="n"/>
      <c r="AE34" s="192" t="n"/>
      <c r="AF34" s="55" t="n">
        <v>22</v>
      </c>
      <c r="AH34" s="192" t="n"/>
    </row>
    <row r="35" ht="14.25" customHeight="1">
      <c r="C35" s="192" t="n"/>
      <c r="D35" s="55" t="n">
        <v>21</v>
      </c>
      <c r="F35" s="192" t="n"/>
      <c r="G35" s="56" t="n"/>
      <c r="H35" s="56" t="n"/>
      <c r="I35" s="192" t="n"/>
      <c r="J35" s="55" t="n">
        <v>21</v>
      </c>
      <c r="L35" s="192" t="n"/>
      <c r="M35" s="56" t="n"/>
      <c r="N35" s="56" t="n"/>
      <c r="O35" s="192" t="n"/>
      <c r="P35" s="55" t="n">
        <v>21</v>
      </c>
      <c r="R35" s="192" t="n"/>
      <c r="T35" s="192" t="n"/>
      <c r="U35" s="55" t="n">
        <v>21</v>
      </c>
      <c r="V35" s="195" t="inlineStr">
        <is>
          <t>Storage SN5610-2</t>
        </is>
      </c>
      <c r="W35" s="192" t="n"/>
      <c r="X35" s="56" t="n"/>
      <c r="Y35" s="56" t="n"/>
      <c r="Z35" s="192" t="n"/>
      <c r="AA35" s="55" t="n">
        <v>21</v>
      </c>
      <c r="AC35" s="192" t="n"/>
      <c r="AE35" s="192" t="n"/>
      <c r="AF35" s="55" t="n">
        <v>21</v>
      </c>
      <c r="AG35" s="195" t="inlineStr">
        <is>
          <t>Storage SN5610-2</t>
        </is>
      </c>
      <c r="AH35" s="192" t="n"/>
    </row>
    <row r="36" ht="14.25" customHeight="1">
      <c r="C36" s="192" t="n"/>
      <c r="D36" s="55" t="n">
        <v>20</v>
      </c>
      <c r="E36" s="195" t="inlineStr">
        <is>
          <t xml:space="preserve">E-W Spine-7(SN5610) </t>
        </is>
      </c>
      <c r="F36" s="192" t="n"/>
      <c r="G36" s="56" t="n"/>
      <c r="H36" s="56" t="n"/>
      <c r="I36" s="192" t="n"/>
      <c r="J36" s="55" t="n">
        <v>20</v>
      </c>
      <c r="K36" s="195" t="inlineStr">
        <is>
          <t xml:space="preserve">E-W Spine-7(SN5610) </t>
        </is>
      </c>
      <c r="L36" s="192" t="n"/>
      <c r="M36" s="56" t="n"/>
      <c r="N36" s="56" t="n"/>
      <c r="O36" s="192" t="n"/>
      <c r="P36" s="55" t="n">
        <v>20</v>
      </c>
      <c r="Q36" s="195" t="inlineStr">
        <is>
          <t xml:space="preserve">E-W Leaf-7(SN5610) </t>
        </is>
      </c>
      <c r="R36" s="192" t="n"/>
      <c r="T36" s="192" t="n"/>
      <c r="U36" s="55" t="n">
        <v>20</v>
      </c>
      <c r="V36" s="194" t="n"/>
      <c r="W36" s="192" t="n"/>
      <c r="X36" s="56" t="n"/>
      <c r="Y36" s="56" t="n"/>
      <c r="Z36" s="192" t="n"/>
      <c r="AA36" s="55" t="n">
        <v>20</v>
      </c>
      <c r="AB36" s="195" t="inlineStr">
        <is>
          <t xml:space="preserve">N-S Core-7(SN5610) </t>
        </is>
      </c>
      <c r="AC36" s="192" t="n"/>
      <c r="AE36" s="192" t="n"/>
      <c r="AF36" s="55" t="n">
        <v>20</v>
      </c>
      <c r="AG36" s="194" t="n"/>
      <c r="AH36" s="192" t="n"/>
    </row>
    <row r="37" ht="14.25" customHeight="1">
      <c r="C37" s="192" t="n"/>
      <c r="D37" s="55" t="n">
        <v>19</v>
      </c>
      <c r="E37" s="194" t="n"/>
      <c r="F37" s="192" t="n"/>
      <c r="G37" s="56" t="n"/>
      <c r="H37" s="56" t="n"/>
      <c r="I37" s="192" t="n"/>
      <c r="J37" s="55" t="n">
        <v>19</v>
      </c>
      <c r="K37" s="194" t="n"/>
      <c r="L37" s="192" t="n"/>
      <c r="M37" s="56" t="n"/>
      <c r="N37" s="56" t="n"/>
      <c r="O37" s="192" t="n"/>
      <c r="P37" s="55" t="n">
        <v>19</v>
      </c>
      <c r="Q37" s="194" t="n"/>
      <c r="R37" s="192" t="n"/>
      <c r="T37" s="192" t="n"/>
      <c r="U37" s="55" t="n">
        <v>19</v>
      </c>
      <c r="W37" s="192" t="n"/>
      <c r="X37" s="56" t="n"/>
      <c r="Y37" s="56" t="n"/>
      <c r="Z37" s="192" t="n"/>
      <c r="AA37" s="55" t="n">
        <v>19</v>
      </c>
      <c r="AB37" s="194" t="n"/>
      <c r="AC37" s="192" t="n"/>
      <c r="AE37" s="192" t="n"/>
      <c r="AF37" s="55" t="n">
        <v>19</v>
      </c>
      <c r="AH37" s="192" t="n"/>
    </row>
    <row r="38" ht="14.25" customHeight="1">
      <c r="C38" s="192" t="n"/>
      <c r="D38" s="55" t="n">
        <v>18</v>
      </c>
      <c r="F38" s="192" t="n"/>
      <c r="G38" s="56" t="n"/>
      <c r="H38" s="56" t="n"/>
      <c r="I38" s="192" t="n"/>
      <c r="J38" s="55" t="n">
        <v>18</v>
      </c>
      <c r="L38" s="192" t="n"/>
      <c r="M38" s="56" t="n"/>
      <c r="N38" s="56" t="n"/>
      <c r="O38" s="192" t="n"/>
      <c r="P38" s="55" t="n">
        <v>18</v>
      </c>
      <c r="R38" s="192" t="n"/>
      <c r="T38" s="192" t="n"/>
      <c r="U38" s="55" t="n">
        <v>18</v>
      </c>
      <c r="W38" s="192" t="n"/>
      <c r="X38" s="56" t="n"/>
      <c r="Y38" s="56" t="n"/>
      <c r="Z38" s="192" t="n"/>
      <c r="AA38" s="55" t="n">
        <v>18</v>
      </c>
      <c r="AC38" s="192" t="n"/>
      <c r="AE38" s="192" t="n"/>
      <c r="AF38" s="55" t="n">
        <v>18</v>
      </c>
      <c r="AH38" s="192" t="n"/>
    </row>
    <row r="39" ht="14.25" customHeight="1">
      <c r="C39" s="192" t="n"/>
      <c r="D39" s="55" t="n">
        <v>17</v>
      </c>
      <c r="E39" s="195" t="inlineStr">
        <is>
          <t xml:space="preserve">E-W Spine-8(SN5610) </t>
        </is>
      </c>
      <c r="F39" s="192" t="n"/>
      <c r="G39" s="56" t="n"/>
      <c r="H39" s="56" t="n"/>
      <c r="I39" s="192" t="n"/>
      <c r="J39" s="55" t="n">
        <v>17</v>
      </c>
      <c r="K39" s="195" t="inlineStr">
        <is>
          <t xml:space="preserve">E-W Spine-8(SN5610) </t>
        </is>
      </c>
      <c r="L39" s="192" t="n"/>
      <c r="M39" s="56" t="n"/>
      <c r="N39" s="56" t="n"/>
      <c r="O39" s="192" t="n"/>
      <c r="P39" s="55" t="n">
        <v>17</v>
      </c>
      <c r="Q39" s="195" t="inlineStr">
        <is>
          <t xml:space="preserve">E-W Leaf-8(SN5610) </t>
        </is>
      </c>
      <c r="R39" s="192" t="n"/>
      <c r="T39" s="192" t="n"/>
      <c r="U39" s="55" t="n">
        <v>17</v>
      </c>
      <c r="W39" s="192" t="n"/>
      <c r="X39" s="56" t="n"/>
      <c r="Y39" s="56" t="n"/>
      <c r="Z39" s="192" t="n"/>
      <c r="AA39" s="55" t="n">
        <v>17</v>
      </c>
      <c r="AB39" s="195" t="inlineStr">
        <is>
          <t xml:space="preserve">N-S Core-8(SN5610) </t>
        </is>
      </c>
      <c r="AC39" s="192" t="n"/>
      <c r="AE39" s="192" t="n"/>
      <c r="AF39" s="55" t="n">
        <v>17</v>
      </c>
      <c r="AH39" s="192" t="n"/>
    </row>
    <row r="40" ht="14.25" customHeight="1">
      <c r="C40" s="192" t="n"/>
      <c r="D40" s="55" t="n">
        <v>16</v>
      </c>
      <c r="E40" s="194" t="n"/>
      <c r="F40" s="192" t="n"/>
      <c r="G40" s="56" t="n"/>
      <c r="H40" s="56" t="n"/>
      <c r="I40" s="192" t="n"/>
      <c r="J40" s="55" t="n">
        <v>16</v>
      </c>
      <c r="K40" s="194" t="n"/>
      <c r="L40" s="192" t="n"/>
      <c r="M40" s="56" t="n"/>
      <c r="N40" s="56" t="n"/>
      <c r="O40" s="192" t="n"/>
      <c r="P40" s="55" t="n">
        <v>16</v>
      </c>
      <c r="Q40" s="194" t="n"/>
      <c r="R40" s="192" t="n"/>
      <c r="T40" s="192" t="n"/>
      <c r="U40" s="55" t="n">
        <v>16</v>
      </c>
      <c r="W40" s="192" t="n"/>
      <c r="X40" s="56" t="n"/>
      <c r="Y40" s="56" t="n"/>
      <c r="Z40" s="192" t="n"/>
      <c r="AA40" s="55" t="n">
        <v>16</v>
      </c>
      <c r="AB40" s="194" t="n"/>
      <c r="AC40" s="192" t="n"/>
      <c r="AE40" s="192" t="n"/>
      <c r="AF40" s="55" t="n">
        <v>16</v>
      </c>
      <c r="AH40" s="192" t="n"/>
    </row>
    <row r="41" ht="14.25" customHeight="1">
      <c r="C41" s="192" t="n"/>
      <c r="D41" s="55" t="n">
        <v>15</v>
      </c>
      <c r="F41" s="192" t="n"/>
      <c r="G41" s="56" t="n"/>
      <c r="H41" s="56" t="n"/>
      <c r="I41" s="192" t="n"/>
      <c r="J41" s="55" t="n">
        <v>15</v>
      </c>
      <c r="L41" s="192" t="n"/>
      <c r="M41" s="56" t="n"/>
      <c r="N41" s="56" t="n"/>
      <c r="O41" s="192" t="n"/>
      <c r="P41" s="55" t="n">
        <v>15</v>
      </c>
      <c r="R41" s="192" t="n"/>
      <c r="T41" s="192" t="n"/>
      <c r="U41" s="55" t="n">
        <v>15</v>
      </c>
      <c r="W41" s="192" t="n"/>
      <c r="X41" s="56" t="n"/>
      <c r="Y41" s="56" t="n"/>
      <c r="Z41" s="192" t="n"/>
      <c r="AA41" s="55" t="n">
        <v>15</v>
      </c>
      <c r="AC41" s="192" t="n"/>
      <c r="AE41" s="192" t="n"/>
      <c r="AF41" s="55" t="n">
        <v>15</v>
      </c>
      <c r="AH41" s="192" t="n"/>
    </row>
    <row r="42" ht="14.25" customHeight="1">
      <c r="C42" s="192" t="n"/>
      <c r="D42" s="55" t="n">
        <v>14</v>
      </c>
      <c r="F42" s="192" t="n"/>
      <c r="G42" s="56" t="n"/>
      <c r="H42" s="56" t="n"/>
      <c r="I42" s="192" t="n"/>
      <c r="J42" s="55" t="n">
        <v>14</v>
      </c>
      <c r="L42" s="192" t="n"/>
      <c r="M42" s="56" t="n"/>
      <c r="N42" s="56" t="n"/>
      <c r="O42" s="192" t="n"/>
      <c r="P42" s="55" t="n">
        <v>14</v>
      </c>
      <c r="R42" s="192" t="n"/>
      <c r="T42" s="192" t="n"/>
      <c r="U42" s="55" t="n">
        <v>14</v>
      </c>
      <c r="W42" s="192" t="n"/>
      <c r="X42" s="56" t="n"/>
      <c r="Y42" s="56" t="n"/>
      <c r="Z42" s="192" t="n"/>
      <c r="AA42" s="55" t="n">
        <v>14</v>
      </c>
      <c r="AC42" s="192" t="n"/>
      <c r="AE42" s="192" t="n"/>
      <c r="AF42" s="55" t="n">
        <v>14</v>
      </c>
      <c r="AH42" s="192" t="n"/>
    </row>
    <row r="43" ht="14.25" customHeight="1">
      <c r="C43" s="192" t="n"/>
      <c r="D43" s="55" t="n">
        <v>13</v>
      </c>
      <c r="F43" s="192" t="n"/>
      <c r="G43" s="56" t="n"/>
      <c r="H43" s="56" t="n"/>
      <c r="I43" s="192" t="n"/>
      <c r="J43" s="55" t="n">
        <v>13</v>
      </c>
      <c r="L43" s="192" t="n"/>
      <c r="M43" s="56" t="n"/>
      <c r="N43" s="56" t="n"/>
      <c r="O43" s="192" t="n"/>
      <c r="P43" s="55" t="n">
        <v>13</v>
      </c>
      <c r="R43" s="192" t="n"/>
      <c r="T43" s="192" t="n"/>
      <c r="U43" s="55" t="n">
        <v>13</v>
      </c>
      <c r="W43" s="192" t="n"/>
      <c r="X43" s="56" t="n"/>
      <c r="Y43" s="56" t="n"/>
      <c r="Z43" s="192" t="n"/>
      <c r="AA43" s="55" t="n">
        <v>13</v>
      </c>
      <c r="AC43" s="192" t="n"/>
      <c r="AE43" s="192" t="n"/>
      <c r="AF43" s="55" t="n">
        <v>13</v>
      </c>
      <c r="AH43" s="192" t="n"/>
    </row>
    <row r="44" ht="14.25" customHeight="1">
      <c r="C44" s="192" t="n"/>
      <c r="D44" s="55" t="n">
        <v>12</v>
      </c>
      <c r="F44" s="192" t="n"/>
      <c r="G44" s="56" t="n"/>
      <c r="H44" s="56" t="n"/>
      <c r="I44" s="192" t="n"/>
      <c r="J44" s="55" t="n">
        <v>12</v>
      </c>
      <c r="L44" s="192" t="n"/>
      <c r="M44" s="56" t="n"/>
      <c r="N44" s="56" t="n"/>
      <c r="O44" s="192" t="n"/>
      <c r="P44" s="55" t="n">
        <v>12</v>
      </c>
      <c r="R44" s="192" t="n"/>
      <c r="T44" s="192" t="n"/>
      <c r="U44" s="55" t="n">
        <v>12</v>
      </c>
      <c r="W44" s="192" t="n"/>
      <c r="X44" s="56" t="n"/>
      <c r="Y44" s="56" t="n"/>
      <c r="Z44" s="192" t="n"/>
      <c r="AA44" s="55" t="n">
        <v>12</v>
      </c>
      <c r="AC44" s="192" t="n"/>
      <c r="AE44" s="192" t="n"/>
      <c r="AF44" s="55" t="n">
        <v>12</v>
      </c>
      <c r="AH44" s="192" t="n"/>
    </row>
    <row r="45" ht="14.25" customHeight="1">
      <c r="C45" s="192" t="n"/>
      <c r="D45" s="55" t="n">
        <v>11</v>
      </c>
      <c r="F45" s="192" t="n"/>
      <c r="G45" s="56" t="n"/>
      <c r="H45" s="56" t="n"/>
      <c r="I45" s="192" t="n"/>
      <c r="J45" s="55" t="n">
        <v>11</v>
      </c>
      <c r="L45" s="192" t="n"/>
      <c r="M45" s="56" t="n"/>
      <c r="N45" s="56" t="n"/>
      <c r="O45" s="192" t="n"/>
      <c r="P45" s="55" t="n">
        <v>11</v>
      </c>
      <c r="R45" s="192" t="n"/>
      <c r="T45" s="192" t="n"/>
      <c r="U45" s="55" t="n">
        <v>11</v>
      </c>
      <c r="W45" s="192" t="n"/>
      <c r="X45" s="56" t="n"/>
      <c r="Y45" s="56" t="n"/>
      <c r="Z45" s="192" t="n"/>
      <c r="AA45" s="55" t="n">
        <v>11</v>
      </c>
      <c r="AC45" s="192" t="n"/>
      <c r="AE45" s="192" t="n"/>
      <c r="AF45" s="55" t="n">
        <v>11</v>
      </c>
      <c r="AH45" s="192" t="n"/>
    </row>
    <row r="46" ht="14.25" customHeight="1">
      <c r="C46" s="192" t="n"/>
      <c r="D46" s="55" t="n">
        <v>10</v>
      </c>
      <c r="F46" s="192" t="n"/>
      <c r="G46" s="56" t="n"/>
      <c r="H46" s="56" t="n"/>
      <c r="I46" s="192" t="n"/>
      <c r="J46" s="55" t="n">
        <v>10</v>
      </c>
      <c r="L46" s="192" t="n"/>
      <c r="M46" s="56" t="n"/>
      <c r="N46" s="56" t="n"/>
      <c r="O46" s="192" t="n"/>
      <c r="P46" s="55" t="n">
        <v>10</v>
      </c>
      <c r="R46" s="192" t="n"/>
      <c r="T46" s="192" t="n"/>
      <c r="U46" s="55" t="n">
        <v>10</v>
      </c>
      <c r="W46" s="192" t="n"/>
      <c r="X46" s="56" t="n"/>
      <c r="Y46" s="56" t="n"/>
      <c r="Z46" s="192" t="n"/>
      <c r="AA46" s="55" t="n">
        <v>10</v>
      </c>
      <c r="AC46" s="192" t="n"/>
      <c r="AE46" s="192" t="n"/>
      <c r="AF46" s="55" t="n">
        <v>10</v>
      </c>
      <c r="AH46" s="192" t="n"/>
    </row>
    <row r="47" ht="14.25" customHeight="1">
      <c r="C47" s="192" t="n"/>
      <c r="D47" s="55" t="n">
        <v>9</v>
      </c>
      <c r="F47" s="192" t="n"/>
      <c r="G47" s="56" t="n"/>
      <c r="H47" s="56" t="n"/>
      <c r="I47" s="192" t="n"/>
      <c r="J47" s="55" t="n">
        <v>9</v>
      </c>
      <c r="L47" s="192" t="n"/>
      <c r="M47" s="56" t="n"/>
      <c r="N47" s="56" t="n"/>
      <c r="O47" s="192" t="n"/>
      <c r="P47" s="55" t="n">
        <v>9</v>
      </c>
      <c r="R47" s="192" t="n"/>
      <c r="T47" s="192" t="n"/>
      <c r="U47" s="55" t="n">
        <v>9</v>
      </c>
      <c r="W47" s="192" t="n"/>
      <c r="X47" s="56" t="n"/>
      <c r="Y47" s="56" t="n"/>
      <c r="Z47" s="192" t="n"/>
      <c r="AA47" s="55" t="n">
        <v>9</v>
      </c>
      <c r="AC47" s="192" t="n"/>
      <c r="AE47" s="192" t="n"/>
      <c r="AF47" s="55" t="n">
        <v>9</v>
      </c>
      <c r="AH47" s="192" t="n"/>
    </row>
    <row r="48" ht="14.25" customHeight="1">
      <c r="C48" s="192" t="n"/>
      <c r="D48" s="55" t="n">
        <v>8</v>
      </c>
      <c r="F48" s="192" t="n"/>
      <c r="G48" s="56" t="n"/>
      <c r="H48" s="56" t="n"/>
      <c r="I48" s="192" t="n"/>
      <c r="J48" s="55" t="n">
        <v>8</v>
      </c>
      <c r="L48" s="192" t="n"/>
      <c r="M48" s="56" t="n"/>
      <c r="N48" s="56" t="n"/>
      <c r="O48" s="192" t="n"/>
      <c r="P48" s="55" t="n">
        <v>8</v>
      </c>
      <c r="R48" s="192" t="n"/>
      <c r="T48" s="192" t="n"/>
      <c r="U48" s="55" t="n">
        <v>8</v>
      </c>
      <c r="W48" s="192" t="n"/>
      <c r="X48" s="56" t="n"/>
      <c r="Y48" s="56" t="n"/>
      <c r="Z48" s="192" t="n"/>
      <c r="AA48" s="55" t="n">
        <v>8</v>
      </c>
      <c r="AC48" s="192" t="n"/>
      <c r="AE48" s="192" t="n"/>
      <c r="AF48" s="55" t="n">
        <v>8</v>
      </c>
      <c r="AH48" s="192" t="n"/>
    </row>
    <row r="49" ht="14.25" customHeight="1">
      <c r="C49" s="192" t="n"/>
      <c r="D49" s="55" t="n">
        <v>7</v>
      </c>
      <c r="F49" s="192" t="n"/>
      <c r="G49" s="56" t="n"/>
      <c r="H49" s="56" t="n"/>
      <c r="I49" s="192" t="n"/>
      <c r="J49" s="55" t="n">
        <v>7</v>
      </c>
      <c r="L49" s="192" t="n"/>
      <c r="M49" s="56" t="n"/>
      <c r="N49" s="56" t="n"/>
      <c r="O49" s="192" t="n"/>
      <c r="P49" s="55" t="n">
        <v>7</v>
      </c>
      <c r="R49" s="192" t="n"/>
      <c r="T49" s="192" t="n"/>
      <c r="U49" s="55" t="n">
        <v>7</v>
      </c>
      <c r="W49" s="192" t="n"/>
      <c r="X49" s="56" t="n"/>
      <c r="Y49" s="56" t="n"/>
      <c r="Z49" s="192" t="n"/>
      <c r="AA49" s="55" t="n">
        <v>7</v>
      </c>
      <c r="AC49" s="192" t="n"/>
      <c r="AE49" s="192" t="n"/>
      <c r="AF49" s="55" t="n">
        <v>7</v>
      </c>
      <c r="AH49" s="192" t="n"/>
    </row>
    <row r="50" ht="14.25" customHeight="1">
      <c r="C50" s="192" t="n"/>
      <c r="D50" s="55" t="n">
        <v>6</v>
      </c>
      <c r="F50" s="192" t="n"/>
      <c r="G50" s="56" t="n"/>
      <c r="H50" s="56" t="n"/>
      <c r="I50" s="192" t="n"/>
      <c r="J50" s="55" t="n">
        <v>6</v>
      </c>
      <c r="L50" s="192" t="n"/>
      <c r="M50" s="56" t="n"/>
      <c r="N50" s="56" t="n"/>
      <c r="O50" s="192" t="n"/>
      <c r="P50" s="55" t="n">
        <v>6</v>
      </c>
      <c r="R50" s="192" t="n"/>
      <c r="T50" s="192" t="n"/>
      <c r="U50" s="55" t="n">
        <v>6</v>
      </c>
      <c r="W50" s="192" t="n"/>
      <c r="X50" s="56" t="n"/>
      <c r="Y50" s="56" t="n"/>
      <c r="Z50" s="192" t="n"/>
      <c r="AA50" s="55" t="n">
        <v>6</v>
      </c>
      <c r="AC50" s="192" t="n"/>
      <c r="AE50" s="192" t="n"/>
      <c r="AF50" s="55" t="n">
        <v>6</v>
      </c>
      <c r="AH50" s="192" t="n"/>
    </row>
    <row r="51" ht="14.25" customHeight="1">
      <c r="C51" s="192" t="n"/>
      <c r="D51" s="55" t="n">
        <v>5</v>
      </c>
      <c r="F51" s="192" t="n"/>
      <c r="G51" s="56" t="n"/>
      <c r="H51" s="56" t="n"/>
      <c r="I51" s="192" t="n"/>
      <c r="J51" s="55" t="n">
        <v>5</v>
      </c>
      <c r="L51" s="192" t="n"/>
      <c r="M51" s="56" t="n"/>
      <c r="N51" s="56" t="n"/>
      <c r="O51" s="192" t="n"/>
      <c r="P51" s="55" t="n">
        <v>5</v>
      </c>
      <c r="R51" s="192" t="n"/>
      <c r="T51" s="192" t="n"/>
      <c r="U51" s="55" t="n">
        <v>5</v>
      </c>
      <c r="W51" s="192" t="n"/>
      <c r="X51" s="56" t="n"/>
      <c r="Y51" s="56" t="n"/>
      <c r="Z51" s="192" t="n"/>
      <c r="AA51" s="55" t="n">
        <v>5</v>
      </c>
      <c r="AC51" s="192" t="n"/>
      <c r="AE51" s="192" t="n"/>
      <c r="AF51" s="55" t="n">
        <v>5</v>
      </c>
      <c r="AH51" s="192" t="n"/>
    </row>
    <row r="52" ht="14.25" customHeight="1">
      <c r="C52" s="192" t="n"/>
      <c r="D52" s="55" t="n">
        <v>4</v>
      </c>
      <c r="F52" s="192" t="n"/>
      <c r="G52" s="56" t="n"/>
      <c r="H52" s="56" t="n"/>
      <c r="I52" s="192" t="n"/>
      <c r="J52" s="55" t="n">
        <v>4</v>
      </c>
      <c r="L52" s="192" t="n"/>
      <c r="M52" s="56" t="n"/>
      <c r="N52" s="56" t="n"/>
      <c r="O52" s="192" t="n"/>
      <c r="P52" s="55" t="n">
        <v>4</v>
      </c>
      <c r="R52" s="192" t="n"/>
      <c r="T52" s="192" t="n"/>
      <c r="U52" s="55" t="n">
        <v>4</v>
      </c>
      <c r="W52" s="192" t="n"/>
      <c r="X52" s="56" t="n"/>
      <c r="Y52" s="56" t="n"/>
      <c r="Z52" s="192" t="n"/>
      <c r="AA52" s="55" t="n">
        <v>4</v>
      </c>
      <c r="AC52" s="192" t="n"/>
      <c r="AE52" s="192" t="n"/>
      <c r="AF52" s="55" t="n">
        <v>4</v>
      </c>
      <c r="AH52" s="192" t="n"/>
    </row>
    <row r="53" ht="14.25" customHeight="1">
      <c r="C53" s="192" t="n"/>
      <c r="D53" s="55" t="n">
        <v>3</v>
      </c>
      <c r="F53" s="192" t="n"/>
      <c r="G53" s="56" t="n"/>
      <c r="H53" s="56" t="n"/>
      <c r="I53" s="192" t="n"/>
      <c r="J53" s="55" t="n">
        <v>3</v>
      </c>
      <c r="L53" s="192" t="n"/>
      <c r="M53" s="56" t="n"/>
      <c r="N53" s="56" t="n"/>
      <c r="O53" s="192" t="n"/>
      <c r="P53" s="55" t="n">
        <v>3</v>
      </c>
      <c r="R53" s="192" t="n"/>
      <c r="T53" s="192" t="n"/>
      <c r="U53" s="55" t="n">
        <v>3</v>
      </c>
      <c r="W53" s="192" t="n"/>
      <c r="X53" s="56" t="n"/>
      <c r="Y53" s="56" t="n"/>
      <c r="Z53" s="192" t="n"/>
      <c r="AA53" s="55" t="n">
        <v>3</v>
      </c>
      <c r="AC53" s="192" t="n"/>
      <c r="AE53" s="192" t="n"/>
      <c r="AF53" s="55" t="n">
        <v>3</v>
      </c>
      <c r="AH53" s="192" t="n"/>
    </row>
    <row r="54" ht="14.25" customHeight="1">
      <c r="C54" s="192" t="n"/>
      <c r="D54" s="55" t="n">
        <v>2</v>
      </c>
      <c r="F54" s="192" t="n"/>
      <c r="G54" s="56" t="n"/>
      <c r="H54" s="56" t="n"/>
      <c r="I54" s="192" t="n"/>
      <c r="J54" s="55" t="n">
        <v>2</v>
      </c>
      <c r="L54" s="192" t="n"/>
      <c r="M54" s="56" t="n"/>
      <c r="N54" s="56" t="n"/>
      <c r="O54" s="192" t="n"/>
      <c r="P54" s="55" t="n">
        <v>2</v>
      </c>
      <c r="R54" s="192" t="n"/>
      <c r="T54" s="192" t="n"/>
      <c r="U54" s="55" t="n">
        <v>2</v>
      </c>
      <c r="W54" s="192" t="n"/>
      <c r="X54" s="56" t="n"/>
      <c r="Y54" s="56" t="n"/>
      <c r="Z54" s="192" t="n"/>
      <c r="AA54" s="55" t="n">
        <v>2</v>
      </c>
      <c r="AC54" s="192" t="n"/>
      <c r="AE54" s="192" t="n"/>
      <c r="AF54" s="55" t="n">
        <v>2</v>
      </c>
      <c r="AH54" s="192" t="n"/>
    </row>
    <row r="55" ht="14.25" customHeight="1" thickBot="1">
      <c r="C55" s="194" t="n"/>
      <c r="D55" s="55" t="n">
        <v>1</v>
      </c>
      <c r="E55" s="57" t="n"/>
      <c r="F55" s="194" t="n"/>
      <c r="G55" s="56" t="n"/>
      <c r="H55" s="56" t="n"/>
      <c r="I55" s="194" t="n"/>
      <c r="J55" s="55" t="n">
        <v>1</v>
      </c>
      <c r="K55" s="57" t="n"/>
      <c r="L55" s="194" t="n"/>
      <c r="M55" s="56" t="n"/>
      <c r="N55" s="56" t="n"/>
      <c r="O55" s="194" t="n"/>
      <c r="P55" s="55" t="n">
        <v>1</v>
      </c>
      <c r="Q55" s="57" t="n"/>
      <c r="R55" s="194" t="n"/>
      <c r="T55" s="194" t="n"/>
      <c r="U55" s="55" t="n">
        <v>1</v>
      </c>
      <c r="V55" s="57" t="n"/>
      <c r="W55" s="194" t="n"/>
      <c r="X55" s="56" t="n"/>
      <c r="Y55" s="56" t="n"/>
      <c r="Z55" s="194" t="n"/>
      <c r="AA55" s="55" t="n">
        <v>1</v>
      </c>
      <c r="AB55" s="57" t="n"/>
      <c r="AC55" s="194" t="n"/>
      <c r="AE55" s="194" t="n"/>
      <c r="AF55" s="55" t="n">
        <v>1</v>
      </c>
      <c r="AG55" s="57" t="n"/>
      <c r="AH55" s="194" t="n"/>
    </row>
    <row r="56" ht="14.25" customHeight="1">
      <c r="F56" s="40" t="n"/>
      <c r="G56" s="40" t="n"/>
      <c r="H56" s="40" t="n"/>
      <c r="L56" s="40" t="n"/>
      <c r="M56" s="40" t="n"/>
      <c r="N56" s="40" t="n"/>
      <c r="X56" s="40" t="n"/>
      <c r="Y56" s="40" t="n"/>
      <c r="AC56" s="40" t="n"/>
    </row>
    <row r="57" ht="14.25" customHeight="1">
      <c r="F57" s="40" t="n"/>
      <c r="G57" s="40" t="n"/>
      <c r="H57" s="40" t="n"/>
      <c r="L57" s="40" t="n"/>
      <c r="M57" s="40" t="n"/>
      <c r="N57" s="40" t="n"/>
      <c r="X57" s="40" t="n"/>
      <c r="Y57" s="40" t="n"/>
      <c r="AC57" s="40" t="n"/>
    </row>
    <row r="58" ht="14.25" customHeight="1">
      <c r="F58" s="40" t="n"/>
      <c r="G58" s="40" t="n"/>
      <c r="H58" s="40" t="n"/>
      <c r="L58" s="40" t="n"/>
      <c r="M58" s="40" t="n"/>
      <c r="N58" s="40" t="n"/>
      <c r="X58" s="40" t="n"/>
      <c r="Y58" s="40" t="n"/>
      <c r="AC58" s="40" t="n"/>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c r="Q71" t="inlineStr">
        <is>
          <t>n</t>
        </is>
      </c>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57">
    <mergeCell ref="AG35:AG36"/>
    <mergeCell ref="K36:K37"/>
    <mergeCell ref="E39:E40"/>
    <mergeCell ref="K30:K31"/>
    <mergeCell ref="AB30:AB31"/>
    <mergeCell ref="Q14:Q15"/>
    <mergeCell ref="K21:K22"/>
    <mergeCell ref="K33:K34"/>
    <mergeCell ref="Q21:Q22"/>
    <mergeCell ref="Q24:Q25"/>
    <mergeCell ref="E33:E34"/>
    <mergeCell ref="Q33:Q34"/>
    <mergeCell ref="AG21:AG22"/>
    <mergeCell ref="Q18:Q19"/>
    <mergeCell ref="V28:V29"/>
    <mergeCell ref="AB21:AB22"/>
    <mergeCell ref="V35:V36"/>
    <mergeCell ref="Q39:Q40"/>
    <mergeCell ref="AH8:AH55"/>
    <mergeCell ref="K27:K28"/>
    <mergeCell ref="AC8:AC55"/>
    <mergeCell ref="T8:T55"/>
    <mergeCell ref="AG32:AG33"/>
    <mergeCell ref="K39:K40"/>
    <mergeCell ref="E11:E12"/>
    <mergeCell ref="AB27:AB28"/>
    <mergeCell ref="AE8:AE55"/>
    <mergeCell ref="AB36:AB37"/>
    <mergeCell ref="E30:E31"/>
    <mergeCell ref="F8:F55"/>
    <mergeCell ref="E27:E28"/>
    <mergeCell ref="Q27:Q28"/>
    <mergeCell ref="L8:L55"/>
    <mergeCell ref="Z8:Z55"/>
    <mergeCell ref="I8:I55"/>
    <mergeCell ref="Q30:Q31"/>
    <mergeCell ref="AB39:AB40"/>
    <mergeCell ref="C8:C55"/>
    <mergeCell ref="E36:E37"/>
    <mergeCell ref="Q11:Q12"/>
    <mergeCell ref="W8:W55"/>
    <mergeCell ref="Q36:Q37"/>
    <mergeCell ref="V32:V33"/>
    <mergeCell ref="AG18:AG19"/>
    <mergeCell ref="AB24:AB25"/>
    <mergeCell ref="V25:V26"/>
    <mergeCell ref="O8:O55"/>
    <mergeCell ref="E18:E19"/>
    <mergeCell ref="V21:V22"/>
    <mergeCell ref="R8:R55"/>
    <mergeCell ref="E21:E22"/>
    <mergeCell ref="K24:K25"/>
    <mergeCell ref="AB18:AB19"/>
    <mergeCell ref="AB33:AB34"/>
    <mergeCell ref="E24:E25"/>
    <mergeCell ref="V18:V19"/>
    <mergeCell ref="K18:K19"/>
  </mergeCells>
  <pageMargins left="0.7" right="0.7" top="0.75" bottom="0.75" header="0.3" footer="0.3"/>
  <pageSetup orientation="portrait" scale="52"/>
  <headerFooter>
    <oddHeader/>
    <oddFooter>&amp;L&amp;"Calibri"&amp;7 &amp;K737373_x000d_# Restricted - Confidential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1"/>
  <sheetViews>
    <sheetView workbookViewId="0">
      <selection activeCell="C3" sqref="C3"/>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58"/>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54.5546875" customWidth="1" style="1" min="4" max="4"/>
    <col width="11.6640625" customWidth="1" style="1" min="5" max="5"/>
    <col width="14.109375" customWidth="1" style="1" min="6" max="6"/>
    <col width="18.88671875" customWidth="1" style="1" min="7" max="7"/>
    <col width="46.109375" customWidth="1" style="1" min="8" max="8"/>
    <col width="10.44140625" customWidth="1" style="1" min="9" max="9"/>
    <col width="78.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6384"/>
  </cols>
  <sheetData>
    <row r="1" ht="60" customHeight="1"/>
    <row r="2">
      <c r="A2" s="1" t="inlineStr">
        <is>
          <t>Solution Id: 19885916.1</t>
        </is>
      </c>
    </row>
    <row r="3">
      <c r="A3" s="1" t="inlineStr">
        <is>
          <t>Solution Name: Together AI DW2000P</t>
        </is>
      </c>
    </row>
    <row r="4">
      <c r="A4" s="1" t="inlineStr">
        <is>
          <t>Solution Category: General</t>
        </is>
      </c>
    </row>
    <row r="5">
      <c r="A5" s="1" t="inlineStr">
        <is>
          <t>Solution List Price: $3,174,981.04</t>
        </is>
      </c>
    </row>
    <row r="6">
      <c r="A6" s="1" t="inlineStr">
        <is>
          <t>Solution Estimated Price: $687,045.84</t>
        </is>
      </c>
    </row>
    <row r="7" ht="43.2" customHeight="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19885916.1.1</t>
        </is>
      </c>
      <c r="D9" s="1" t="inlineStr">
        <is>
          <t xml:space="preserve">PowerEdge R6615 - [PE_R6615_16729] </t>
        </is>
      </c>
      <c r="E9" s="1" t="n">
        <v>8</v>
      </c>
      <c r="F9" s="4" t="n">
        <v>326247.63</v>
      </c>
      <c r="G9" s="4" t="n">
        <v>2609981.04</v>
      </c>
    </row>
    <row r="10">
      <c r="H10" s="1" t="inlineStr">
        <is>
          <t>PowerEdge R6615</t>
        </is>
      </c>
      <c r="I10" s="1" t="inlineStr">
        <is>
          <t>G2CJBV9</t>
        </is>
      </c>
      <c r="J10" s="1" t="inlineStr">
        <is>
          <t>PowerEdge R6615 Server</t>
        </is>
      </c>
      <c r="K10" s="4" t="n">
        <v>4496.13</v>
      </c>
      <c r="L10" s="1" t="inlineStr">
        <is>
          <t>[210-BFUO]</t>
        </is>
      </c>
      <c r="M10" s="1" t="n">
        <v>1</v>
      </c>
    </row>
    <row r="11">
      <c r="H11" s="1" t="inlineStr">
        <is>
          <t>FRONT STORAGE</t>
        </is>
      </c>
      <c r="I11" s="1" t="inlineStr">
        <is>
          <t>GAOR9VT</t>
        </is>
      </c>
      <c r="J11" s="1" t="inlineStr">
        <is>
          <t>Chassis with EDSFF drives</t>
        </is>
      </c>
      <c r="K11" s="4" t="n">
        <v>0</v>
      </c>
      <c r="L11" s="1" t="inlineStr">
        <is>
          <t>[379-BFGX]</t>
        </is>
      </c>
      <c r="M11" s="1" t="n">
        <v>1</v>
      </c>
    </row>
    <row r="12">
      <c r="H12" s="1" t="inlineStr">
        <is>
          <t>BACKPLANE</t>
        </is>
      </c>
      <c r="I12" s="1" t="inlineStr">
        <is>
          <t>G3NBWKT</t>
        </is>
      </c>
      <c r="J12" s="1" t="inlineStr">
        <is>
          <t>E3.s Backplane</t>
        </is>
      </c>
      <c r="K12" s="4" t="n">
        <v>0</v>
      </c>
      <c r="L12" s="1" t="inlineStr">
        <is>
          <t>[379-BEYL]</t>
        </is>
      </c>
      <c r="M12" s="1" t="n">
        <v>1</v>
      </c>
    </row>
    <row r="13">
      <c r="H13" s="1" t="inlineStr">
        <is>
          <t>REAR STORAGE</t>
        </is>
      </c>
      <c r="I13" s="1" t="inlineStr">
        <is>
          <t>GOXF0L2</t>
        </is>
      </c>
      <c r="J13" s="1" t="inlineStr">
        <is>
          <t>No Rear Storage</t>
        </is>
      </c>
      <c r="K13" s="4" t="n">
        <v>0</v>
      </c>
      <c r="L13" s="1" t="inlineStr">
        <is>
          <t>[379-BDTE]</t>
        </is>
      </c>
      <c r="M13" s="1" t="n">
        <v>1</v>
      </c>
    </row>
    <row r="14">
      <c r="H14" s="1" t="inlineStr">
        <is>
          <t>Trusted Platform Module</t>
        </is>
      </c>
      <c r="I14" s="1" t="inlineStr">
        <is>
          <t>GGX1VDO</t>
        </is>
      </c>
      <c r="J14" s="1" t="inlineStr">
        <is>
          <t>Trusted Platform Module 2.0 V3</t>
        </is>
      </c>
      <c r="K14" s="4" t="n">
        <v>99</v>
      </c>
      <c r="L14" s="1" t="inlineStr">
        <is>
          <t>[461-AAIG]</t>
        </is>
      </c>
      <c r="M14" s="1" t="n">
        <v>1</v>
      </c>
    </row>
    <row r="15">
      <c r="H15" s="1" t="inlineStr">
        <is>
          <t>Chassis Configuration</t>
        </is>
      </c>
      <c r="I15" s="1" t="inlineStr">
        <is>
          <t>GHTJIO2</t>
        </is>
      </c>
      <c r="J15" s="1" t="inlineStr">
        <is>
          <t>Chassis with up to 14 E3.S NVMe Drives, Smart Flow</t>
        </is>
      </c>
      <c r="K15" s="4" t="n">
        <v>1080</v>
      </c>
      <c r="L15" s="1" t="inlineStr">
        <is>
          <t>[321-BKBT]</t>
        </is>
      </c>
      <c r="M15" s="1" t="n">
        <v>1</v>
      </c>
    </row>
    <row r="16">
      <c r="H16" s="1" t="inlineStr">
        <is>
          <t>Processor</t>
        </is>
      </c>
      <c r="I16" s="1" t="inlineStr">
        <is>
          <t>GR5TMW8</t>
        </is>
      </c>
      <c r="J16" s="1" t="inlineStr">
        <is>
          <t>AMD EPYC 9454P 2.75GHz, 48C/96T, 256M Cache (290W) DDR5-4800</t>
        </is>
      </c>
      <c r="K16" s="4" t="n">
        <v>10645</v>
      </c>
      <c r="L16" s="1" t="inlineStr">
        <is>
          <t>[338-CGXM]</t>
        </is>
      </c>
      <c r="M16" s="1" t="n">
        <v>1</v>
      </c>
    </row>
    <row r="17">
      <c r="H17" s="1" t="inlineStr">
        <is>
          <t>Processor Thermal Configuration</t>
        </is>
      </c>
      <c r="I17" s="1" t="inlineStr">
        <is>
          <t>G0BWHZV</t>
        </is>
      </c>
      <c r="J17" s="1" t="inlineStr">
        <is>
          <t>High Performance Heatsink, V2</t>
        </is>
      </c>
      <c r="K17" s="4" t="n">
        <v>157.4</v>
      </c>
      <c r="L17" s="1" t="inlineStr">
        <is>
          <t>[412-BBGB]</t>
        </is>
      </c>
      <c r="M17" s="1" t="n">
        <v>1</v>
      </c>
    </row>
    <row r="18">
      <c r="H18" s="1" t="inlineStr">
        <is>
          <t>Memory Configuration Type</t>
        </is>
      </c>
      <c r="I18" s="1" t="inlineStr">
        <is>
          <t>G6VDIHE</t>
        </is>
      </c>
      <c r="J18" s="1" t="inlineStr">
        <is>
          <t>Performance Optimized</t>
        </is>
      </c>
      <c r="K18" s="4" t="n">
        <v>0</v>
      </c>
      <c r="L18" s="1" t="inlineStr">
        <is>
          <t>[370-AHLL]</t>
        </is>
      </c>
      <c r="M18" s="1" t="n">
        <v>1</v>
      </c>
    </row>
    <row r="19">
      <c r="H19" s="1" t="inlineStr">
        <is>
          <t>Memory DIMM Type and Speed</t>
        </is>
      </c>
      <c r="I19" s="1" t="inlineStr">
        <is>
          <t>GYMX57Q</t>
        </is>
      </c>
      <c r="J19" s="1" t="inlineStr">
        <is>
          <t>5600MT/s RDIMMs</t>
        </is>
      </c>
      <c r="K19" s="4" t="n">
        <v>0</v>
      </c>
      <c r="L19" s="1" t="inlineStr">
        <is>
          <t>[370-BBRX]</t>
        </is>
      </c>
      <c r="M19" s="1" t="n">
        <v>1</v>
      </c>
    </row>
    <row r="20">
      <c r="H20" s="1" t="inlineStr">
        <is>
          <t>Memory Capacity</t>
        </is>
      </c>
      <c r="I20" s="1" t="inlineStr">
        <is>
          <t>G106RND</t>
        </is>
      </c>
      <c r="J20" s="1" t="inlineStr">
        <is>
          <t>32GB RDIMM, 5600MT/s, Dual Rank</t>
        </is>
      </c>
      <c r="K20" s="4" t="n">
        <v>25824</v>
      </c>
      <c r="L20" s="1" t="inlineStr">
        <is>
          <t>[370-BBRY]</t>
        </is>
      </c>
      <c r="M20" s="1" t="n">
        <v>12</v>
      </c>
    </row>
    <row r="21">
      <c r="H21" s="1" t="inlineStr">
        <is>
          <t>RAID Configuration</t>
        </is>
      </c>
      <c r="I21" s="1" t="inlineStr">
        <is>
          <t>GF5RC29</t>
        </is>
      </c>
      <c r="J21" s="1" t="inlineStr">
        <is>
          <t>C30, No RAID for NVME chassis</t>
        </is>
      </c>
      <c r="K21" s="4" t="n">
        <v>0</v>
      </c>
      <c r="L21" s="1" t="inlineStr">
        <is>
          <t>[780-BCDO]</t>
        </is>
      </c>
      <c r="M21" s="1" t="n">
        <v>1</v>
      </c>
    </row>
    <row r="22">
      <c r="H22" s="1" t="inlineStr">
        <is>
          <t>RAID/Internal Storage Controllers</t>
        </is>
      </c>
      <c r="I22" s="1" t="inlineStr">
        <is>
          <t>GLTBAZ3</t>
        </is>
      </c>
      <c r="J22" s="1" t="inlineStr">
        <is>
          <t>No Controller</t>
        </is>
      </c>
      <c r="K22" s="4" t="n">
        <v>0</v>
      </c>
      <c r="L22" s="1" t="inlineStr">
        <is>
          <t>[405-AACD]</t>
        </is>
      </c>
      <c r="M22" s="1" t="n">
        <v>1</v>
      </c>
    </row>
    <row r="23">
      <c r="H23" s="1" t="inlineStr">
        <is>
          <t>Hard Drives</t>
        </is>
      </c>
      <c r="I23" s="1" t="inlineStr">
        <is>
          <t>GZ4G6T3</t>
        </is>
      </c>
      <c r="J23" s="1" t="inlineStr">
        <is>
          <t>No Hard Drive</t>
        </is>
      </c>
      <c r="K23" s="4" t="n">
        <v>0</v>
      </c>
      <c r="L23" s="1" t="inlineStr">
        <is>
          <t>[400-ABHL]</t>
        </is>
      </c>
      <c r="M23" s="1" t="n">
        <v>1</v>
      </c>
    </row>
    <row r="24">
      <c r="H24" s="1" t="inlineStr">
        <is>
          <t>Hard Drives (PCIe SSD/Flex Bay)</t>
        </is>
      </c>
      <c r="I24" s="1" t="inlineStr">
        <is>
          <t>GL9OCAQ</t>
        </is>
      </c>
      <c r="J24" s="1" t="inlineStr">
        <is>
          <t>7.68TB NVMe Read Intensive AG Drive E3s Gen5 with carrier</t>
        </is>
      </c>
      <c r="K24" s="4" t="n">
        <v>253785.98</v>
      </c>
      <c r="L24" s="1" t="inlineStr">
        <is>
          <t>[400-BOMO]</t>
        </is>
      </c>
      <c r="M24" s="1" t="n">
        <v>14</v>
      </c>
    </row>
    <row r="25">
      <c r="H25" s="1" t="inlineStr">
        <is>
          <t>BIOS and Advanced System Configuration Settings</t>
        </is>
      </c>
      <c r="I25" s="1" t="inlineStr">
        <is>
          <t>GJO594B</t>
        </is>
      </c>
      <c r="J25" s="1" t="inlineStr">
        <is>
          <t>Performance BIOS Setting</t>
        </is>
      </c>
      <c r="K25" s="4" t="n">
        <v>0</v>
      </c>
      <c r="L25" s="1" t="inlineStr">
        <is>
          <t>[384-BBBL]</t>
        </is>
      </c>
      <c r="M25" s="1" t="n">
        <v>1</v>
      </c>
    </row>
    <row r="26">
      <c r="H26" s="1" t="inlineStr">
        <is>
          <t>Advanced System Configurations</t>
        </is>
      </c>
      <c r="I26" s="1" t="inlineStr">
        <is>
          <t>GSFTG4Y</t>
        </is>
      </c>
      <c r="J26" s="1" t="inlineStr">
        <is>
          <t>UEFI BIOS Boot Mode with GPT Partition</t>
        </is>
      </c>
      <c r="K26" s="4" t="n">
        <v>0</v>
      </c>
      <c r="L26" s="1" t="inlineStr">
        <is>
          <t>[800-BBDM]</t>
        </is>
      </c>
      <c r="M26" s="1" t="n">
        <v>1</v>
      </c>
    </row>
    <row r="27">
      <c r="H27" s="1" t="inlineStr">
        <is>
          <t>Fans</t>
        </is>
      </c>
      <c r="I27" s="1" t="inlineStr">
        <is>
          <t>GT5CEUN</t>
        </is>
      </c>
      <c r="J27" s="1" t="inlineStr">
        <is>
          <t>4 Very High Performance Fan for 1 CPU</t>
        </is>
      </c>
      <c r="K27" s="4" t="n">
        <v>299</v>
      </c>
      <c r="L27" s="1" t="inlineStr">
        <is>
          <t>[384-BDHS]</t>
        </is>
      </c>
      <c r="M27" s="1" t="n">
        <v>1</v>
      </c>
    </row>
    <row r="28">
      <c r="H28" s="1" t="inlineStr">
        <is>
          <t>Power Supply</t>
        </is>
      </c>
      <c r="I28" s="1" t="inlineStr">
        <is>
          <t>G7XCUQM</t>
        </is>
      </c>
      <c r="J28" s="1" t="inlineStr">
        <is>
          <t>Dual, Fully Redundant(1+1), Hot-Plug Power Supply,1100W MM(100-240Vac) Titanium</t>
        </is>
      </c>
      <c r="K28" s="4" t="n">
        <v>1429</v>
      </c>
      <c r="L28" s="1" t="inlineStr">
        <is>
          <t>[450-AKLF]</t>
        </is>
      </c>
      <c r="M28" s="1" t="n">
        <v>1</v>
      </c>
    </row>
    <row r="29">
      <c r="H29" s="1" t="inlineStr">
        <is>
          <t>Power Cords</t>
        </is>
      </c>
      <c r="I29" s="1" t="inlineStr">
        <is>
          <t>GJDR06K</t>
        </is>
      </c>
      <c r="J29" s="1" t="inlineStr">
        <is>
          <t>C13 to C14, PDU Style, 12 AMP, 13 Feet (4m) Power Cord, North America</t>
        </is>
      </c>
      <c r="K29" s="4" t="n">
        <v>70</v>
      </c>
      <c r="L29" s="1" t="inlineStr">
        <is>
          <t>[492-BBDG]</t>
        </is>
      </c>
      <c r="M29" s="1" t="n">
        <v>2</v>
      </c>
    </row>
    <row r="30">
      <c r="H30" s="1" t="inlineStr">
        <is>
          <t>PCIe Riser</t>
        </is>
      </c>
      <c r="I30" s="1" t="inlineStr">
        <is>
          <t>G3LUBT7</t>
        </is>
      </c>
      <c r="J30" s="1" t="inlineStr">
        <is>
          <t>Riser Config 2, 3 x16 LP (2x Gen5)</t>
        </is>
      </c>
      <c r="K30" s="4" t="n">
        <v>1147.6</v>
      </c>
      <c r="L30" s="1" t="inlineStr">
        <is>
          <t>[330-BCBU]</t>
        </is>
      </c>
      <c r="M30" s="1" t="n">
        <v>1</v>
      </c>
    </row>
    <row r="31">
      <c r="H31" s="1" t="inlineStr">
        <is>
          <t>Motherboard</t>
        </is>
      </c>
      <c r="I31" s="1" t="inlineStr">
        <is>
          <t>G9M23QV</t>
        </is>
      </c>
      <c r="J31" s="1" t="inlineStr">
        <is>
          <t>PowerEdge R6615 Motherboard V2</t>
        </is>
      </c>
      <c r="K31" s="4" t="n">
        <v>0</v>
      </c>
      <c r="L31" s="1" t="inlineStr">
        <is>
          <t>[329-BJSB]</t>
        </is>
      </c>
      <c r="M31" s="1" t="n">
        <v>1</v>
      </c>
    </row>
    <row r="32">
      <c r="H32" s="1" t="inlineStr">
        <is>
          <t>OCP 3.0 Network Adapters</t>
        </is>
      </c>
      <c r="I32" s="1" t="inlineStr">
        <is>
          <t>G0V3GIZ</t>
        </is>
      </c>
      <c r="J32" s="1" t="inlineStr">
        <is>
          <t>Nvidia ConnectX-6 Lx Dual Port 10/25GbE SFP28, No Crypto, OCP NIC 3.0</t>
        </is>
      </c>
      <c r="K32" s="4" t="n">
        <v>709</v>
      </c>
      <c r="L32" s="1" t="inlineStr">
        <is>
          <t>[540-BDJL]</t>
        </is>
      </c>
      <c r="M32" s="1" t="n">
        <v>1</v>
      </c>
    </row>
    <row r="33">
      <c r="H33" s="1" t="inlineStr">
        <is>
          <t>Additional Network Cards</t>
        </is>
      </c>
      <c r="I33" s="1" t="inlineStr">
        <is>
          <t>GY8XSA9</t>
        </is>
      </c>
      <c r="J33" s="1" t="inlineStr">
        <is>
          <t>Broadcom 5720 Dual Port 1GbE LOM</t>
        </is>
      </c>
      <c r="K33" s="4" t="n">
        <v>139</v>
      </c>
      <c r="L33" s="1" t="inlineStr">
        <is>
          <t>[540-BDKD]</t>
        </is>
      </c>
      <c r="M33" s="1" t="n">
        <v>1</v>
      </c>
    </row>
    <row r="34">
      <c r="H34" s="1" t="inlineStr">
        <is>
          <t>Additional Network Cards</t>
        </is>
      </c>
      <c r="I34" s="1" t="inlineStr">
        <is>
          <t>GYR7UXM</t>
        </is>
      </c>
      <c r="J34" s="1" t="inlineStr">
        <is>
          <t>Nvidia ConnectX-7 Single Port NDR VPI/400GbE OSFP PCIe LP, No Crypto</t>
        </is>
      </c>
      <c r="K34" s="4" t="n">
        <v>18938</v>
      </c>
      <c r="L34" s="1" t="inlineStr">
        <is>
          <t>[540-BFHK]</t>
        </is>
      </c>
      <c r="M34" s="1" t="n">
        <v>2</v>
      </c>
    </row>
    <row r="35">
      <c r="H35" s="1" t="inlineStr">
        <is>
          <t>Bezel</t>
        </is>
      </c>
      <c r="I35" s="1" t="inlineStr">
        <is>
          <t>GFGYQ97</t>
        </is>
      </c>
      <c r="J35" s="1" t="inlineStr">
        <is>
          <t>Standard Bezel for E3 Chassis, R6615</t>
        </is>
      </c>
      <c r="K35" s="4" t="n">
        <v>49</v>
      </c>
      <c r="L35" s="1" t="inlineStr">
        <is>
          <t>[325-BETO]</t>
        </is>
      </c>
      <c r="M35" s="1" t="n">
        <v>1</v>
      </c>
    </row>
    <row r="36">
      <c r="H36" s="1" t="inlineStr">
        <is>
          <t>Boot Optimized Storage Cards</t>
        </is>
      </c>
      <c r="I36" s="1" t="inlineStr">
        <is>
          <t>GTA30RL</t>
        </is>
      </c>
      <c r="J36" s="1" t="inlineStr">
        <is>
          <t>BOSS-N1 controller card +  with 2 M.2 960GB (RAID 1)</t>
        </is>
      </c>
      <c r="K36" s="4" t="n">
        <v>4070</v>
      </c>
      <c r="L36" s="1" t="inlineStr">
        <is>
          <t>[403-BCRZ], [470-AFNB]</t>
        </is>
      </c>
      <c r="M36" s="1" t="n">
        <v>1</v>
      </c>
    </row>
    <row r="37">
      <c r="H37" s="1" t="inlineStr">
        <is>
          <t>Operating System</t>
        </is>
      </c>
      <c r="I37" s="1" t="inlineStr">
        <is>
          <t>G78MU35</t>
        </is>
      </c>
      <c r="J37" s="1" t="inlineStr">
        <is>
          <t>No Operating System</t>
        </is>
      </c>
      <c r="K37" s="4" t="n">
        <v>0</v>
      </c>
      <c r="L37" s="1" t="inlineStr">
        <is>
          <t>[611-BBBF]</t>
        </is>
      </c>
      <c r="M37" s="1" t="n">
        <v>1</v>
      </c>
    </row>
    <row r="38">
      <c r="H38" s="1" t="inlineStr">
        <is>
          <t>OS Media Kits</t>
        </is>
      </c>
      <c r="I38" s="1" t="inlineStr">
        <is>
          <t>GKH7AZI</t>
        </is>
      </c>
      <c r="J38" s="1" t="inlineStr">
        <is>
          <t>No Media Required</t>
        </is>
      </c>
      <c r="K38" s="4" t="n">
        <v>0</v>
      </c>
      <c r="L38" s="1" t="inlineStr">
        <is>
          <t>[605-BBFN]</t>
        </is>
      </c>
      <c r="M38" s="1" t="n">
        <v>1</v>
      </c>
    </row>
    <row r="39">
      <c r="H39" s="1" t="inlineStr">
        <is>
          <t>Embedded Systems Management</t>
        </is>
      </c>
      <c r="I39" s="1" t="inlineStr">
        <is>
          <t>G65AWE1</t>
        </is>
      </c>
      <c r="J39" s="1" t="inlineStr">
        <is>
          <t>Dell Connectivity Client - Disabled</t>
        </is>
      </c>
      <c r="K39" s="4" t="n">
        <v>0</v>
      </c>
      <c r="L39" s="1" t="inlineStr">
        <is>
          <t>[379-BFXT], [634-CYDF]</t>
        </is>
      </c>
      <c r="M39" s="1" t="n">
        <v>1</v>
      </c>
    </row>
    <row r="40">
      <c r="H40" s="1" t="inlineStr">
        <is>
          <t>Embedded Systems Management</t>
        </is>
      </c>
      <c r="I40" s="1" t="inlineStr">
        <is>
          <t>G9X14RE</t>
        </is>
      </c>
      <c r="J40" s="1" t="inlineStr">
        <is>
          <t>Server Secured Component Verification</t>
        </is>
      </c>
      <c r="K40" s="4" t="n">
        <v>99</v>
      </c>
      <c r="L40" s="1" t="inlineStr">
        <is>
          <t>[528-COYT]</t>
        </is>
      </c>
      <c r="M40" s="1" t="n">
        <v>1</v>
      </c>
    </row>
    <row r="41">
      <c r="H41" s="1" t="inlineStr">
        <is>
          <t>Embedded Systems Management</t>
        </is>
      </c>
      <c r="I41" s="1" t="inlineStr">
        <is>
          <t>G49EVUG</t>
        </is>
      </c>
      <c r="J41" s="1" t="inlineStr">
        <is>
          <t>iDRAC9 Datacenter 16G with OpenManage Enterprise Advanced Plus</t>
        </is>
      </c>
      <c r="K41" s="4" t="n">
        <v>1288</v>
      </c>
      <c r="L41" s="1" t="inlineStr">
        <is>
          <t>[528-CTID], [528-CTZH]</t>
        </is>
      </c>
      <c r="M41" s="1" t="n">
        <v>1</v>
      </c>
    </row>
    <row r="42">
      <c r="H42" s="1" t="inlineStr">
        <is>
          <t>Quick Sync</t>
        </is>
      </c>
      <c r="I42" s="1" t="inlineStr">
        <is>
          <t>GI1FEZA</t>
        </is>
      </c>
      <c r="J42" s="1" t="inlineStr">
        <is>
          <t>No Quick Sync</t>
        </is>
      </c>
      <c r="K42" s="4" t="n">
        <v>0</v>
      </c>
      <c r="L42" s="1" t="inlineStr">
        <is>
          <t>[350-BBXM]</t>
        </is>
      </c>
      <c r="M42" s="1" t="n">
        <v>1</v>
      </c>
    </row>
    <row r="43">
      <c r="H43" s="1" t="inlineStr">
        <is>
          <t>Password</t>
        </is>
      </c>
      <c r="I43" s="1" t="inlineStr">
        <is>
          <t>GDOHU23</t>
        </is>
      </c>
      <c r="J43" s="1" t="inlineStr">
        <is>
          <t>iDRAC,Legacy Password</t>
        </is>
      </c>
      <c r="K43" s="4" t="n">
        <v>0</v>
      </c>
      <c r="L43" s="1" t="inlineStr">
        <is>
          <t>[379-BCSG]</t>
        </is>
      </c>
      <c r="M43" s="1" t="n">
        <v>1</v>
      </c>
    </row>
    <row r="44">
      <c r="H44" s="1" t="inlineStr">
        <is>
          <t>IDRAC Service Module</t>
        </is>
      </c>
      <c r="I44" s="1" t="inlineStr">
        <is>
          <t>GX95LG2</t>
        </is>
      </c>
      <c r="J44" s="1" t="inlineStr">
        <is>
          <t>iDRAC Service Module (ISM), NOT Installed</t>
        </is>
      </c>
      <c r="K44" s="4" t="n">
        <v>0</v>
      </c>
      <c r="L44" s="1" t="inlineStr">
        <is>
          <t>[379-BCQX]</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GQGNYT2</t>
        </is>
      </c>
      <c r="J47" s="1" t="inlineStr">
        <is>
          <t>PowerEdge R6615 Shipping</t>
        </is>
      </c>
      <c r="K47" s="4" t="n">
        <v>10</v>
      </c>
      <c r="L47" s="1" t="inlineStr">
        <is>
          <t>[340-DCYK]</t>
        </is>
      </c>
      <c r="M47" s="1" t="n">
        <v>1</v>
      </c>
    </row>
    <row r="48">
      <c r="H48" s="1" t="inlineStr">
        <is>
          <t>Shipping Material</t>
        </is>
      </c>
      <c r="I48" s="1" t="inlineStr">
        <is>
          <t>GSHE5N8</t>
        </is>
      </c>
      <c r="J48" s="1" t="inlineStr">
        <is>
          <t>Shipping Material for backplane chassis</t>
        </is>
      </c>
      <c r="K48" s="4" t="n">
        <v>99</v>
      </c>
      <c r="L48" s="1" t="inlineStr">
        <is>
          <t>[340-DCYE]</t>
        </is>
      </c>
      <c r="M48" s="1" t="n">
        <v>1</v>
      </c>
    </row>
    <row r="49">
      <c r="H49" s="1" t="inlineStr">
        <is>
          <t>Regulatory</t>
        </is>
      </c>
      <c r="I49" s="1" t="inlineStr">
        <is>
          <t>G1QDX7H</t>
        </is>
      </c>
      <c r="J49" s="1" t="inlineStr">
        <is>
          <t>PowerEdge R6615 CCC Marking, No CE or BIS Marking</t>
        </is>
      </c>
      <c r="K49" s="4" t="n">
        <v>0</v>
      </c>
      <c r="L49" s="1" t="inlineStr">
        <is>
          <t>[470-AFOU]</t>
        </is>
      </c>
      <c r="M49" s="1" t="n">
        <v>1</v>
      </c>
    </row>
    <row r="50">
      <c r="H50" s="1" t="inlineStr">
        <is>
          <t>Group Manager</t>
        </is>
      </c>
      <c r="I50" s="1" t="inlineStr">
        <is>
          <t>GTVA94K</t>
        </is>
      </c>
      <c r="J50" s="1" t="inlineStr">
        <is>
          <t>iDRAC Group Manager, Disabled</t>
        </is>
      </c>
      <c r="K50" s="4" t="n">
        <v>0</v>
      </c>
      <c r="L50" s="1" t="inlineStr">
        <is>
          <t>[379-BCQY]</t>
        </is>
      </c>
      <c r="M50" s="1" t="n">
        <v>1</v>
      </c>
    </row>
    <row r="51">
      <c r="H51" s="1" t="inlineStr">
        <is>
          <t>ECCN</t>
        </is>
      </c>
      <c r="I51" s="1" t="inlineStr">
        <is>
          <t>GRO1P6G</t>
        </is>
      </c>
      <c r="J51" s="1" t="inlineStr">
        <is>
          <t>Decline Selection</t>
        </is>
      </c>
      <c r="K51" s="4" t="n">
        <v>0</v>
      </c>
      <c r="L51" s="1" t="inlineStr">
        <is>
          <t>[817-BBBP]</t>
        </is>
      </c>
      <c r="M51" s="1" t="n">
        <v>1</v>
      </c>
    </row>
    <row r="52">
      <c r="H52" s="1" t="inlineStr">
        <is>
          <t>Service</t>
        </is>
      </c>
      <c r="I52" s="1" t="inlineStr">
        <is>
          <t>GC42XVM</t>
        </is>
      </c>
      <c r="J52" s="1" t="inlineStr">
        <is>
          <t>3 Years Prosupport Next Business Day Onsite Service</t>
        </is>
      </c>
      <c r="K52" s="4" t="n">
        <v>1626.01</v>
      </c>
      <c r="L52" s="1" t="inlineStr">
        <is>
          <t>[886-9761], [886-9769], [886-9770], [989-3439]</t>
        </is>
      </c>
      <c r="M52" s="1" t="n">
        <v>1</v>
      </c>
    </row>
    <row r="53">
      <c r="H53" s="1" t="inlineStr">
        <is>
          <t>Deployment Services</t>
        </is>
      </c>
      <c r="I53" s="1" t="inlineStr">
        <is>
          <t>NOINSTL</t>
        </is>
      </c>
      <c r="J53" s="1" t="inlineStr">
        <is>
          <t>No Installation</t>
        </is>
      </c>
      <c r="K53" s="4" t="n">
        <v>0</v>
      </c>
      <c r="L53" s="1" t="inlineStr">
        <is>
          <t>[900-9997]</t>
        </is>
      </c>
      <c r="M53" s="1" t="n">
        <v>1</v>
      </c>
    </row>
    <row r="54">
      <c r="B54" s="1" t="inlineStr">
        <is>
          <t>Group 1</t>
        </is>
      </c>
      <c r="C54" s="1" t="inlineStr">
        <is>
          <t>19885916.1.1</t>
        </is>
      </c>
      <c r="D54" s="1" t="inlineStr">
        <is>
          <t xml:space="preserve">WekaIO Weka XPS Tier 1 Up to 2500TB 3 Year </t>
        </is>
      </c>
      <c r="E54" s="1" t="n">
        <v>480</v>
      </c>
      <c r="F54" s="4" t="n">
        <v>1125</v>
      </c>
      <c r="G54" s="4" t="n">
        <v>540000</v>
      </c>
      <c r="L54" s="1" t="inlineStr">
        <is>
          <t>[AD159645]</t>
        </is>
      </c>
    </row>
    <row r="55">
      <c r="B55" s="1" t="inlineStr">
        <is>
          <t>Group 1</t>
        </is>
      </c>
      <c r="C55" s="1" t="inlineStr">
        <is>
          <t>19885916.1.1</t>
        </is>
      </c>
      <c r="D55" s="1" t="inlineStr">
        <is>
          <t xml:space="preserve">WekaIO Initial Weka Installation and Configuration Remote </t>
        </is>
      </c>
      <c r="E55" s="1" t="n">
        <v>1</v>
      </c>
      <c r="F55" s="4" t="n">
        <v>25000</v>
      </c>
      <c r="G55" s="4" t="n">
        <v>25000</v>
      </c>
      <c r="L55" s="1" t="inlineStr">
        <is>
          <t>[AD129928]</t>
        </is>
      </c>
    </row>
    <row r="56"/>
    <row r="57"/>
    <row r="58">
      <c r="A58"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97"/>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44.33203125" customWidth="1" style="1" min="4" max="4"/>
    <col width="11.6640625" customWidth="1" style="1" min="5" max="5"/>
    <col width="14.109375" customWidth="1" style="1" min="6" max="6"/>
    <col width="18.88671875" customWidth="1" style="1" min="7" max="7"/>
    <col width="46.109375" customWidth="1" style="1" min="8" max="8"/>
    <col width="10.6640625" customWidth="1" style="1" min="9" max="9"/>
    <col width="82.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6384"/>
  </cols>
  <sheetData>
    <row r="1" ht="60" customHeight="1"/>
    <row r="2">
      <c r="A2" s="1" t="inlineStr">
        <is>
          <t>Solution Id: 19885926.1</t>
        </is>
      </c>
    </row>
    <row r="3">
      <c r="A3" s="1" t="inlineStr">
        <is>
          <t>Solution Name: Together AI Compute/Management Nodes</t>
        </is>
      </c>
    </row>
    <row r="4">
      <c r="A4" s="1" t="inlineStr">
        <is>
          <t>Solution Category: General</t>
        </is>
      </c>
    </row>
    <row r="5">
      <c r="A5" s="1" t="inlineStr">
        <is>
          <t>Solution List Price: $543,809.92</t>
        </is>
      </c>
    </row>
    <row r="6">
      <c r="A6" s="1" t="inlineStr">
        <is>
          <t>Solution Estimated Price: $125,076.26</t>
        </is>
      </c>
    </row>
    <row r="7" ht="43.2" customHeight="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19885926.1.1</t>
        </is>
      </c>
      <c r="D9" s="1" t="inlineStr">
        <is>
          <t xml:space="preserve">PowerEdge R660 - UFM Node Compute </t>
        </is>
      </c>
      <c r="E9" s="1" t="n">
        <v>2</v>
      </c>
      <c r="F9" s="4" t="n">
        <v>95460.32000000001</v>
      </c>
      <c r="G9" s="4" t="n">
        <v>190920.64</v>
      </c>
    </row>
    <row r="10">
      <c r="H10" s="1" t="inlineStr">
        <is>
          <t>Base</t>
        </is>
      </c>
      <c r="I10" s="1" t="inlineStr">
        <is>
          <t>GX4I5WF</t>
        </is>
      </c>
      <c r="J10" s="1" t="inlineStr">
        <is>
          <t>PowerEdge R660 Server</t>
        </is>
      </c>
      <c r="K10" s="4" t="n">
        <v>5014</v>
      </c>
      <c r="L10" s="1" t="inlineStr">
        <is>
          <t>[210-BEQQ]</t>
        </is>
      </c>
      <c r="M10" s="1" t="n">
        <v>1</v>
      </c>
    </row>
    <row r="11">
      <c r="H11" s="1" t="inlineStr">
        <is>
          <t>Trusted Platform Module</t>
        </is>
      </c>
      <c r="I11" s="1" t="inlineStr">
        <is>
          <t>GGX1VDO</t>
        </is>
      </c>
      <c r="J11" s="1" t="inlineStr">
        <is>
          <t>Trusted Platform Module 2.0 V3</t>
        </is>
      </c>
      <c r="K11" s="4" t="n">
        <v>99</v>
      </c>
      <c r="L11" s="1" t="inlineStr">
        <is>
          <t>[461-AAIG]</t>
        </is>
      </c>
      <c r="M11" s="1" t="n">
        <v>1</v>
      </c>
    </row>
    <row r="12">
      <c r="H12" s="1" t="inlineStr">
        <is>
          <t>Chassis Configuration</t>
        </is>
      </c>
      <c r="I12" s="1" t="inlineStr">
        <is>
          <t>GI7JYC4</t>
        </is>
      </c>
      <c r="J12" s="1" t="inlineStr">
        <is>
          <t>2.5" Chassis with up to 10 Hard Drives (SAS/SATA), 2CPU, PERC11</t>
        </is>
      </c>
      <c r="K12" s="4" t="n">
        <v>580</v>
      </c>
      <c r="L12" s="1" t="inlineStr">
        <is>
          <t>[321-BHRW]</t>
        </is>
      </c>
      <c r="M12" s="1" t="n">
        <v>1</v>
      </c>
    </row>
    <row r="13">
      <c r="H13" s="1" t="inlineStr">
        <is>
          <t>Processor</t>
        </is>
      </c>
      <c r="I13" s="1" t="inlineStr">
        <is>
          <t>G9KQ7I0</t>
        </is>
      </c>
      <c r="J13" s="1" t="inlineStr">
        <is>
          <t>Intel® Xeon® Gold 6548Y+ 2.5G, 32C/64T, 20GT/s, 60M Cache, Turbo, HT (250W) DDR5-5200</t>
        </is>
      </c>
      <c r="K13" s="4" t="n">
        <v>8199</v>
      </c>
      <c r="L13" s="1" t="inlineStr">
        <is>
          <t>[338-CPCB]</t>
        </is>
      </c>
      <c r="M13" s="1" t="n">
        <v>1</v>
      </c>
    </row>
    <row r="14">
      <c r="H14" s="1" t="inlineStr">
        <is>
          <t>Additional Processor</t>
        </is>
      </c>
      <c r="I14" s="1" t="inlineStr">
        <is>
          <t>GV5LOWM</t>
        </is>
      </c>
      <c r="J14" s="1" t="inlineStr">
        <is>
          <t>Intel® Xeon® Gold 6548Y+ 2.5G, 32C/64T, 20GT/s, 60M Cache, Turbo, HT (250W) DDR5-5200</t>
        </is>
      </c>
      <c r="K14" s="4" t="n">
        <v>8199</v>
      </c>
      <c r="L14" s="1" t="inlineStr">
        <is>
          <t>[338-CPCB], [379-BDCO]</t>
        </is>
      </c>
      <c r="M14" s="1" t="n">
        <v>1</v>
      </c>
    </row>
    <row r="15">
      <c r="H15" s="1" t="inlineStr">
        <is>
          <t>Additional Processor Features</t>
        </is>
      </c>
      <c r="I15" s="1" t="inlineStr">
        <is>
          <t>G68EUO7</t>
        </is>
      </c>
      <c r="J15" s="1" t="inlineStr">
        <is>
          <t>No HBM</t>
        </is>
      </c>
      <c r="K15" s="4" t="n">
        <v>0</v>
      </c>
      <c r="L15" s="1" t="inlineStr">
        <is>
          <t>[379-BFFD]</t>
        </is>
      </c>
      <c r="M15" s="1" t="n">
        <v>1</v>
      </c>
    </row>
    <row r="16">
      <c r="H16" s="1" t="inlineStr">
        <is>
          <t>Processor Thermal Configuration</t>
        </is>
      </c>
      <c r="I16" s="1" t="inlineStr">
        <is>
          <t>GLPS2T3</t>
        </is>
      </c>
      <c r="J16" s="1" t="inlineStr">
        <is>
          <t>Performance Heatsink for 2 CPU configuration (CPU more than or equal to 250W)</t>
        </is>
      </c>
      <c r="K16" s="4" t="n">
        <v>217.45</v>
      </c>
      <c r="L16" s="1" t="inlineStr">
        <is>
          <t>[412-ABCG]</t>
        </is>
      </c>
      <c r="M16" s="1" t="n">
        <v>1</v>
      </c>
    </row>
    <row r="17">
      <c r="H17" s="1" t="inlineStr">
        <is>
          <t>Memory Configuration Type</t>
        </is>
      </c>
      <c r="I17" s="1" t="inlineStr">
        <is>
          <t>GH9QBEI</t>
        </is>
      </c>
      <c r="J17" s="1" t="inlineStr">
        <is>
          <t>Performance Optimized</t>
        </is>
      </c>
      <c r="K17" s="4" t="n">
        <v>0</v>
      </c>
      <c r="L17" s="1" t="inlineStr">
        <is>
          <t>[370-AAIP]</t>
        </is>
      </c>
      <c r="M17" s="1" t="n">
        <v>1</v>
      </c>
    </row>
    <row r="18">
      <c r="H18" s="1" t="inlineStr">
        <is>
          <t>Memory DIMM Type and Speed</t>
        </is>
      </c>
      <c r="I18" s="1" t="inlineStr">
        <is>
          <t>GYMX57Q</t>
        </is>
      </c>
      <c r="J18" s="1" t="inlineStr">
        <is>
          <t>5600MT/s RDIMMs</t>
        </is>
      </c>
      <c r="K18" s="4" t="n">
        <v>0</v>
      </c>
      <c r="L18" s="1" t="inlineStr">
        <is>
          <t>[370-BBRX]</t>
        </is>
      </c>
      <c r="M18" s="1" t="n">
        <v>1</v>
      </c>
    </row>
    <row r="19">
      <c r="H19" s="1" t="inlineStr">
        <is>
          <t>Memory Capacity</t>
        </is>
      </c>
      <c r="I19" s="1" t="inlineStr">
        <is>
          <t>G0FS8TA</t>
        </is>
      </c>
      <c r="J19" s="1" t="inlineStr">
        <is>
          <t>16GB RDIMM, 5600MT/s, Single Rank</t>
        </is>
      </c>
      <c r="K19" s="4" t="n">
        <v>36576</v>
      </c>
      <c r="L19" s="1" t="inlineStr">
        <is>
          <t>[370-BBRQ]</t>
        </is>
      </c>
      <c r="M19" s="1" t="n">
        <v>32</v>
      </c>
    </row>
    <row r="20">
      <c r="H20" s="1" t="inlineStr">
        <is>
          <t>RAID Configuration</t>
        </is>
      </c>
      <c r="I20" s="1" t="inlineStr">
        <is>
          <t>GJ45ICY</t>
        </is>
      </c>
      <c r="J20" s="1" t="inlineStr">
        <is>
          <t>C7, Unconfigured RAID for HDDs or SSDs (Mixed Drive Types Allowed)</t>
        </is>
      </c>
      <c r="K20" s="4" t="n">
        <v>0</v>
      </c>
      <c r="L20" s="1" t="inlineStr">
        <is>
          <t>[780-BCDS]</t>
        </is>
      </c>
      <c r="M20" s="1" t="n">
        <v>1</v>
      </c>
    </row>
    <row r="21">
      <c r="H21" s="1" t="inlineStr">
        <is>
          <t>RAID/Internal Storage Controllers</t>
        </is>
      </c>
      <c r="I21" s="1" t="inlineStr">
        <is>
          <t>GZH8DFJ</t>
        </is>
      </c>
      <c r="J21" s="1" t="inlineStr">
        <is>
          <t>PERC H755 with rear load Brackets</t>
        </is>
      </c>
      <c r="K21" s="4" t="n">
        <v>3349</v>
      </c>
      <c r="L21" s="1" t="inlineStr">
        <is>
          <t>[405-AAZB], [750-ADRI]</t>
        </is>
      </c>
      <c r="M21" s="1" t="n">
        <v>1</v>
      </c>
    </row>
    <row r="22">
      <c r="H22" s="1" t="inlineStr">
        <is>
          <t>Hard Drives</t>
        </is>
      </c>
      <c r="I22" s="1" t="inlineStr">
        <is>
          <t>GS7WBQI</t>
        </is>
      </c>
      <c r="J22" s="1" t="inlineStr">
        <is>
          <t>3.84TB SSD SATA Read Intensive 6Gbps 512 2.5in Hot-plug AG Drive, 1 DWPD</t>
        </is>
      </c>
      <c r="K22" s="4" t="n">
        <v>10678.32</v>
      </c>
      <c r="L22" s="1" t="inlineStr">
        <is>
          <t>[400-AXSK]</t>
        </is>
      </c>
      <c r="M22" s="1" t="n">
        <v>2</v>
      </c>
    </row>
    <row r="23">
      <c r="H23" s="1" t="inlineStr">
        <is>
          <t>BIOS and Advanced System Configuration Settings</t>
        </is>
      </c>
      <c r="I23" s="1" t="inlineStr">
        <is>
          <t>G06TYXW</t>
        </is>
      </c>
      <c r="J23" s="1" t="inlineStr">
        <is>
          <t>Power Saving Dell Active Power Controller</t>
        </is>
      </c>
      <c r="K23" s="4" t="n">
        <v>0</v>
      </c>
      <c r="L23" s="1" t="inlineStr">
        <is>
          <t>[750-AABF]</t>
        </is>
      </c>
      <c r="M23" s="1" t="n">
        <v>1</v>
      </c>
    </row>
    <row r="24">
      <c r="H24" s="1" t="inlineStr">
        <is>
          <t>Advanced System Configurations</t>
        </is>
      </c>
      <c r="I24" s="1" t="inlineStr">
        <is>
          <t>GSFTG4Y</t>
        </is>
      </c>
      <c r="J24" s="1" t="inlineStr">
        <is>
          <t>UEFI BIOS Boot Mode with GPT Partition</t>
        </is>
      </c>
      <c r="K24" s="4" t="n">
        <v>0</v>
      </c>
      <c r="L24" s="1" t="inlineStr">
        <is>
          <t>[800-BBDM]</t>
        </is>
      </c>
      <c r="M24" s="1" t="n">
        <v>1</v>
      </c>
    </row>
    <row r="25">
      <c r="H25" s="1" t="inlineStr">
        <is>
          <t>Advanced System Configurations</t>
        </is>
      </c>
      <c r="I25" s="1" t="inlineStr">
        <is>
          <t>G9IONL3</t>
        </is>
      </c>
      <c r="J25" s="1" t="inlineStr">
        <is>
          <t>No Energy Star</t>
        </is>
      </c>
      <c r="K25" s="4" t="n">
        <v>0</v>
      </c>
      <c r="L25" s="1" t="inlineStr">
        <is>
          <t>[387-BBEY]</t>
        </is>
      </c>
      <c r="M25" s="1" t="n">
        <v>1</v>
      </c>
    </row>
    <row r="26">
      <c r="H26" s="1" t="inlineStr">
        <is>
          <t>Fans</t>
        </is>
      </c>
      <c r="I26" s="1" t="inlineStr">
        <is>
          <t>GFW1SJH</t>
        </is>
      </c>
      <c r="J26" s="1" t="inlineStr">
        <is>
          <t>4 Very High Performance Fans</t>
        </is>
      </c>
      <c r="K26" s="4" t="n">
        <v>299</v>
      </c>
      <c r="L26" s="1" t="inlineStr">
        <is>
          <t>[384-BCUJ]</t>
        </is>
      </c>
      <c r="M26" s="1" t="n">
        <v>1</v>
      </c>
    </row>
    <row r="27">
      <c r="H27" s="1" t="inlineStr">
        <is>
          <t>Power Supply</t>
        </is>
      </c>
      <c r="I27" s="1" t="inlineStr">
        <is>
          <t>G7XCUQM</t>
        </is>
      </c>
      <c r="J27" s="1" t="inlineStr">
        <is>
          <t>Dual, Fully Redundant(1+1), Hot-Plug Power Supply,1100W MM(100-240Vac) Titanium</t>
        </is>
      </c>
      <c r="K27" s="4" t="n">
        <v>1429</v>
      </c>
      <c r="L27" s="1" t="inlineStr">
        <is>
          <t>[450-AKLF]</t>
        </is>
      </c>
      <c r="M27" s="1" t="n">
        <v>1</v>
      </c>
    </row>
    <row r="28">
      <c r="H28" s="1" t="inlineStr">
        <is>
          <t>Power Cords</t>
        </is>
      </c>
      <c r="I28" s="1" t="inlineStr">
        <is>
          <t>GJDR06K</t>
        </is>
      </c>
      <c r="J28" s="1" t="inlineStr">
        <is>
          <t>C13 to C14, PDU Style, 12 AMP, 13 Feet (4m) Power Cord, North America</t>
        </is>
      </c>
      <c r="K28" s="4" t="n">
        <v>70</v>
      </c>
      <c r="L28" s="1" t="inlineStr">
        <is>
          <t>[492-BBDG]</t>
        </is>
      </c>
      <c r="M28" s="1" t="n">
        <v>2</v>
      </c>
    </row>
    <row r="29">
      <c r="H29" s="1" t="inlineStr">
        <is>
          <t>PCIe Riser</t>
        </is>
      </c>
      <c r="I29" s="1" t="inlineStr">
        <is>
          <t>GO3YG8H</t>
        </is>
      </c>
      <c r="J29" s="1" t="inlineStr">
        <is>
          <t>Riser Config 3, Full Height, 2x16 FH Slots (Gen5)</t>
        </is>
      </c>
      <c r="K29" s="4" t="n">
        <v>808.03</v>
      </c>
      <c r="L29" s="1" t="inlineStr">
        <is>
          <t>[330-BBYZ]</t>
        </is>
      </c>
      <c r="M29" s="1" t="n">
        <v>1</v>
      </c>
    </row>
    <row r="30">
      <c r="H30" s="1" t="inlineStr">
        <is>
          <t>Motherboard</t>
        </is>
      </c>
      <c r="I30" s="1" t="inlineStr">
        <is>
          <t>G8E9DV5</t>
        </is>
      </c>
      <c r="J30" s="1" t="inlineStr">
        <is>
          <t>Motherboard MLK supports ALL CPUs and is required for CPUs 250W and above</t>
        </is>
      </c>
      <c r="K30" s="4" t="n">
        <v>450</v>
      </c>
      <c r="L30" s="1" t="inlineStr">
        <is>
          <t>[329-BKBP]</t>
        </is>
      </c>
      <c r="M30" s="1" t="n">
        <v>1</v>
      </c>
    </row>
    <row r="31">
      <c r="H31" s="1" t="inlineStr">
        <is>
          <t>Embedded Systems Management</t>
        </is>
      </c>
      <c r="I31" s="1" t="inlineStr">
        <is>
          <t>G65AWE1</t>
        </is>
      </c>
      <c r="J31" s="1" t="inlineStr">
        <is>
          <t>Dell Connectivity Client - Disabled</t>
        </is>
      </c>
      <c r="K31" s="4" t="n">
        <v>0</v>
      </c>
      <c r="L31" s="1" t="inlineStr">
        <is>
          <t>[379-BFXT], [634-CYDF]</t>
        </is>
      </c>
      <c r="M31" s="1" t="n">
        <v>1</v>
      </c>
    </row>
    <row r="32">
      <c r="H32" s="1" t="inlineStr">
        <is>
          <t>Embedded Systems Management</t>
        </is>
      </c>
      <c r="I32" s="1" t="inlineStr">
        <is>
          <t>G9X14RE</t>
        </is>
      </c>
      <c r="J32" s="1" t="inlineStr">
        <is>
          <t>Server Secured Component Verification</t>
        </is>
      </c>
      <c r="K32" s="4" t="n">
        <v>99</v>
      </c>
      <c r="L32" s="1" t="inlineStr">
        <is>
          <t>[528-COYT]</t>
        </is>
      </c>
      <c r="M32" s="1" t="n">
        <v>1</v>
      </c>
    </row>
    <row r="33">
      <c r="H33" s="1" t="inlineStr">
        <is>
          <t>Embedded Systems Management</t>
        </is>
      </c>
      <c r="I33" s="1" t="inlineStr">
        <is>
          <t>G49EVUG</t>
        </is>
      </c>
      <c r="J33" s="1" t="inlineStr">
        <is>
          <t>iDRAC9 Datacenter 16G with OpenManage Enterprise Advanced Plus</t>
        </is>
      </c>
      <c r="K33" s="4" t="n">
        <v>1288</v>
      </c>
      <c r="L33" s="1" t="inlineStr">
        <is>
          <t>[528-CTID], [528-CTZH]</t>
        </is>
      </c>
      <c r="M33" s="1" t="n">
        <v>1</v>
      </c>
    </row>
    <row r="34">
      <c r="H34" s="1" t="inlineStr">
        <is>
          <t>OCP 3.0 Network Adapters</t>
        </is>
      </c>
      <c r="I34" s="1" t="inlineStr">
        <is>
          <t>GKD7V2B</t>
        </is>
      </c>
      <c r="J34" s="1" t="inlineStr">
        <is>
          <t>Nvidia ConnectX-6 Dual Port 100 GbE QSFP56 Adapter, OCP 3.0 with Cable</t>
        </is>
      </c>
      <c r="K34" s="4" t="n">
        <v>3224</v>
      </c>
      <c r="L34" s="1" t="inlineStr">
        <is>
          <t>[540-BDYY], [540-BFDZ]</t>
        </is>
      </c>
      <c r="M34" s="1" t="n">
        <v>1</v>
      </c>
    </row>
    <row r="35">
      <c r="H35" s="1" t="inlineStr">
        <is>
          <t>Additional Network Cards</t>
        </is>
      </c>
      <c r="I35" s="1" t="inlineStr">
        <is>
          <t>GVNQ7EH</t>
        </is>
      </c>
      <c r="J35" s="1" t="inlineStr">
        <is>
          <t>LOM Blank</t>
        </is>
      </c>
      <c r="K35" s="4" t="n">
        <v>0</v>
      </c>
      <c r="L35" s="1" t="inlineStr">
        <is>
          <t>[540-BDMK]</t>
        </is>
      </c>
      <c r="M35" s="1" t="n">
        <v>1</v>
      </c>
    </row>
    <row r="36">
      <c r="H36" s="1" t="inlineStr">
        <is>
          <t>Additional Network Cards</t>
        </is>
      </c>
      <c r="I36" s="1" t="inlineStr">
        <is>
          <t>G7VO5XU</t>
        </is>
      </c>
      <c r="J36" s="1" t="inlineStr">
        <is>
          <t>Nvidia ConnectX-7 Single Port NDR200 VPI/200GbE OSFP PCIe FH, No Crypto</t>
        </is>
      </c>
      <c r="K36" s="4" t="n">
        <v>8712</v>
      </c>
      <c r="L36" s="1" t="inlineStr">
        <is>
          <t>[540-BFHH]</t>
        </is>
      </c>
      <c r="M36" s="1" t="n">
        <v>2</v>
      </c>
    </row>
    <row r="37">
      <c r="H37" s="1" t="inlineStr">
        <is>
          <t>Bezel</t>
        </is>
      </c>
      <c r="I37" s="1" t="inlineStr">
        <is>
          <t>G2KZ7CS</t>
        </is>
      </c>
      <c r="J37" s="1" t="inlineStr">
        <is>
          <t>Standard Bezel</t>
        </is>
      </c>
      <c r="K37" s="4" t="n">
        <v>49</v>
      </c>
      <c r="L37" s="1" t="inlineStr">
        <is>
          <t>[325-BEVE], [350-BCKC]</t>
        </is>
      </c>
      <c r="M37" s="1" t="n">
        <v>1</v>
      </c>
    </row>
    <row r="38">
      <c r="H38" s="1" t="inlineStr">
        <is>
          <t>Boot Optimized Storage Cards</t>
        </is>
      </c>
      <c r="I38" s="1" t="inlineStr">
        <is>
          <t>G61XLSC</t>
        </is>
      </c>
      <c r="J38" s="1" t="inlineStr">
        <is>
          <t>BOSS-N1 controller card +  with 2 M.2 480GB (RAID 1)</t>
        </is>
      </c>
      <c r="K38" s="4" t="n">
        <v>2700</v>
      </c>
      <c r="L38" s="1" t="inlineStr">
        <is>
          <t>[403-BCRU], [470-AFMG]</t>
        </is>
      </c>
      <c r="M38" s="1" t="n">
        <v>1</v>
      </c>
    </row>
    <row r="39">
      <c r="H39" s="1" t="inlineStr">
        <is>
          <t>Quick Sync</t>
        </is>
      </c>
      <c r="I39" s="1" t="inlineStr">
        <is>
          <t>GI1FEZA</t>
        </is>
      </c>
      <c r="J39" s="1" t="inlineStr">
        <is>
          <t>No Quick Sync</t>
        </is>
      </c>
      <c r="K39" s="4" t="n">
        <v>0</v>
      </c>
      <c r="L39" s="1" t="inlineStr">
        <is>
          <t>[350-BBXM]</t>
        </is>
      </c>
      <c r="M39" s="1" t="n">
        <v>1</v>
      </c>
    </row>
    <row r="40">
      <c r="H40" s="1" t="inlineStr">
        <is>
          <t>Password</t>
        </is>
      </c>
      <c r="I40" s="1" t="inlineStr">
        <is>
          <t>G5HZBFJ</t>
        </is>
      </c>
      <c r="J40" s="1" t="inlineStr">
        <is>
          <t>iDRAC Factory Generated Password for OCP cards</t>
        </is>
      </c>
      <c r="K40" s="4" t="n">
        <v>0</v>
      </c>
      <c r="L40" s="1" t="inlineStr">
        <is>
          <t>[379-BETG]</t>
        </is>
      </c>
      <c r="M40" s="1" t="n">
        <v>1</v>
      </c>
    </row>
    <row r="41">
      <c r="H41" s="1" t="inlineStr">
        <is>
          <t>IDRAC Service Module</t>
        </is>
      </c>
      <c r="I41" s="1" t="inlineStr">
        <is>
          <t>GX95LG2</t>
        </is>
      </c>
      <c r="J41" s="1" t="inlineStr">
        <is>
          <t>iDRAC Service Module (ISM), NOT Installed</t>
        </is>
      </c>
      <c r="K41" s="4" t="n">
        <v>0</v>
      </c>
      <c r="L41" s="1" t="inlineStr">
        <is>
          <t>[379-BCQX]</t>
        </is>
      </c>
      <c r="M41" s="1" t="n">
        <v>1</v>
      </c>
    </row>
    <row r="42">
      <c r="H42" s="1" t="inlineStr">
        <is>
          <t>Group Manager</t>
        </is>
      </c>
      <c r="I42" s="1" t="inlineStr">
        <is>
          <t>GTVA94K</t>
        </is>
      </c>
      <c r="J42" s="1" t="inlineStr">
        <is>
          <t>iDRAC Group Manager, Disabled</t>
        </is>
      </c>
      <c r="K42" s="4" t="n">
        <v>0</v>
      </c>
      <c r="L42" s="1" t="inlineStr">
        <is>
          <t>[379-BCQY]</t>
        </is>
      </c>
      <c r="M42" s="1" t="n">
        <v>1</v>
      </c>
    </row>
    <row r="43">
      <c r="H43" s="1" t="inlineStr">
        <is>
          <t>Operating System</t>
        </is>
      </c>
      <c r="I43" s="1" t="inlineStr">
        <is>
          <t>G78MU35</t>
        </is>
      </c>
      <c r="J43" s="1" t="inlineStr">
        <is>
          <t>No Operating System</t>
        </is>
      </c>
      <c r="K43" s="4" t="n">
        <v>0</v>
      </c>
      <c r="L43" s="1" t="inlineStr">
        <is>
          <t>[611-BBBF]</t>
        </is>
      </c>
      <c r="M43" s="1" t="n">
        <v>1</v>
      </c>
    </row>
    <row r="44">
      <c r="H44" s="1" t="inlineStr">
        <is>
          <t>OS Media Kits</t>
        </is>
      </c>
      <c r="I44" s="1" t="inlineStr">
        <is>
          <t>GKH7AZI</t>
        </is>
      </c>
      <c r="J44" s="1" t="inlineStr">
        <is>
          <t>No Media Required</t>
        </is>
      </c>
      <c r="K44" s="4" t="n">
        <v>0</v>
      </c>
      <c r="L44" s="1" t="inlineStr">
        <is>
          <t>[605-BBFN]</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GSE1MX3</t>
        </is>
      </c>
      <c r="J47" s="1" t="inlineStr">
        <is>
          <t>PowerEdge R660 Shipping</t>
        </is>
      </c>
      <c r="K47" s="4" t="n">
        <v>49</v>
      </c>
      <c r="L47" s="1" t="inlineStr">
        <is>
          <t>[340-DBXZ]</t>
        </is>
      </c>
      <c r="M47" s="1" t="n">
        <v>1</v>
      </c>
    </row>
    <row r="48">
      <c r="H48" s="1" t="inlineStr">
        <is>
          <t>Shipping Material</t>
        </is>
      </c>
      <c r="I48" s="1" t="inlineStr">
        <is>
          <t>GIE8RYJ</t>
        </is>
      </c>
      <c r="J48" s="1" t="inlineStr">
        <is>
          <t>PowerEdge R660 Shipping Material, 10x2.5", 8x2.5" Smart Flow or 16xEDSFF</t>
        </is>
      </c>
      <c r="K48" s="4" t="n">
        <v>99</v>
      </c>
      <c r="L48" s="1" t="inlineStr">
        <is>
          <t>[340-DBYC]</t>
        </is>
      </c>
      <c r="M48" s="1" t="n">
        <v>1</v>
      </c>
    </row>
    <row r="49">
      <c r="H49" s="1" t="inlineStr">
        <is>
          <t>Regulatory</t>
        </is>
      </c>
      <c r="I49" s="1" t="inlineStr">
        <is>
          <t>GAE4XYW</t>
        </is>
      </c>
      <c r="J49" s="1" t="inlineStr">
        <is>
          <t>PowerEdge R660 CE, CCC and BIS Marking on 2.5" Chassis</t>
        </is>
      </c>
      <c r="K49" s="4" t="n">
        <v>0</v>
      </c>
      <c r="L49" s="1" t="inlineStr">
        <is>
          <t>[343-BBTS], [343-BBUB]</t>
        </is>
      </c>
      <c r="M49" s="1" t="n">
        <v>1</v>
      </c>
    </row>
    <row r="50">
      <c r="H50" s="1" t="inlineStr">
        <is>
          <t>ECCN</t>
        </is>
      </c>
      <c r="I50" s="1" t="inlineStr">
        <is>
          <t>GRO1P6G</t>
        </is>
      </c>
      <c r="J50" s="1" t="inlineStr">
        <is>
          <t>Decline Selection</t>
        </is>
      </c>
      <c r="K50" s="4" t="n">
        <v>0</v>
      </c>
      <c r="L50" s="1" t="inlineStr">
        <is>
          <t>[817-BBBP]</t>
        </is>
      </c>
      <c r="M50" s="1" t="n">
        <v>1</v>
      </c>
    </row>
    <row r="51">
      <c r="H51" s="1" t="inlineStr">
        <is>
          <t>Standard Hardware Support Service</t>
        </is>
      </c>
      <c r="I51" s="1" t="inlineStr">
        <is>
          <t>G80I3TA</t>
        </is>
      </c>
      <c r="J51" s="1" t="inlineStr">
        <is>
          <t>3 Years Prosupport Next Business Day Onsite Service</t>
        </is>
      </c>
      <c r="K51" s="4" t="n">
        <v>3085.01</v>
      </c>
      <c r="L51" s="1" t="inlineStr">
        <is>
          <t>[887-1067], [887-1075], [887-1076], [989-3439]</t>
        </is>
      </c>
      <c r="M51" s="1" t="n">
        <v>1</v>
      </c>
    </row>
    <row r="52">
      <c r="B52" s="1" t="inlineStr">
        <is>
          <t>Group 1</t>
        </is>
      </c>
      <c r="C52" s="1" t="inlineStr">
        <is>
          <t>19885926.1.1</t>
        </is>
      </c>
      <c r="D52" s="1" t="inlineStr">
        <is>
          <t xml:space="preserve">PowerEdge R660 - Management Node Compute </t>
        </is>
      </c>
      <c r="E52" s="1" t="n">
        <v>4</v>
      </c>
      <c r="F52" s="4" t="n">
        <v>88222.32000000001</v>
      </c>
      <c r="G52" s="4" t="n">
        <v>352889.28</v>
      </c>
    </row>
    <row r="53">
      <c r="H53" s="1" t="inlineStr">
        <is>
          <t>Base</t>
        </is>
      </c>
      <c r="I53" s="1" t="inlineStr">
        <is>
          <t>GX4I5WF</t>
        </is>
      </c>
      <c r="J53" s="1" t="inlineStr">
        <is>
          <t>PowerEdge R660 Server</t>
        </is>
      </c>
      <c r="K53" s="4" t="n">
        <v>5014</v>
      </c>
      <c r="L53" s="1" t="inlineStr">
        <is>
          <t>[210-BEQQ]</t>
        </is>
      </c>
      <c r="M53" s="1" t="n">
        <v>1</v>
      </c>
    </row>
    <row r="54">
      <c r="H54" s="1" t="inlineStr">
        <is>
          <t>Trusted Platform Module</t>
        </is>
      </c>
      <c r="I54" s="1" t="inlineStr">
        <is>
          <t>GGX1VDO</t>
        </is>
      </c>
      <c r="J54" s="1" t="inlineStr">
        <is>
          <t>Trusted Platform Module 2.0 V3</t>
        </is>
      </c>
      <c r="K54" s="4" t="n">
        <v>99</v>
      </c>
      <c r="L54" s="1" t="inlineStr">
        <is>
          <t>[461-AAIG]</t>
        </is>
      </c>
      <c r="M54" s="1" t="n">
        <v>1</v>
      </c>
    </row>
    <row r="55">
      <c r="H55" s="1" t="inlineStr">
        <is>
          <t>Chassis Configuration</t>
        </is>
      </c>
      <c r="I55" s="1" t="inlineStr">
        <is>
          <t>GI7JYC4</t>
        </is>
      </c>
      <c r="J55" s="1" t="inlineStr">
        <is>
          <t>2.5" Chassis with up to 10 Hard Drives (SAS/SATA), 2CPU, PERC11</t>
        </is>
      </c>
      <c r="K55" s="4" t="n">
        <v>580</v>
      </c>
      <c r="L55" s="1" t="inlineStr">
        <is>
          <t>[321-BHRW]</t>
        </is>
      </c>
      <c r="M55" s="1" t="n">
        <v>1</v>
      </c>
    </row>
    <row r="56">
      <c r="H56" s="1" t="inlineStr">
        <is>
          <t>Processor</t>
        </is>
      </c>
      <c r="I56" s="1" t="inlineStr">
        <is>
          <t>G9KQ7I0</t>
        </is>
      </c>
      <c r="J56" s="1" t="inlineStr">
        <is>
          <t>Intel® Xeon® Gold 6548Y+ 2.5G, 32C/64T, 20GT/s, 60M Cache, Turbo, HT (250W) DDR5-5200</t>
        </is>
      </c>
      <c r="K56" s="4" t="n">
        <v>8199</v>
      </c>
      <c r="L56" s="1" t="inlineStr">
        <is>
          <t>[338-CPCB]</t>
        </is>
      </c>
      <c r="M56" s="1" t="n">
        <v>1</v>
      </c>
    </row>
    <row r="57">
      <c r="H57" s="1" t="inlineStr">
        <is>
          <t>Additional Processor</t>
        </is>
      </c>
      <c r="I57" s="1" t="inlineStr">
        <is>
          <t>GV5LOWM</t>
        </is>
      </c>
      <c r="J57" s="1" t="inlineStr">
        <is>
          <t>Intel® Xeon® Gold 6548Y+ 2.5G, 32C/64T, 20GT/s, 60M Cache, Turbo, HT (250W) DDR5-5200</t>
        </is>
      </c>
      <c r="K57" s="4" t="n">
        <v>8199</v>
      </c>
      <c r="L57" s="1" t="inlineStr">
        <is>
          <t>[338-CPCB], [379-BDCO]</t>
        </is>
      </c>
      <c r="M57" s="1" t="n">
        <v>1</v>
      </c>
    </row>
    <row r="58">
      <c r="H58" s="1" t="inlineStr">
        <is>
          <t>Additional Processor Features</t>
        </is>
      </c>
      <c r="I58" s="1" t="inlineStr">
        <is>
          <t>G68EUO7</t>
        </is>
      </c>
      <c r="J58" s="1" t="inlineStr">
        <is>
          <t>No HBM</t>
        </is>
      </c>
      <c r="K58" s="4" t="n">
        <v>0</v>
      </c>
      <c r="L58" s="1" t="inlineStr">
        <is>
          <t>[379-BFFD]</t>
        </is>
      </c>
      <c r="M58" s="1" t="n">
        <v>1</v>
      </c>
    </row>
    <row r="59">
      <c r="H59" s="1" t="inlineStr">
        <is>
          <t>Processor Thermal Configuration</t>
        </is>
      </c>
      <c r="I59" s="1" t="inlineStr">
        <is>
          <t>GLPS2T3</t>
        </is>
      </c>
      <c r="J59" s="1" t="inlineStr">
        <is>
          <t>Performance Heatsink for 2 CPU configuration (CPU more than or equal to 250W)</t>
        </is>
      </c>
      <c r="K59" s="4" t="n">
        <v>217.45</v>
      </c>
      <c r="L59" s="1" t="inlineStr">
        <is>
          <t>[412-ABCG]</t>
        </is>
      </c>
      <c r="M59" s="1" t="n">
        <v>1</v>
      </c>
    </row>
    <row r="60">
      <c r="H60" s="1" t="inlineStr">
        <is>
          <t>Memory Configuration Type</t>
        </is>
      </c>
      <c r="I60" s="1" t="inlineStr">
        <is>
          <t>GH9QBEI</t>
        </is>
      </c>
      <c r="J60" s="1" t="inlineStr">
        <is>
          <t>Performance Optimized</t>
        </is>
      </c>
      <c r="K60" s="4" t="n">
        <v>0</v>
      </c>
      <c r="L60" s="1" t="inlineStr">
        <is>
          <t>[370-AAIP]</t>
        </is>
      </c>
      <c r="M60" s="1" t="n">
        <v>1</v>
      </c>
    </row>
    <row r="61">
      <c r="H61" s="1" t="inlineStr">
        <is>
          <t>Memory DIMM Type and Speed</t>
        </is>
      </c>
      <c r="I61" s="1" t="inlineStr">
        <is>
          <t>GYMX57Q</t>
        </is>
      </c>
      <c r="J61" s="1" t="inlineStr">
        <is>
          <t>5600MT/s RDIMMs</t>
        </is>
      </c>
      <c r="K61" s="4" t="n">
        <v>0</v>
      </c>
      <c r="L61" s="1" t="inlineStr">
        <is>
          <t>[370-BBRX]</t>
        </is>
      </c>
      <c r="M61" s="1" t="n">
        <v>1</v>
      </c>
    </row>
    <row r="62">
      <c r="H62" s="1" t="inlineStr">
        <is>
          <t>Memory Capacity</t>
        </is>
      </c>
      <c r="I62" s="1" t="inlineStr">
        <is>
          <t>G0FS8TA</t>
        </is>
      </c>
      <c r="J62" s="1" t="inlineStr">
        <is>
          <t>16GB RDIMM, 5600MT/s, Single Rank</t>
        </is>
      </c>
      <c r="K62" s="4" t="n">
        <v>36576</v>
      </c>
      <c r="L62" s="1" t="inlineStr">
        <is>
          <t>[370-BBRQ]</t>
        </is>
      </c>
      <c r="M62" s="1" t="n">
        <v>32</v>
      </c>
    </row>
    <row r="63">
      <c r="H63" s="1" t="inlineStr">
        <is>
          <t>RAID Configuration</t>
        </is>
      </c>
      <c r="I63" s="1" t="inlineStr">
        <is>
          <t>GJ45ICY</t>
        </is>
      </c>
      <c r="J63" s="1" t="inlineStr">
        <is>
          <t>C7, Unconfigured RAID for HDDs or SSDs (Mixed Drive Types Allowed)</t>
        </is>
      </c>
      <c r="K63" s="4" t="n">
        <v>0</v>
      </c>
      <c r="L63" s="1" t="inlineStr">
        <is>
          <t>[780-BCDS]</t>
        </is>
      </c>
      <c r="M63" s="1" t="n">
        <v>1</v>
      </c>
    </row>
    <row r="64">
      <c r="H64" s="1" t="inlineStr">
        <is>
          <t>RAID/Internal Storage Controllers</t>
        </is>
      </c>
      <c r="I64" s="1" t="inlineStr">
        <is>
          <t>GZH8DFJ</t>
        </is>
      </c>
      <c r="J64" s="1" t="inlineStr">
        <is>
          <t>PERC H755 with rear load Brackets</t>
        </is>
      </c>
      <c r="K64" s="4" t="n">
        <v>3349</v>
      </c>
      <c r="L64" s="1" t="inlineStr">
        <is>
          <t>[405-AAZB], [750-ADRI]</t>
        </is>
      </c>
      <c r="M64" s="1" t="n">
        <v>1</v>
      </c>
    </row>
    <row r="65">
      <c r="H65" s="1" t="inlineStr">
        <is>
          <t>Hard Drives</t>
        </is>
      </c>
      <c r="I65" s="1" t="inlineStr">
        <is>
          <t>GS7WBQI</t>
        </is>
      </c>
      <c r="J65" s="1" t="inlineStr">
        <is>
          <t>3.84TB SSD SATA Read Intensive 6Gbps 512 2.5in Hot-plug AG Drive, 1 DWPD</t>
        </is>
      </c>
      <c r="K65" s="4" t="n">
        <v>10678.32</v>
      </c>
      <c r="L65" s="1" t="inlineStr">
        <is>
          <t>[400-AXSK]</t>
        </is>
      </c>
      <c r="M65" s="1" t="n">
        <v>2</v>
      </c>
    </row>
    <row r="66">
      <c r="H66" s="1" t="inlineStr">
        <is>
          <t>BIOS and Advanced System Configuration Settings</t>
        </is>
      </c>
      <c r="I66" s="1" t="inlineStr">
        <is>
          <t>G06TYXW</t>
        </is>
      </c>
      <c r="J66" s="1" t="inlineStr">
        <is>
          <t>Power Saving Dell Active Power Controller</t>
        </is>
      </c>
      <c r="K66" s="4" t="n">
        <v>0</v>
      </c>
      <c r="L66" s="1" t="inlineStr">
        <is>
          <t>[750-AABF]</t>
        </is>
      </c>
      <c r="M66" s="1" t="n">
        <v>1</v>
      </c>
    </row>
    <row r="67">
      <c r="H67" s="1" t="inlineStr">
        <is>
          <t>Advanced System Configurations</t>
        </is>
      </c>
      <c r="I67" s="1" t="inlineStr">
        <is>
          <t>GSFTG4Y</t>
        </is>
      </c>
      <c r="J67" s="1" t="inlineStr">
        <is>
          <t>UEFI BIOS Boot Mode with GPT Partition</t>
        </is>
      </c>
      <c r="K67" s="4" t="n">
        <v>0</v>
      </c>
      <c r="L67" s="1" t="inlineStr">
        <is>
          <t>[800-BBDM]</t>
        </is>
      </c>
      <c r="M67" s="1" t="n">
        <v>1</v>
      </c>
    </row>
    <row r="68">
      <c r="H68" s="1" t="inlineStr">
        <is>
          <t>Advanced System Configurations</t>
        </is>
      </c>
      <c r="I68" s="1" t="inlineStr">
        <is>
          <t>G9IONL3</t>
        </is>
      </c>
      <c r="J68" s="1" t="inlineStr">
        <is>
          <t>No Energy Star</t>
        </is>
      </c>
      <c r="K68" s="4" t="n">
        <v>0</v>
      </c>
      <c r="L68" s="1" t="inlineStr">
        <is>
          <t>[387-BBEY]</t>
        </is>
      </c>
      <c r="M68" s="1" t="n">
        <v>1</v>
      </c>
    </row>
    <row r="69">
      <c r="H69" s="1" t="inlineStr">
        <is>
          <t>Fans</t>
        </is>
      </c>
      <c r="I69" s="1" t="inlineStr">
        <is>
          <t>GFW1SJH</t>
        </is>
      </c>
      <c r="J69" s="1" t="inlineStr">
        <is>
          <t>4 Very High Performance Fans</t>
        </is>
      </c>
      <c r="K69" s="4" t="n">
        <v>299</v>
      </c>
      <c r="L69" s="1" t="inlineStr">
        <is>
          <t>[384-BCUJ]</t>
        </is>
      </c>
      <c r="M69" s="1" t="n">
        <v>1</v>
      </c>
    </row>
    <row r="70">
      <c r="H70" s="1" t="inlineStr">
        <is>
          <t>Power Supply</t>
        </is>
      </c>
      <c r="I70" s="1" t="inlineStr">
        <is>
          <t>G7XCUQM</t>
        </is>
      </c>
      <c r="J70" s="1" t="inlineStr">
        <is>
          <t>Dual, Fully Redundant(1+1), Hot-Plug Power Supply,1100W MM(100-240Vac) Titanium</t>
        </is>
      </c>
      <c r="K70" s="4" t="n">
        <v>1429</v>
      </c>
      <c r="L70" s="1" t="inlineStr">
        <is>
          <t>[450-AKLF]</t>
        </is>
      </c>
      <c r="M70" s="1" t="n">
        <v>1</v>
      </c>
    </row>
    <row r="71">
      <c r="H71" s="1" t="inlineStr">
        <is>
          <t>Power Cords</t>
        </is>
      </c>
      <c r="I71" s="1" t="inlineStr">
        <is>
          <t>GJDR06K</t>
        </is>
      </c>
      <c r="J71" s="1" t="inlineStr">
        <is>
          <t>C13 to C14, PDU Style, 12 AMP, 13 Feet (4m) Power Cord, North America</t>
        </is>
      </c>
      <c r="K71" s="4" t="n">
        <v>70</v>
      </c>
      <c r="L71" s="1" t="inlineStr">
        <is>
          <t>[492-BBDG]</t>
        </is>
      </c>
      <c r="M71" s="1" t="n">
        <v>2</v>
      </c>
    </row>
    <row r="72">
      <c r="H72" s="1" t="inlineStr">
        <is>
          <t>PCIe Riser</t>
        </is>
      </c>
      <c r="I72" s="1" t="inlineStr">
        <is>
          <t>GO3YG8H</t>
        </is>
      </c>
      <c r="J72" s="1" t="inlineStr">
        <is>
          <t>Riser Config 3, Full Height, 2x16 FH Slots (Gen5)</t>
        </is>
      </c>
      <c r="K72" s="4" t="n">
        <v>808.03</v>
      </c>
      <c r="L72" s="1" t="inlineStr">
        <is>
          <t>[330-BBYZ]</t>
        </is>
      </c>
      <c r="M72" s="1" t="n">
        <v>1</v>
      </c>
    </row>
    <row r="73">
      <c r="H73" s="1" t="inlineStr">
        <is>
          <t>Motherboard</t>
        </is>
      </c>
      <c r="I73" s="1" t="inlineStr">
        <is>
          <t>G8E9DV5</t>
        </is>
      </c>
      <c r="J73" s="1" t="inlineStr">
        <is>
          <t>Motherboard MLK supports ALL CPUs and is required for CPUs 250W and above</t>
        </is>
      </c>
      <c r="K73" s="4" t="n">
        <v>450</v>
      </c>
      <c r="L73" s="1" t="inlineStr">
        <is>
          <t>[329-BKBP]</t>
        </is>
      </c>
      <c r="M73" s="1" t="n">
        <v>1</v>
      </c>
    </row>
    <row r="74">
      <c r="H74" s="1" t="inlineStr">
        <is>
          <t>Embedded Systems Management</t>
        </is>
      </c>
      <c r="I74" s="1" t="inlineStr">
        <is>
          <t>G65AWE1</t>
        </is>
      </c>
      <c r="J74" s="1" t="inlineStr">
        <is>
          <t>Dell Connectivity Client - Disabled</t>
        </is>
      </c>
      <c r="K74" s="4" t="n">
        <v>0</v>
      </c>
      <c r="L74" s="1" t="inlineStr">
        <is>
          <t>[379-BFXT], [634-CYDF]</t>
        </is>
      </c>
      <c r="M74" s="1" t="n">
        <v>1</v>
      </c>
    </row>
    <row r="75">
      <c r="H75" s="1" t="inlineStr">
        <is>
          <t>Embedded Systems Management</t>
        </is>
      </c>
      <c r="I75" s="1" t="inlineStr">
        <is>
          <t>G9X14RE</t>
        </is>
      </c>
      <c r="J75" s="1" t="inlineStr">
        <is>
          <t>Server Secured Component Verification</t>
        </is>
      </c>
      <c r="K75" s="4" t="n">
        <v>99</v>
      </c>
      <c r="L75" s="1" t="inlineStr">
        <is>
          <t>[528-COYT]</t>
        </is>
      </c>
      <c r="M75" s="1" t="n">
        <v>1</v>
      </c>
    </row>
    <row r="76">
      <c r="H76" s="1" t="inlineStr">
        <is>
          <t>Embedded Systems Management</t>
        </is>
      </c>
      <c r="I76" s="1" t="inlineStr">
        <is>
          <t>G49EVUG</t>
        </is>
      </c>
      <c r="J76" s="1" t="inlineStr">
        <is>
          <t>iDRAC9 Datacenter 16G with OpenManage Enterprise Advanced Plus</t>
        </is>
      </c>
      <c r="K76" s="4" t="n">
        <v>1288</v>
      </c>
      <c r="L76" s="1" t="inlineStr">
        <is>
          <t>[528-CTID], [528-CTZH]</t>
        </is>
      </c>
      <c r="M76" s="1" t="n">
        <v>1</v>
      </c>
    </row>
    <row r="77">
      <c r="H77" s="1" t="inlineStr">
        <is>
          <t>OCP 3.0 Network Adapters</t>
        </is>
      </c>
      <c r="I77" s="1" t="inlineStr">
        <is>
          <t>GKD7V2B</t>
        </is>
      </c>
      <c r="J77" s="1" t="inlineStr">
        <is>
          <t>Nvidia ConnectX-6 Dual Port 100 GbE QSFP56 Adapter, OCP 3.0 with Cable</t>
        </is>
      </c>
      <c r="K77" s="4" t="n">
        <v>3224</v>
      </c>
      <c r="L77" s="1" t="inlineStr">
        <is>
          <t>[540-BDYY], [540-BFDZ]</t>
        </is>
      </c>
      <c r="M77" s="1" t="n">
        <v>1</v>
      </c>
    </row>
    <row r="78">
      <c r="H78" s="1" t="inlineStr">
        <is>
          <t>Additional Network Cards</t>
        </is>
      </c>
      <c r="I78" s="1" t="inlineStr">
        <is>
          <t>GVNQ7EH</t>
        </is>
      </c>
      <c r="J78" s="1" t="inlineStr">
        <is>
          <t>LOM Blank</t>
        </is>
      </c>
      <c r="K78" s="4" t="n">
        <v>0</v>
      </c>
      <c r="L78" s="1" t="inlineStr">
        <is>
          <t>[540-BDMK]</t>
        </is>
      </c>
      <c r="M78" s="1" t="n">
        <v>1</v>
      </c>
    </row>
    <row r="79">
      <c r="H79" s="1" t="inlineStr">
        <is>
          <t>Additional Network Cards</t>
        </is>
      </c>
      <c r="I79" s="1" t="inlineStr">
        <is>
          <t>G1NLUM4</t>
        </is>
      </c>
      <c r="J79" s="1" t="inlineStr">
        <is>
          <t>Intel X710-T4L Quad Port 10GbE BASE-T Adapter, PCIe Full Height</t>
        </is>
      </c>
      <c r="K79" s="4" t="n">
        <v>1474</v>
      </c>
      <c r="L79" s="1" t="inlineStr">
        <is>
          <t>[540-BCRP]</t>
        </is>
      </c>
      <c r="M79" s="1" t="n">
        <v>1</v>
      </c>
    </row>
    <row r="80">
      <c r="H80" s="1" t="inlineStr">
        <is>
          <t>Bezel</t>
        </is>
      </c>
      <c r="I80" s="1" t="inlineStr">
        <is>
          <t>G2KZ7CS</t>
        </is>
      </c>
      <c r="J80" s="1" t="inlineStr">
        <is>
          <t>Standard Bezel</t>
        </is>
      </c>
      <c r="K80" s="4" t="n">
        <v>49</v>
      </c>
      <c r="L80" s="1" t="inlineStr">
        <is>
          <t>[325-BEVE], [350-BCKC]</t>
        </is>
      </c>
      <c r="M80" s="1" t="n">
        <v>1</v>
      </c>
    </row>
    <row r="81">
      <c r="H81" s="1" t="inlineStr">
        <is>
          <t>Boot Optimized Storage Cards</t>
        </is>
      </c>
      <c r="I81" s="1" t="inlineStr">
        <is>
          <t>G61XLSC</t>
        </is>
      </c>
      <c r="J81" s="1" t="inlineStr">
        <is>
          <t>BOSS-N1 controller card +  with 2 M.2 480GB (RAID 1)</t>
        </is>
      </c>
      <c r="K81" s="4" t="n">
        <v>2700</v>
      </c>
      <c r="L81" s="1" t="inlineStr">
        <is>
          <t>[403-BCRU], [470-AFMG]</t>
        </is>
      </c>
      <c r="M81" s="1" t="n">
        <v>1</v>
      </c>
    </row>
    <row r="82">
      <c r="H82" s="1" t="inlineStr">
        <is>
          <t>Quick Sync</t>
        </is>
      </c>
      <c r="I82" s="1" t="inlineStr">
        <is>
          <t>GI1FEZA</t>
        </is>
      </c>
      <c r="J82" s="1" t="inlineStr">
        <is>
          <t>No Quick Sync</t>
        </is>
      </c>
      <c r="K82" s="4" t="n">
        <v>0</v>
      </c>
      <c r="L82" s="1" t="inlineStr">
        <is>
          <t>[350-BBXM]</t>
        </is>
      </c>
      <c r="M82" s="1" t="n">
        <v>1</v>
      </c>
    </row>
    <row r="83">
      <c r="H83" s="1" t="inlineStr">
        <is>
          <t>Password</t>
        </is>
      </c>
      <c r="I83" s="1" t="inlineStr">
        <is>
          <t>G5HZBFJ</t>
        </is>
      </c>
      <c r="J83" s="1" t="inlineStr">
        <is>
          <t>iDRAC Factory Generated Password for OCP cards</t>
        </is>
      </c>
      <c r="K83" s="4" t="n">
        <v>0</v>
      </c>
      <c r="L83" s="1" t="inlineStr">
        <is>
          <t>[379-BETG]</t>
        </is>
      </c>
      <c r="M83" s="1" t="n">
        <v>1</v>
      </c>
    </row>
    <row r="84">
      <c r="H84" s="1" t="inlineStr">
        <is>
          <t>IDRAC Service Module</t>
        </is>
      </c>
      <c r="I84" s="1" t="inlineStr">
        <is>
          <t>GX95LG2</t>
        </is>
      </c>
      <c r="J84" s="1" t="inlineStr">
        <is>
          <t>iDRAC Service Module (ISM), NOT Installed</t>
        </is>
      </c>
      <c r="K84" s="4" t="n">
        <v>0</v>
      </c>
      <c r="L84" s="1" t="inlineStr">
        <is>
          <t>[379-BCQX]</t>
        </is>
      </c>
      <c r="M84" s="1" t="n">
        <v>1</v>
      </c>
    </row>
    <row r="85">
      <c r="H85" s="1" t="inlineStr">
        <is>
          <t>Group Manager</t>
        </is>
      </c>
      <c r="I85" s="1" t="inlineStr">
        <is>
          <t>GTVA94K</t>
        </is>
      </c>
      <c r="J85" s="1" t="inlineStr">
        <is>
          <t>iDRAC Group Manager, Disabled</t>
        </is>
      </c>
      <c r="K85" s="4" t="n">
        <v>0</v>
      </c>
      <c r="L85" s="1" t="inlineStr">
        <is>
          <t>[379-BCQY]</t>
        </is>
      </c>
      <c r="M85" s="1" t="n">
        <v>1</v>
      </c>
    </row>
    <row r="86">
      <c r="H86" s="1" t="inlineStr">
        <is>
          <t>Operating System</t>
        </is>
      </c>
      <c r="I86" s="1" t="inlineStr">
        <is>
          <t>G78MU35</t>
        </is>
      </c>
      <c r="J86" s="1" t="inlineStr">
        <is>
          <t>No Operating System</t>
        </is>
      </c>
      <c r="K86" s="4" t="n">
        <v>0</v>
      </c>
      <c r="L86" s="1" t="inlineStr">
        <is>
          <t>[611-BBBF]</t>
        </is>
      </c>
      <c r="M86" s="1" t="n">
        <v>1</v>
      </c>
    </row>
    <row r="87">
      <c r="H87" s="1" t="inlineStr">
        <is>
          <t>OS Media Kits</t>
        </is>
      </c>
      <c r="I87" s="1" t="inlineStr">
        <is>
          <t>GKH7AZI</t>
        </is>
      </c>
      <c r="J87" s="1" t="inlineStr">
        <is>
          <t>No Media Required</t>
        </is>
      </c>
      <c r="K87" s="4" t="n">
        <v>0</v>
      </c>
      <c r="L87" s="1" t="inlineStr">
        <is>
          <t>[605-BBFN]</t>
        </is>
      </c>
      <c r="M87" s="1" t="n">
        <v>1</v>
      </c>
    </row>
    <row r="88">
      <c r="H88" s="1" t="inlineStr">
        <is>
          <t>Rack Rails</t>
        </is>
      </c>
      <c r="I88" s="1" t="inlineStr">
        <is>
          <t>GSNQZP0</t>
        </is>
      </c>
      <c r="J88" s="1" t="inlineStr">
        <is>
          <t>ReadyRails Sliding Rails With Cable Management Arm</t>
        </is>
      </c>
      <c r="K88" s="4" t="n">
        <v>187.51</v>
      </c>
      <c r="L88" s="1" t="inlineStr">
        <is>
          <t>[770-BDMT], [770-BECD]</t>
        </is>
      </c>
      <c r="M88" s="1" t="n">
        <v>1</v>
      </c>
    </row>
    <row r="89">
      <c r="H89" s="1" t="inlineStr">
        <is>
          <t>System Documentation</t>
        </is>
      </c>
      <c r="I89" s="1" t="inlineStr">
        <is>
          <t>GVRYSM7</t>
        </is>
      </c>
      <c r="J89" s="1" t="inlineStr">
        <is>
          <t>No Systems Documentation, No OpenManage DVD Kit</t>
        </is>
      </c>
      <c r="K89" s="4" t="n">
        <v>0</v>
      </c>
      <c r="L89" s="1" t="inlineStr">
        <is>
          <t>[631-AACK]</t>
        </is>
      </c>
      <c r="M89" s="1" t="n">
        <v>1</v>
      </c>
    </row>
    <row r="90">
      <c r="H90" s="1" t="inlineStr">
        <is>
          <t>SHIPPING</t>
        </is>
      </c>
      <c r="I90" s="1" t="inlineStr">
        <is>
          <t>GSE1MX3</t>
        </is>
      </c>
      <c r="J90" s="1" t="inlineStr">
        <is>
          <t>PowerEdge R660 Shipping</t>
        </is>
      </c>
      <c r="K90" s="4" t="n">
        <v>49</v>
      </c>
      <c r="L90" s="1" t="inlineStr">
        <is>
          <t>[340-DBXZ]</t>
        </is>
      </c>
      <c r="M90" s="1" t="n">
        <v>1</v>
      </c>
    </row>
    <row r="91">
      <c r="H91" s="1" t="inlineStr">
        <is>
          <t>Shipping Material</t>
        </is>
      </c>
      <c r="I91" s="1" t="inlineStr">
        <is>
          <t>GIE8RYJ</t>
        </is>
      </c>
      <c r="J91" s="1" t="inlineStr">
        <is>
          <t>PowerEdge R660 Shipping Material, 10x2.5", 8x2.5" Smart Flow or 16xEDSFF</t>
        </is>
      </c>
      <c r="K91" s="4" t="n">
        <v>99</v>
      </c>
      <c r="L91" s="1" t="inlineStr">
        <is>
          <t>[340-DBYC]</t>
        </is>
      </c>
      <c r="M91" s="1" t="n">
        <v>1</v>
      </c>
    </row>
    <row r="92">
      <c r="H92" s="1" t="inlineStr">
        <is>
          <t>Regulatory</t>
        </is>
      </c>
      <c r="I92" s="1" t="inlineStr">
        <is>
          <t>GAE4XYW</t>
        </is>
      </c>
      <c r="J92" s="1" t="inlineStr">
        <is>
          <t>PowerEdge R660 CE, CCC and BIS Marking on 2.5" Chassis</t>
        </is>
      </c>
      <c r="K92" s="4" t="n">
        <v>0</v>
      </c>
      <c r="L92" s="1" t="inlineStr">
        <is>
          <t>[343-BBTS], [343-BBUB]</t>
        </is>
      </c>
      <c r="M92" s="1" t="n">
        <v>1</v>
      </c>
    </row>
    <row r="93">
      <c r="H93" s="1" t="inlineStr">
        <is>
          <t>ECCN</t>
        </is>
      </c>
      <c r="I93" s="1" t="inlineStr">
        <is>
          <t>GRO1P6G</t>
        </is>
      </c>
      <c r="J93" s="1" t="inlineStr">
        <is>
          <t>Decline Selection</t>
        </is>
      </c>
      <c r="K93" s="4" t="n">
        <v>0</v>
      </c>
      <c r="L93" s="1" t="inlineStr">
        <is>
          <t>[817-BBBP]</t>
        </is>
      </c>
      <c r="M93" s="1" t="n">
        <v>1</v>
      </c>
    </row>
    <row r="94">
      <c r="H94" s="1" t="inlineStr">
        <is>
          <t>Standard Hardware Support Service</t>
        </is>
      </c>
      <c r="I94" s="1" t="inlineStr">
        <is>
          <t>G80I3TA</t>
        </is>
      </c>
      <c r="J94" s="1" t="inlineStr">
        <is>
          <t>3 Years Prosupport Next Business Day Onsite Service</t>
        </is>
      </c>
      <c r="K94" s="4" t="n">
        <v>3085.01</v>
      </c>
      <c r="L94" s="1" t="inlineStr">
        <is>
          <t>[887-1067], [887-1075], [887-1076], [989-3439]</t>
        </is>
      </c>
      <c r="M94" s="1" t="n">
        <v>1</v>
      </c>
    </row>
    <row r="95"/>
    <row r="96"/>
    <row r="97">
      <c r="A97"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 Yen_Mei</dc:creator>
  <dcterms:created xsi:type="dcterms:W3CDTF">2024-12-31T19:59:33Z</dcterms:created>
  <dcterms:modified xsi:type="dcterms:W3CDTF">2026-09-25T15:09:52Z</dcterms:modified>
  <cp:lastModifiedBy>Abuzaid, Abdullah</cp:lastModifiedBy>
</cp:coreProperties>
</file>

<file path=docProps/custom.xml><?xml version="1.0" encoding="utf-8"?>
<Properties xmlns:vt="http://schemas.openxmlformats.org/officeDocument/2006/docPropsVTypes" xmlns="http://schemas.openxmlformats.org/officeDocument/2006/custom-properties">
  <property name="MSIP_Label_73dd1fcc-24d7-4f55-9dc2-c1518f171327_Enabled" fmtid="{D5CDD505-2E9C-101B-9397-08002B2CF9AE}" pid="2">
    <vt:lpwstr>true</vt:lpwstr>
  </property>
  <property name="MSIP_Label_73dd1fcc-24d7-4f55-9dc2-c1518f171327_SetDate" fmtid="{D5CDD505-2E9C-101B-9397-08002B2CF9AE}" pid="3">
    <vt:lpwstr>2024-12-31T20:00:33Z</vt:lpwstr>
  </property>
  <property name="MSIP_Label_73dd1fcc-24d7-4f55-9dc2-c1518f171327_Method" fmtid="{D5CDD505-2E9C-101B-9397-08002B2CF9AE}" pid="4">
    <vt:lpwstr>Privileged</vt:lpwstr>
  </property>
  <property name="MSIP_Label_73dd1fcc-24d7-4f55-9dc2-c1518f171327_Name" fmtid="{D5CDD505-2E9C-101B-9397-08002B2CF9AE}" pid="5">
    <vt:lpwstr>No Protection (Label Only) - Internal Use</vt:lpwstr>
  </property>
  <property name="MSIP_Label_73dd1fcc-24d7-4f55-9dc2-c1518f171327_SiteId" fmtid="{D5CDD505-2E9C-101B-9397-08002B2CF9AE}" pid="6">
    <vt:lpwstr>945c199a-83a2-4e80-9f8c-5a91be5752dd</vt:lpwstr>
  </property>
  <property name="MSIP_Label_73dd1fcc-24d7-4f55-9dc2-c1518f171327_ActionId" fmtid="{D5CDD505-2E9C-101B-9397-08002B2CF9AE}" pid="7">
    <vt:lpwstr>d71f9a86-0cd7-42ea-8b53-881734af6450</vt:lpwstr>
  </property>
  <property name="MSIP_Label_73dd1fcc-24d7-4f55-9dc2-c1518f171327_ContentBits" fmtid="{D5CDD505-2E9C-101B-9397-08002B2CF9AE}" pid="8">
    <vt:lpwstr>2</vt:lpwstr>
  </property>
  <property name="ContentTypeId" fmtid="{D5CDD505-2E9C-101B-9397-08002B2CF9AE}" pid="9">
    <vt:lpwstr>0x01010013EE865589E31842B4BEFFD6263ECB93</vt:lpwstr>
  </property>
  <property name="MediaServiceImageTags" fmtid="{D5CDD505-2E9C-101B-9397-08002B2CF9AE}" pid="10">
    <vt:lpwstr/>
  </property>
  <property name="Order" fmtid="{D5CDD505-2E9C-101B-9397-08002B2CF9AE}" pid="11">
    <vt:r8>11300</vt:r8>
  </property>
  <property name="xd_Signature" fmtid="{D5CDD505-2E9C-101B-9397-08002B2CF9AE}" pid="12">
    <vt:bool>0</vt:bool>
  </property>
  <property name="xd_ProgID" fmtid="{D5CDD505-2E9C-101B-9397-08002B2CF9AE}" pid="13">
    <vt:lpwstr/>
  </property>
  <property name="ComplianceAssetId" fmtid="{D5CDD505-2E9C-101B-9397-08002B2CF9AE}" pid="14">
    <vt:lpwstr/>
  </property>
  <property name="TemplateUrl" fmtid="{D5CDD505-2E9C-101B-9397-08002B2CF9AE}" pid="15">
    <vt:lpwstr/>
  </property>
  <property name="_ExtendedDescription" fmtid="{D5CDD505-2E9C-101B-9397-08002B2CF9AE}" pid="16">
    <vt:lpwstr/>
  </property>
  <property name="TriggerFlowInfo" fmtid="{D5CDD505-2E9C-101B-9397-08002B2CF9AE}" pid="17">
    <vt:lpwstr/>
  </property>
  <property name="Linktolatestversion" fmtid="{D5CDD505-2E9C-101B-9397-08002B2CF9AE}" pid="18">
    <vt:lpwstr xml:space="preserve">, </vt:lpwstr>
  </property>
</Properties>
</file>