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384" windowWidth="23016" windowHeight="12216" tabRatio="762" firstSheet="3" activeTab="3" autoFilterDateGrouping="1"/>
  </bookViews>
  <sheets>
    <sheet name="P&amp;L" sheetId="1" state="hidden" r:id="rId1"/>
    <sheet name="GOAL Export" sheetId="2" state="hidden" r:id="rId2"/>
    <sheet name="Version" sheetId="3" state="visible" r:id="rId3"/>
    <sheet name="L11 BOM Ntwk" sheetId="4" state="visible" r:id="rId4"/>
    <sheet name="Elevations" sheetId="5" state="visible" r:id="rId5"/>
    <sheet name="Services Summary" sheetId="6" state="hidden" r:id="rId6"/>
    <sheet name="DW2000P_1" sheetId="7" state="hidden" r:id="rId7"/>
    <sheet name="Compute_Management" sheetId="8"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9" fullCalcOnLoad="1"/>
</workbook>
</file>

<file path=xl/styles.xml><?xml version="1.0" encoding="utf-8"?>
<styleSheet xmlns="http://schemas.openxmlformats.org/spreadsheetml/2006/main">
  <numFmts count="3">
    <numFmt numFmtId="164" formatCode="\$#0.00"/>
    <numFmt numFmtId="165" formatCode="&quot;$&quot;#,##0.00"/>
    <numFmt numFmtId="166" formatCode="0.0"/>
  </numFmts>
  <fonts count="51">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rial"/>
      <family val="2"/>
      <color rgb="FF000000"/>
      <sz val="10"/>
    </font>
    <font>
      <name val="Aptos Narrow"/>
      <family val="2"/>
      <b val="1"/>
      <color theme="1"/>
      <sz val="11"/>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sz val="11"/>
      <scheme val="minor"/>
    </font>
    <font>
      <name val="Aptos Narrow"/>
      <family val="2"/>
      <color theme="1"/>
      <sz val="9"/>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rgb="FF0070C0"/>
      <sz val="10"/>
    </font>
    <font>
      <name val="Calibri"/>
      <family val="2"/>
      <b val="1"/>
      <color theme="1"/>
      <sz val="10"/>
    </font>
    <font>
      <name val="Calibri"/>
      <family val="2"/>
      <color rgb="FF0E0E0E"/>
      <sz val="11"/>
    </font>
    <font>
      <name val="Arial"/>
      <family val="2"/>
      <color theme="1"/>
      <sz val="10"/>
    </font>
    <font>
      <name val="Aptos"/>
      <family val="2"/>
      <color rgb="FF000000"/>
      <sz val="11"/>
    </font>
    <font>
      <name val="Aptos Narrow"/>
      <family val="2"/>
      <sz val="9"/>
      <scheme val="minor"/>
    </font>
    <font>
      <name val="Aptos Narrow"/>
      <family val="2"/>
      <color rgb="FF000000"/>
      <sz val="9"/>
      <scheme val="minor"/>
    </font>
    <font>
      <name val="Calibri"/>
      <family val="2"/>
      <color rgb="FF000000"/>
      <sz val="14"/>
    </font>
    <font>
      <name val="Arial"/>
      <family val="2"/>
      <color rgb="FF000000"/>
      <sz val="9"/>
    </font>
    <font>
      <name val="Calibri"/>
      <family val="2"/>
      <color theme="9" tint="0.3999755851924192"/>
      <sz val="10"/>
    </font>
    <font>
      <name val="Calibri"/>
      <family val="2"/>
      <color theme="9" tint="0.3999755851924192"/>
      <sz val="11"/>
    </font>
    <font>
      <name val="Aptos"/>
      <family val="2"/>
      <color rgb="FF000000"/>
      <sz val="9"/>
    </font>
    <font>
      <name val="Calibri"/>
      <family val="2"/>
      <sz val="9"/>
    </font>
    <font>
      <name val="Calibri"/>
      <family val="2"/>
      <color rgb="FFFF0000"/>
      <sz val="11"/>
    </font>
    <font>
      <name val="Calibri"/>
      <family val="2"/>
      <color theme="1"/>
      <sz val="9"/>
    </font>
    <font>
      <name val="Calibri"/>
      <family val="2"/>
      <b val="1"/>
      <color rgb="FFED7D31"/>
      <sz val="14"/>
    </font>
    <font>
      <name val="Aptos"/>
      <family val="2"/>
      <color rgb="FF000000"/>
      <sz val="10"/>
    </font>
    <font>
      <name val="Aptos Narrow"/>
      <family val="2"/>
      <sz val="9"/>
    </font>
    <font>
      <name val="Aptos"/>
      <family val="2"/>
      <color rgb="FF27251E"/>
      <sz val="9"/>
    </font>
    <font>
      <name val="Aptos Narrow"/>
      <family val="2"/>
      <color rgb="FF000000"/>
      <sz val="11"/>
      <scheme val="minor"/>
    </font>
    <font>
      <name val="Aptos Narrow"/>
      <family val="2"/>
      <b val="1"/>
      <color rgb="FFE97132"/>
      <sz val="14"/>
      <scheme val="minor"/>
    </font>
    <font>
      <name val="Aptos Narrow"/>
      <family val="2"/>
      <color rgb="FF000000"/>
      <sz val="14"/>
      <scheme val="minor"/>
    </font>
    <font>
      <name val="Aptos Narrow"/>
      <family val="2"/>
      <b val="1"/>
      <color rgb="FF000000"/>
      <sz val="11"/>
      <scheme val="minor"/>
    </font>
    <font>
      <name val="Calibri"/>
      <family val="2"/>
      <color rgb="FFFFFFFF"/>
      <sz val="11"/>
    </font>
  </fonts>
  <fills count="29">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theme="0"/>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8" tint="0.5999938962981048"/>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FF"/>
        <bgColor rgb="FF000000"/>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medium">
        <color indexed="64"/>
      </top>
      <bottom/>
      <diagonal/>
    </border>
    <border>
      <left/>
      <right style="thin">
        <color indexed="64"/>
      </right>
      <top style="medium">
        <color indexed="64"/>
      </top>
      <bottom/>
      <diagonal/>
    </border>
    <border>
      <left style="thin">
        <color indexed="64"/>
      </left>
      <right/>
      <top/>
      <bottom/>
      <diagonal/>
    </border>
    <border>
      <left style="medium">
        <color auto="1"/>
      </left>
      <right/>
      <top/>
      <bottom/>
      <diagonal/>
    </border>
  </borders>
  <cellStyleXfs count="2">
    <xf numFmtId="0" fontId="0" fillId="0" borderId="0"/>
    <xf numFmtId="0" fontId="1" fillId="0" borderId="0"/>
  </cellStyleXfs>
  <cellXfs count="260">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3" applyAlignment="1" pivotButton="0" quotePrefix="0" xfId="0">
      <alignment horizontal="center" vertical="center" wrapText="1" readingOrder="1"/>
    </xf>
    <xf numFmtId="0" fontId="3" fillId="0" borderId="3"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3" applyAlignment="1" pivotButton="0" quotePrefix="0" xfId="0">
      <alignment horizontal="left" vertical="center" readingOrder="1"/>
    </xf>
    <xf numFmtId="14" fontId="3" fillId="0" borderId="3"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3"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3" fillId="0" borderId="0" applyAlignment="1" pivotButton="0" quotePrefix="0" xfId="0">
      <alignment horizontal="left"/>
    </xf>
    <xf numFmtId="0" fontId="14" fillId="6" borderId="0" applyAlignment="1" pivotButton="0" quotePrefix="0" xfId="0">
      <alignment horizontal="center"/>
    </xf>
    <xf numFmtId="0" fontId="2" fillId="6" borderId="0" applyAlignment="1" pivotButton="0" quotePrefix="0" xfId="0">
      <alignment horizontal="center"/>
    </xf>
    <xf numFmtId="0" fontId="15" fillId="0" borderId="0" pivotButton="0" quotePrefix="0" xfId="0"/>
    <xf numFmtId="0" fontId="16" fillId="0" borderId="0" pivotButton="0" quotePrefix="0" xfId="0"/>
    <xf numFmtId="0" fontId="15" fillId="0" borderId="0" applyAlignment="1" pivotButton="0" quotePrefix="0" xfId="0">
      <alignment wrapText="1"/>
    </xf>
    <xf numFmtId="0" fontId="17" fillId="0" borderId="0" pivotButton="0" quotePrefix="0" xfId="0"/>
    <xf numFmtId="0" fontId="10" fillId="8" borderId="3" pivotButton="0" quotePrefix="0" xfId="0"/>
    <xf numFmtId="0" fontId="10" fillId="8" borderId="4" pivotButton="0" quotePrefix="0" xfId="0"/>
    <xf numFmtId="0" fontId="18" fillId="0" borderId="0" pivotButton="0" quotePrefix="0" xfId="0"/>
    <xf numFmtId="4" fontId="18" fillId="0" borderId="0" pivotButton="0" quotePrefix="0" xfId="0"/>
    <xf numFmtId="10" fontId="18" fillId="0" borderId="0" pivotButton="0" quotePrefix="0" xfId="0"/>
    <xf numFmtId="0" fontId="12"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1" fillId="0" borderId="0" pivotButton="0" quotePrefix="0" xfId="0"/>
    <xf numFmtId="0" fontId="17" fillId="0" borderId="0" applyAlignment="1" pivotButton="0" quotePrefix="0" xfId="0">
      <alignment wrapText="1"/>
    </xf>
    <xf numFmtId="0" fontId="19" fillId="0" borderId="0" pivotButton="0" quotePrefix="0" xfId="0"/>
    <xf numFmtId="0" fontId="19" fillId="0" borderId="0" applyAlignment="1" pivotButton="0" quotePrefix="0" xfId="0">
      <alignment horizontal="left"/>
    </xf>
    <xf numFmtId="0" fontId="2" fillId="0" borderId="0" pivotButton="0" quotePrefix="0" xfId="0"/>
    <xf numFmtId="0" fontId="22" fillId="0" borderId="0" pivotButton="0" quotePrefix="0" xfId="0"/>
    <xf numFmtId="0" fontId="23" fillId="6" borderId="19" applyAlignment="1" pivotButton="0" quotePrefix="0" xfId="0">
      <alignment horizontal="center"/>
    </xf>
    <xf numFmtId="0" fontId="24" fillId="6" borderId="19" applyAlignment="1" pivotButton="0" quotePrefix="0" xfId="0">
      <alignment horizontal="center"/>
    </xf>
    <xf numFmtId="0" fontId="23" fillId="6" borderId="3" applyAlignment="1" pivotButton="0" quotePrefix="0" xfId="0">
      <alignment horizontal="center"/>
    </xf>
    <xf numFmtId="0" fontId="25" fillId="14" borderId="3" pivotButton="0" quotePrefix="0" xfId="0"/>
    <xf numFmtId="0" fontId="25" fillId="0" borderId="4" pivotButton="0" quotePrefix="0" xfId="0"/>
    <xf numFmtId="0" fontId="22" fillId="14" borderId="3" pivotButton="0" quotePrefix="0" xfId="0"/>
    <xf numFmtId="0" fontId="25" fillId="0" borderId="0" pivotButton="0" quotePrefix="0" xfId="0"/>
    <xf numFmtId="0" fontId="24" fillId="6" borderId="0" applyAlignment="1" pivotButton="0" quotePrefix="0" xfId="0">
      <alignment horizontal="center"/>
    </xf>
    <xf numFmtId="0" fontId="25" fillId="0" borderId="3" pivotButton="0" quotePrefix="0" xfId="0"/>
    <xf numFmtId="0" fontId="25" fillId="0" borderId="0" applyAlignment="1" pivotButton="0" quotePrefix="0" xfId="0">
      <alignment wrapText="1"/>
    </xf>
    <xf numFmtId="0" fontId="24" fillId="6" borderId="3" applyAlignment="1" pivotButton="0" quotePrefix="0" xfId="0">
      <alignment horizontal="center"/>
    </xf>
    <xf numFmtId="0" fontId="22" fillId="0" borderId="3" applyAlignment="1" pivotButton="0" quotePrefix="0" xfId="0">
      <alignment wrapText="1"/>
    </xf>
    <xf numFmtId="0" fontId="22" fillId="0" borderId="3" pivotButton="0" quotePrefix="0" xfId="0"/>
    <xf numFmtId="0" fontId="25" fillId="0" borderId="3" applyAlignment="1" pivotButton="0" quotePrefix="0" xfId="0">
      <alignment wrapText="1"/>
    </xf>
    <xf numFmtId="1" fontId="22" fillId="0" borderId="3" applyAlignment="1" pivotButton="0" quotePrefix="0" xfId="0">
      <alignment wrapText="1"/>
    </xf>
    <xf numFmtId="1" fontId="25" fillId="0" borderId="3" pivotButton="0" quotePrefix="0" xfId="0"/>
    <xf numFmtId="0" fontId="25" fillId="15" borderId="3" pivotButton="0" quotePrefix="0" xfId="0"/>
    <xf numFmtId="3" fontId="25" fillId="0" borderId="3" pivotButton="0" quotePrefix="0" xfId="0"/>
    <xf numFmtId="0" fontId="25" fillId="0" borderId="5" pivotButton="0" quotePrefix="0" xfId="0"/>
    <xf numFmtId="0" fontId="21" fillId="0" borderId="0" pivotButton="0" quotePrefix="0" xfId="0"/>
    <xf numFmtId="0" fontId="27" fillId="13" borderId="13" applyAlignment="1" pivotButton="0" quotePrefix="0" xfId="0">
      <alignment horizontal="center" wrapText="1"/>
    </xf>
    <xf numFmtId="0" fontId="27" fillId="13" borderId="15" applyAlignment="1" pivotButton="0" quotePrefix="0" xfId="0">
      <alignment horizontal="center" wrapText="1"/>
    </xf>
    <xf numFmtId="0" fontId="21" fillId="0" borderId="14" applyAlignment="1" pivotButton="0" quotePrefix="0" xfId="0">
      <alignment horizontal="center"/>
    </xf>
    <xf numFmtId="0" fontId="21" fillId="0" borderId="16" applyAlignment="1" pivotButton="0" quotePrefix="0" xfId="0">
      <alignment horizontal="center"/>
    </xf>
    <xf numFmtId="0" fontId="21" fillId="0" borderId="0" applyAlignment="1" pivotButton="0" quotePrefix="0" xfId="0">
      <alignment horizontal="center"/>
    </xf>
    <xf numFmtId="0" fontId="28" fillId="0" borderId="3" applyAlignment="1" pivotButton="0" quotePrefix="0" xfId="0">
      <alignment horizontal="center"/>
    </xf>
    <xf numFmtId="0" fontId="23" fillId="5" borderId="5" applyAlignment="1" pivotButton="0" quotePrefix="0" xfId="0">
      <alignment horizontal="center"/>
    </xf>
    <xf numFmtId="0" fontId="23" fillId="5" borderId="5" pivotButton="0" quotePrefix="0" xfId="0"/>
    <xf numFmtId="0" fontId="23" fillId="0" borderId="5" applyAlignment="1" pivotButton="0" quotePrefix="0" xfId="0">
      <alignment horizontal="center"/>
    </xf>
    <xf numFmtId="0" fontId="25" fillId="15" borderId="4" pivotButton="0" quotePrefix="0" xfId="0"/>
    <xf numFmtId="1" fontId="25" fillId="14" borderId="3" pivotButton="0" quotePrefix="0" xfId="0"/>
    <xf numFmtId="0" fontId="29" fillId="7" borderId="0" applyAlignment="1" pivotButton="0" quotePrefix="0" xfId="0">
      <alignment vertical="center" wrapText="1"/>
    </xf>
    <xf numFmtId="0" fontId="25" fillId="15" borderId="0" pivotButton="0" quotePrefix="0" xfId="0"/>
    <xf numFmtId="3" fontId="25" fillId="14" borderId="3" pivotButton="0" quotePrefix="0" xfId="0"/>
    <xf numFmtId="0" fontId="25" fillId="14" borderId="1" pivotButton="0" quotePrefix="0" xfId="0"/>
    <xf numFmtId="0" fontId="23" fillId="16" borderId="3" applyAlignment="1" pivotButton="0" quotePrefix="0" xfId="0">
      <alignment horizontal="center"/>
    </xf>
    <xf numFmtId="0" fontId="25" fillId="14" borderId="20" pivotButton="0" quotePrefix="0" xfId="0"/>
    <xf numFmtId="0" fontId="0" fillId="0" borderId="0" applyAlignment="1" pivotButton="0" quotePrefix="0" xfId="0">
      <alignment vertical="center" wrapText="1"/>
    </xf>
    <xf numFmtId="0" fontId="0" fillId="0" borderId="3" applyAlignment="1" pivotButton="0" quotePrefix="0" xfId="0">
      <alignment vertical="center" wrapText="1"/>
    </xf>
    <xf numFmtId="0" fontId="11" fillId="14" borderId="3" applyAlignment="1" pivotButton="0" quotePrefix="0" xfId="0">
      <alignment horizontal="left" vertical="center" readingOrder="1"/>
    </xf>
    <xf numFmtId="0" fontId="19" fillId="0" borderId="3" pivotButton="0" quotePrefix="0" xfId="0"/>
    <xf numFmtId="0" fontId="20" fillId="14" borderId="3" pivotButton="0" quotePrefix="0" xfId="0"/>
    <xf numFmtId="0" fontId="34" fillId="0" borderId="0" pivotButton="0" quotePrefix="0" xfId="0"/>
    <xf numFmtId="0" fontId="2" fillId="0" borderId="0" applyAlignment="1" pivotButton="0" quotePrefix="0" xfId="0">
      <alignment horizontal="center"/>
    </xf>
    <xf numFmtId="0" fontId="0" fillId="0" borderId="3" pivotButton="0" quotePrefix="0" xfId="0"/>
    <xf numFmtId="0" fontId="20" fillId="0" borderId="3" pivotButton="0" quotePrefix="0" xfId="0"/>
    <xf numFmtId="0" fontId="15" fillId="0" borderId="3" applyAlignment="1" pivotButton="0" quotePrefix="0" xfId="0">
      <alignment horizontal="left" vertical="top"/>
    </xf>
    <xf numFmtId="0" fontId="35" fillId="0" borderId="3" applyAlignment="1" pivotButton="0" quotePrefix="0" xfId="0">
      <alignment horizontal="left" vertical="top" readingOrder="1"/>
    </xf>
    <xf numFmtId="0" fontId="36" fillId="15" borderId="3" pivotButton="0" quotePrefix="0" xfId="0"/>
    <xf numFmtId="0" fontId="37" fillId="0" borderId="0" pivotButton="0" quotePrefix="0" xfId="0"/>
    <xf numFmtId="0" fontId="31" fillId="7" borderId="0" applyAlignment="1" pivotButton="0" quotePrefix="0" xfId="0">
      <alignment vertical="center" wrapText="1"/>
    </xf>
    <xf numFmtId="0" fontId="31" fillId="7" borderId="0" applyAlignment="1" pivotButton="0" quotePrefix="0" xfId="0">
      <alignment horizontal="left" vertical="center" wrapText="1" indent="1"/>
    </xf>
    <xf numFmtId="1" fontId="25" fillId="14" borderId="19" pivotButton="0" quotePrefix="0" xfId="0"/>
    <xf numFmtId="0" fontId="31" fillId="7" borderId="3" applyAlignment="1" pivotButton="0" quotePrefix="0" xfId="0">
      <alignment horizontal="left" vertical="center" wrapText="1" indent="1"/>
    </xf>
    <xf numFmtId="0" fontId="32" fillId="0" borderId="3" pivotButton="0" quotePrefix="0" xfId="0"/>
    <xf numFmtId="1" fontId="25" fillId="14" borderId="6" pivotButton="0" quotePrefix="0" xfId="0"/>
    <xf numFmtId="0" fontId="20" fillId="0" borderId="3" applyAlignment="1" pivotButton="0" quotePrefix="0" xfId="0">
      <alignment horizontal="left" wrapText="1"/>
    </xf>
    <xf numFmtId="0" fontId="38" fillId="7" borderId="3" applyAlignment="1" pivotButton="0" quotePrefix="0" xfId="0">
      <alignment vertical="center" wrapText="1"/>
    </xf>
    <xf numFmtId="0" fontId="26" fillId="0" borderId="0" pivotButton="0" quotePrefix="0" xfId="0"/>
    <xf numFmtId="0" fontId="40" fillId="0" borderId="0" pivotButton="0" quotePrefix="0" xfId="0"/>
    <xf numFmtId="0" fontId="19" fillId="0" borderId="0" applyAlignment="1" pivotButton="0" quotePrefix="0" xfId="0">
      <alignment wrapText="1"/>
    </xf>
    <xf numFmtId="0" fontId="0" fillId="0" borderId="0" applyAlignment="1" pivotButton="0" quotePrefix="0" xfId="0">
      <alignment wrapText="1"/>
    </xf>
    <xf numFmtId="0" fontId="32" fillId="0" borderId="4" pivotButton="0" quotePrefix="0" xfId="0"/>
    <xf numFmtId="1" fontId="22" fillId="14" borderId="3" pivotButton="0" quotePrefix="0" xfId="0"/>
    <xf numFmtId="1" fontId="22" fillId="14" borderId="6" pivotButton="0" quotePrefix="0" xfId="0"/>
    <xf numFmtId="0" fontId="30" fillId="2" borderId="3" applyAlignment="1" pivotButton="0" quotePrefix="0" xfId="0">
      <alignment horizontal="left" vertical="center" readingOrder="1"/>
    </xf>
    <xf numFmtId="3" fontId="22" fillId="14" borderId="0" applyAlignment="1" pivotButton="0" quotePrefix="0" xfId="0">
      <alignment readingOrder="1"/>
    </xf>
    <xf numFmtId="0" fontId="31" fillId="14" borderId="0" applyAlignment="1" pivotButton="0" quotePrefix="0" xfId="0">
      <alignment vertical="center" wrapText="1"/>
    </xf>
    <xf numFmtId="0" fontId="31" fillId="14" borderId="0" applyAlignment="1" pivotButton="0" quotePrefix="0" xfId="0">
      <alignment horizontal="left" vertical="center" wrapText="1" indent="1"/>
    </xf>
    <xf numFmtId="0" fontId="22" fillId="14" borderId="0" pivotButton="0" quotePrefix="0" xfId="0"/>
    <xf numFmtId="1" fontId="22" fillId="14" borderId="0" pivotButton="0" quotePrefix="0" xfId="0"/>
    <xf numFmtId="0" fontId="20" fillId="0" borderId="0" applyAlignment="1" pivotButton="0" quotePrefix="0" xfId="0">
      <alignment horizontal="left" wrapText="1"/>
    </xf>
    <xf numFmtId="0" fontId="41" fillId="0" borderId="0" applyAlignment="1" pivotButton="0" quotePrefix="0" xfId="0">
      <alignment wrapText="1"/>
    </xf>
    <xf numFmtId="0" fontId="42" fillId="0" borderId="0" pivotButton="0" quotePrefix="0" xfId="0"/>
    <xf numFmtId="0" fontId="42" fillId="0" borderId="0" applyAlignment="1" pivotButton="0" quotePrefix="0" xfId="0">
      <alignment vertical="center"/>
    </xf>
    <xf numFmtId="0" fontId="1" fillId="18" borderId="3" applyAlignment="1" pivotButton="0" quotePrefix="0" xfId="0">
      <alignment horizontal="center" vertical="center"/>
    </xf>
    <xf numFmtId="0" fontId="41" fillId="0" borderId="3" applyAlignment="1" pivotButton="0" quotePrefix="0" xfId="0">
      <alignment wrapText="1"/>
    </xf>
    <xf numFmtId="0" fontId="26" fillId="0" borderId="3" pivotButton="0" quotePrefix="0" xfId="0"/>
    <xf numFmtId="0" fontId="43" fillId="7" borderId="3" applyAlignment="1" pivotButton="0" quotePrefix="0" xfId="0">
      <alignment vertical="center" wrapText="1"/>
    </xf>
    <xf numFmtId="0" fontId="24" fillId="6" borderId="6" applyAlignment="1" pivotButton="0" quotePrefix="0" xfId="0">
      <alignment horizontal="center"/>
    </xf>
    <xf numFmtId="0" fontId="39" fillId="0" borderId="3" applyAlignment="1" pivotButton="0" quotePrefix="0" xfId="0">
      <alignment wrapText="1"/>
    </xf>
    <xf numFmtId="0" fontId="44" fillId="0" borderId="3" applyAlignment="1" pivotButton="0" quotePrefix="0" xfId="0">
      <alignment wrapText="1"/>
    </xf>
    <xf numFmtId="0" fontId="44" fillId="4" borderId="3" pivotButton="0" quotePrefix="0" xfId="0"/>
    <xf numFmtId="0" fontId="25" fillId="14" borderId="26" pivotButton="0" quotePrefix="0" xfId="0"/>
    <xf numFmtId="0" fontId="25" fillId="14" borderId="2" pivotButton="0" quotePrefix="0" xfId="0"/>
    <xf numFmtId="0" fontId="25" fillId="14" borderId="27" pivotButton="0" quotePrefix="0" xfId="0"/>
    <xf numFmtId="0" fontId="19" fillId="0" borderId="19" pivotButton="0" quotePrefix="0" xfId="0"/>
    <xf numFmtId="0" fontId="32" fillId="14" borderId="3" pivotButton="0" quotePrefix="0" xfId="0"/>
    <xf numFmtId="0" fontId="45" fillId="14" borderId="0" applyAlignment="1" pivotButton="0" quotePrefix="0" xfId="0">
      <alignment wrapText="1"/>
    </xf>
    <xf numFmtId="0" fontId="26" fillId="14" borderId="3" pivotButton="0" quotePrefix="0" xfId="0"/>
    <xf numFmtId="0" fontId="0" fillId="0" borderId="0" applyAlignment="1" pivotButton="0" quotePrefix="0" xfId="0">
      <alignment vertical="top" wrapText="1"/>
    </xf>
    <xf numFmtId="0" fontId="1" fillId="18" borderId="8" applyAlignment="1" pivotButton="0" quotePrefix="0" xfId="0">
      <alignment horizontal="center" vertical="center"/>
    </xf>
    <xf numFmtId="0" fontId="1" fillId="18" borderId="32" applyAlignment="1" pivotButton="0" quotePrefix="0" xfId="0">
      <alignment horizontal="center" vertical="center"/>
    </xf>
    <xf numFmtId="0" fontId="1" fillId="18" borderId="37" applyAlignment="1" pivotButton="0" quotePrefix="0" xfId="0">
      <alignment horizontal="center" vertical="center"/>
    </xf>
    <xf numFmtId="0" fontId="1" fillId="18" borderId="11" applyAlignment="1" pivotButton="0" quotePrefix="0" xfId="0">
      <alignment horizontal="center" vertical="center"/>
    </xf>
    <xf numFmtId="0" fontId="40" fillId="0" borderId="0" applyAlignment="1" pivotButton="0" quotePrefix="0" xfId="0">
      <alignment wrapText="1"/>
    </xf>
    <xf numFmtId="1" fontId="22" fillId="0" borderId="3" pivotButton="0" quotePrefix="0" xfId="0"/>
    <xf numFmtId="0" fontId="22" fillId="0" borderId="18" pivotButton="0" quotePrefix="0" xfId="0"/>
    <xf numFmtId="0" fontId="46" fillId="0" borderId="0" pivotButton="0" quotePrefix="0" xfId="0"/>
    <xf numFmtId="0" fontId="47" fillId="0" borderId="0" pivotButton="0" quotePrefix="0" xfId="0"/>
    <xf numFmtId="0" fontId="34" fillId="0" borderId="0" applyAlignment="1" pivotButton="0" quotePrefix="0" xfId="0">
      <alignment horizontal="center"/>
    </xf>
    <xf numFmtId="0" fontId="47" fillId="0" borderId="0" applyAlignment="1" pivotButton="0" quotePrefix="0" xfId="0">
      <alignment vertical="center"/>
    </xf>
    <xf numFmtId="0" fontId="48" fillId="24" borderId="0" pivotButton="0" quotePrefix="0" xfId="0"/>
    <xf numFmtId="0" fontId="46" fillId="0" borderId="0" applyAlignment="1" pivotButton="0" quotePrefix="0" xfId="0">
      <alignment horizontal="center"/>
    </xf>
    <xf numFmtId="0" fontId="49" fillId="0" borderId="0" pivotButton="0" quotePrefix="0" xfId="0"/>
    <xf numFmtId="0" fontId="1" fillId="0" borderId="0" applyAlignment="1" pivotButton="0" quotePrefix="0" xfId="0">
      <alignment horizontal="center"/>
    </xf>
    <xf numFmtId="0" fontId="14" fillId="0" borderId="0" applyAlignment="1" pivotButton="0" quotePrefix="0" xfId="0">
      <alignment horizontal="center"/>
    </xf>
    <xf numFmtId="0" fontId="1" fillId="0" borderId="0" applyAlignment="1" pivotButton="0" quotePrefix="0" xfId="0">
      <alignment vertical="center"/>
    </xf>
    <xf numFmtId="0" fontId="1" fillId="0" borderId="25" applyAlignment="1" pivotButton="0" quotePrefix="0" xfId="0">
      <alignment vertical="center"/>
    </xf>
    <xf numFmtId="0" fontId="1" fillId="0" borderId="31" applyAlignment="1" pivotButton="0" quotePrefix="0" xfId="0">
      <alignment horizontal="center" vertical="center"/>
    </xf>
    <xf numFmtId="0" fontId="1" fillId="0" borderId="10" applyAlignment="1" pivotButton="0" quotePrefix="0" xfId="0">
      <alignment horizontal="center" vertical="center"/>
    </xf>
    <xf numFmtId="0" fontId="1" fillId="0" borderId="0" applyAlignment="1" pivotButton="0" quotePrefix="0" xfId="0">
      <alignment horizontal="center" vertical="center" textRotation="180"/>
    </xf>
    <xf numFmtId="0" fontId="1" fillId="18" borderId="9" applyAlignment="1" pivotButton="0" quotePrefix="0" xfId="0">
      <alignment horizontal="center" vertical="center"/>
    </xf>
    <xf numFmtId="0" fontId="1" fillId="0" borderId="9" applyAlignment="1" pivotButton="0" quotePrefix="0" xfId="0">
      <alignment horizontal="center" vertical="center"/>
    </xf>
    <xf numFmtId="0" fontId="1" fillId="0" borderId="39" applyAlignment="1" pivotButton="0" quotePrefix="0" xfId="0">
      <alignment horizontal="center" vertical="center" textRotation="180"/>
    </xf>
    <xf numFmtId="0" fontId="1" fillId="0" borderId="28" applyAlignment="1" pivotButton="0" quotePrefix="0" xfId="0">
      <alignment horizontal="center" vertical="center" textRotation="180"/>
    </xf>
    <xf numFmtId="0" fontId="1" fillId="0" borderId="3" applyAlignment="1" pivotButton="0" quotePrefix="0" xfId="0">
      <alignment horizontal="center" vertical="center"/>
    </xf>
    <xf numFmtId="0" fontId="1" fillId="0" borderId="33" applyAlignment="1" pivotButton="0" quotePrefix="0" xfId="0">
      <alignment horizontal="center" vertical="center"/>
    </xf>
    <xf numFmtId="0" fontId="46" fillId="0" borderId="33" applyAlignment="1" pivotButton="0" quotePrefix="0" xfId="0">
      <alignment horizontal="center" vertical="center"/>
    </xf>
    <xf numFmtId="0" fontId="1" fillId="18" borderId="5" applyAlignment="1" pivotButton="0" quotePrefix="0" xfId="0">
      <alignment horizontal="center" vertical="center"/>
    </xf>
    <xf numFmtId="0" fontId="1" fillId="19" borderId="3" applyAlignment="1" pivotButton="0" quotePrefix="0" xfId="0">
      <alignment horizontal="center" vertical="center"/>
    </xf>
    <xf numFmtId="0" fontId="1" fillId="0" borderId="29" applyAlignment="1" pivotButton="0" quotePrefix="0" xfId="0">
      <alignment horizontal="center" vertical="center" textRotation="180"/>
    </xf>
    <xf numFmtId="0" fontId="1" fillId="20" borderId="2" applyAlignment="1" pivotButton="0" quotePrefix="0" xfId="0">
      <alignment horizontal="center"/>
    </xf>
    <xf numFmtId="0" fontId="1" fillId="20" borderId="36" applyAlignment="1" pivotButton="0" quotePrefix="0" xfId="0">
      <alignment horizontal="center"/>
    </xf>
    <xf numFmtId="0" fontId="50" fillId="21" borderId="1" applyAlignment="1" pivotButton="0" quotePrefix="0" xfId="0">
      <alignment horizontal="center"/>
    </xf>
    <xf numFmtId="0" fontId="50" fillId="21" borderId="38" applyAlignment="1" pivotButton="0" quotePrefix="0" xfId="0">
      <alignment horizontal="center"/>
    </xf>
    <xf numFmtId="0" fontId="1" fillId="26" borderId="5" applyAlignment="1" pivotButton="0" quotePrefix="0" xfId="0">
      <alignment horizontal="center" vertical="center"/>
    </xf>
    <xf numFmtId="0" fontId="1" fillId="26" borderId="35" applyAlignment="1" pivotButton="0" quotePrefix="0" xfId="0">
      <alignment horizontal="center" vertical="center"/>
    </xf>
    <xf numFmtId="0" fontId="46" fillId="0" borderId="3" applyAlignment="1" pivotButton="0" quotePrefix="0" xfId="0">
      <alignment horizontal="center" vertical="center"/>
    </xf>
    <xf numFmtId="0" fontId="46" fillId="0" borderId="3" pivotButton="0" quotePrefix="0" xfId="0"/>
    <xf numFmtId="0" fontId="46" fillId="24" borderId="3" applyAlignment="1" pivotButton="0" quotePrefix="0" xfId="0">
      <alignment horizontal="center" vertical="center"/>
    </xf>
    <xf numFmtId="0" fontId="1" fillId="18" borderId="12" applyAlignment="1" pivotButton="0" quotePrefix="0" xfId="0">
      <alignment horizontal="center" vertical="center"/>
    </xf>
    <xf numFmtId="0" fontId="1" fillId="0" borderId="12" applyAlignment="1" pivotButton="0" quotePrefix="0" xfId="0">
      <alignment horizontal="center" vertical="center"/>
    </xf>
    <xf numFmtId="0" fontId="1" fillId="0" borderId="25" applyAlignment="1" pivotButton="0" quotePrefix="0" xfId="0">
      <alignment horizontal="center" vertical="center" textRotation="180"/>
    </xf>
    <xf numFmtId="0" fontId="1" fillId="0" borderId="30" applyAlignment="1" pivotButton="0" quotePrefix="0" xfId="0">
      <alignment horizontal="center" vertical="center" textRotation="180"/>
    </xf>
    <xf numFmtId="0" fontId="33" fillId="0" borderId="0" applyAlignment="1" pivotButton="0" quotePrefix="0" xfId="0">
      <alignment vertical="center" wrapText="1"/>
    </xf>
    <xf numFmtId="0" fontId="32" fillId="0" borderId="3" applyAlignment="1" pivotButton="0" quotePrefix="0" xfId="0">
      <alignment wrapText="1"/>
    </xf>
    <xf numFmtId="0" fontId="33" fillId="0" borderId="3" pivotButton="0" quotePrefix="0" xfId="0"/>
    <xf numFmtId="0" fontId="21" fillId="0" borderId="3" pivotButton="0" quotePrefix="0" xfId="0"/>
    <xf numFmtId="0" fontId="33" fillId="25" borderId="3" applyAlignment="1" pivotButton="0" quotePrefix="0" xfId="0">
      <alignment horizontal="left" vertical="center" readingOrder="1"/>
    </xf>
    <xf numFmtId="0" fontId="25" fillId="28" borderId="3" pivotButton="0" quotePrefix="0" xfId="0"/>
    <xf numFmtId="3" fontId="25" fillId="28" borderId="3" pivotButton="0" quotePrefix="0" xfId="0"/>
    <xf numFmtId="0" fontId="21" fillId="28" borderId="3" pivotButton="0" quotePrefix="0" xfId="0"/>
    <xf numFmtId="0" fontId="25" fillId="28" borderId="4" pivotButton="0" quotePrefix="0" xfId="0"/>
    <xf numFmtId="0" fontId="46" fillId="0" borderId="0" applyAlignment="1" pivotButton="0" quotePrefix="0" xfId="0">
      <alignment wrapText="1"/>
    </xf>
    <xf numFmtId="0" fontId="38" fillId="28" borderId="3" applyAlignment="1" pivotButton="0" quotePrefix="0" xfId="0">
      <alignment vertical="center" wrapText="1"/>
    </xf>
    <xf numFmtId="0" fontId="21" fillId="25" borderId="3" applyAlignment="1" pivotButton="0" quotePrefix="0" xfId="0">
      <alignment readingOrder="1"/>
    </xf>
    <xf numFmtId="0" fontId="11" fillId="28" borderId="4" applyAlignment="1" pivotButton="0" quotePrefix="0" xfId="0">
      <alignment horizontal="left" vertical="center" readingOrder="1"/>
    </xf>
    <xf numFmtId="0" fontId="20" fillId="0" borderId="3" applyAlignment="1" pivotButton="0" quotePrefix="0" xfId="0">
      <alignment horizontal="left" vertical="center" readingOrder="1"/>
    </xf>
    <xf numFmtId="166" fontId="22" fillId="0" borderId="3" applyAlignment="1" pivotButton="0" quotePrefix="0" xfId="0">
      <alignment wrapText="1"/>
    </xf>
    <xf numFmtId="0" fontId="22" fillId="17" borderId="3" applyAlignment="1" pivotButton="0" quotePrefix="0" xfId="0">
      <alignment wrapText="1"/>
    </xf>
    <xf numFmtId="0" fontId="22" fillId="0" borderId="0" applyAlignment="1" pivotButton="0" quotePrefix="0" xfId="0">
      <alignment wrapText="1"/>
    </xf>
    <xf numFmtId="0" fontId="28" fillId="6" borderId="19" applyAlignment="1" pivotButton="0" quotePrefix="0" xfId="0">
      <alignment horizontal="center"/>
    </xf>
    <xf numFmtId="0" fontId="28" fillId="6" borderId="0" applyAlignment="1" pivotButton="0" quotePrefix="0" xfId="0">
      <alignment horizontal="center"/>
    </xf>
    <xf numFmtId="0" fontId="28" fillId="6" borderId="3" applyAlignment="1" pivotButton="0" quotePrefix="0" xfId="0">
      <alignment horizontal="center"/>
    </xf>
    <xf numFmtId="0" fontId="22" fillId="0" borderId="1" pivotButton="0" quotePrefix="0" xfId="0"/>
    <xf numFmtId="0" fontId="22" fillId="0" borderId="1" applyAlignment="1" pivotButton="0" quotePrefix="0" xfId="0">
      <alignment wrapText="1"/>
    </xf>
    <xf numFmtId="0" fontId="22" fillId="0" borderId="4" pivotButton="0" quotePrefix="0" xfId="0"/>
    <xf numFmtId="3" fontId="22" fillId="0" borderId="1" applyAlignment="1" pivotButton="0" quotePrefix="0" xfId="0">
      <alignment wrapText="1"/>
    </xf>
    <xf numFmtId="0" fontId="1" fillId="0" borderId="22" applyAlignment="1" pivotButton="0" quotePrefix="0" xfId="0">
      <alignment horizontal="center" vertical="center" textRotation="180"/>
    </xf>
    <xf numFmtId="0" fontId="1" fillId="0" borderId="24" applyAlignment="1" pivotButton="0" quotePrefix="0" xfId="0">
      <alignment horizontal="center" vertical="center" textRotation="180"/>
    </xf>
    <xf numFmtId="0" fontId="22" fillId="14" borderId="1" pivotButton="0" quotePrefix="0" xfId="0"/>
    <xf numFmtId="0" fontId="0" fillId="0" borderId="1" applyAlignment="1" pivotButton="0" quotePrefix="0" xfId="0">
      <alignment vertical="top" wrapText="1"/>
    </xf>
    <xf numFmtId="0" fontId="20" fillId="14" borderId="1" pivotButton="0" quotePrefix="0" xfId="0"/>
    <xf numFmtId="0" fontId="33" fillId="0" borderId="1" applyAlignment="1" pivotButton="0" quotePrefix="0" xfId="0">
      <alignment horizontal="left" vertical="center" readingOrder="1"/>
    </xf>
    <xf numFmtId="0" fontId="26" fillId="0" borderId="4" pivotButton="0" quotePrefix="0" xfId="0"/>
    <xf numFmtId="3" fontId="22" fillId="0" borderId="3" pivotButton="0" quotePrefix="0" xfId="0"/>
    <xf numFmtId="1" fontId="22" fillId="0" borderId="5" pivotButton="0" quotePrefix="0" xfId="0"/>
    <xf numFmtId="0" fontId="22" fillId="15" borderId="3" pivotButton="0" quotePrefix="0" xfId="0"/>
    <xf numFmtId="0" fontId="26" fillId="0" borderId="3" applyAlignment="1" pivotButton="0" quotePrefix="0" xfId="0">
      <alignment wrapText="1"/>
    </xf>
    <xf numFmtId="0" fontId="40" fillId="14" borderId="3" pivotButton="0" quotePrefix="0" xfId="0"/>
    <xf numFmtId="0" fontId="0" fillId="0" borderId="1" applyAlignment="1" pivotButton="0" quotePrefix="0" xfId="0">
      <alignment vertical="center" wrapText="1"/>
    </xf>
    <xf numFmtId="0" fontId="23" fillId="0" borderId="8" applyAlignment="1" pivotButton="0" quotePrefix="0" xfId="0">
      <alignment horizontal="center"/>
    </xf>
    <xf numFmtId="0" fontId="0" fillId="0" borderId="13" pivotButton="0" quotePrefix="0" xfId="0"/>
    <xf numFmtId="0" fontId="0" fillId="0" borderId="41" pivotButton="0" quotePrefix="0" xfId="0"/>
    <xf numFmtId="0" fontId="23" fillId="11" borderId="3" applyAlignment="1" pivotButton="0" quotePrefix="0" xfId="0">
      <alignment horizontal="center"/>
    </xf>
    <xf numFmtId="0" fontId="0" fillId="0" borderId="7" pivotButton="0" quotePrefix="0" xfId="0"/>
    <xf numFmtId="0" fontId="0" fillId="0" borderId="4" pivotButton="0" quotePrefix="0" xfId="0"/>
    <xf numFmtId="0" fontId="23" fillId="10" borderId="3" applyAlignment="1" pivotButton="0" quotePrefix="0" xfId="0">
      <alignment horizontal="center"/>
    </xf>
    <xf numFmtId="0" fontId="23" fillId="11" borderId="5" applyAlignment="1" pivotButton="0" quotePrefix="0" xfId="0">
      <alignment horizontal="center"/>
    </xf>
    <xf numFmtId="0" fontId="0" fillId="0" borderId="17" pivotButton="0" quotePrefix="0" xfId="0"/>
    <xf numFmtId="0" fontId="0" fillId="0" borderId="18" pivotButton="0" quotePrefix="0" xfId="0"/>
    <xf numFmtId="0" fontId="27" fillId="13" borderId="8" applyAlignment="1" pivotButton="0" quotePrefix="0" xfId="0">
      <alignment horizontal="center" wrapText="1"/>
    </xf>
    <xf numFmtId="0" fontId="23" fillId="12" borderId="3" applyAlignment="1" pivotButton="0" quotePrefix="0" xfId="0">
      <alignment horizontal="center"/>
    </xf>
    <xf numFmtId="0" fontId="24" fillId="0" borderId="0" applyAlignment="1" pivotButton="0" quotePrefix="0" xfId="0">
      <alignment horizontal="left" wrapText="1"/>
    </xf>
    <xf numFmtId="0" fontId="0" fillId="0" borderId="0" pivotButton="0" quotePrefix="0" xfId="0"/>
    <xf numFmtId="0" fontId="21" fillId="0" borderId="11" applyAlignment="1" pivotButton="0" quotePrefix="0" xfId="0">
      <alignment horizontal="center"/>
    </xf>
    <xf numFmtId="0" fontId="0" fillId="0" borderId="14" pivotButton="0" quotePrefix="0" xfId="0"/>
    <xf numFmtId="0" fontId="0" fillId="0" borderId="42" pivotButton="0" quotePrefix="0" xfId="0"/>
    <xf numFmtId="0" fontId="28" fillId="12" borderId="3" applyAlignment="1" pivotButton="0" quotePrefix="0" xfId="0">
      <alignment horizontal="center"/>
    </xf>
    <xf numFmtId="0" fontId="23" fillId="10" borderId="5" applyAlignment="1" pivotButton="0" quotePrefix="0" xfId="0">
      <alignment horizontal="center"/>
    </xf>
    <xf numFmtId="0" fontId="23" fillId="23" borderId="3" applyAlignment="1" pivotButton="0" quotePrefix="0" xfId="0">
      <alignment horizontal="center"/>
    </xf>
    <xf numFmtId="0" fontId="6" fillId="0" borderId="0" applyAlignment="1" pivotButton="0" quotePrefix="0" xfId="0">
      <alignment horizontal="right" vertical="center" indent="1" readingOrder="1"/>
    </xf>
    <xf numFmtId="0" fontId="7" fillId="0" borderId="0" pivotButton="0" quotePrefix="0" xfId="0"/>
    <xf numFmtId="0" fontId="6" fillId="0" borderId="0" applyAlignment="1" pivotButton="0" quotePrefix="0" xfId="0">
      <alignment horizontal="right" indent="1"/>
    </xf>
    <xf numFmtId="0" fontId="1" fillId="0" borderId="0" pivotButton="0" quotePrefix="0" xfId="0"/>
    <xf numFmtId="0" fontId="1" fillId="22" borderId="34" applyAlignment="1" pivotButton="0" quotePrefix="0" xfId="0">
      <alignment horizontal="center" vertical="center"/>
    </xf>
    <xf numFmtId="0" fontId="0" fillId="0" borderId="24" pivotButton="0" quotePrefix="0" xfId="0"/>
    <xf numFmtId="0" fontId="1" fillId="0" borderId="22" applyAlignment="1" pivotButton="0" quotePrefix="0" xfId="0">
      <alignment horizontal="center" vertical="center" textRotation="180"/>
    </xf>
    <xf numFmtId="0" fontId="1" fillId="22" borderId="33" applyAlignment="1" pivotButton="0" quotePrefix="0" xfId="0">
      <alignment horizontal="center" vertical="center"/>
    </xf>
    <xf numFmtId="0" fontId="0" fillId="0" borderId="35" pivotButton="0" quotePrefix="0" xfId="0"/>
    <xf numFmtId="0" fontId="1" fillId="22" borderId="3" applyAlignment="1" pivotButton="0" quotePrefix="0" xfId="0">
      <alignment horizontal="center" vertical="center"/>
    </xf>
    <xf numFmtId="0" fontId="0" fillId="0" borderId="5" pivotButton="0" quotePrefix="0" xfId="0"/>
    <xf numFmtId="0" fontId="34" fillId="0" borderId="0" pivotButton="0" quotePrefix="0" xfId="0"/>
    <xf numFmtId="0" fontId="1" fillId="27" borderId="19" applyAlignment="1" pivotButton="0" quotePrefix="0" xfId="0">
      <alignment horizontal="center" vertical="center"/>
    </xf>
    <xf numFmtId="0" fontId="0" fillId="0" borderId="40" pivotButton="0" quotePrefix="0" xfId="0"/>
    <xf numFmtId="0" fontId="1" fillId="25" borderId="33" applyAlignment="1" pivotButton="0" quotePrefix="0" xfId="0">
      <alignment horizontal="center" vertical="center"/>
    </xf>
    <xf numFmtId="0" fontId="1" fillId="0" borderId="25" applyAlignment="1" pivotButton="0" quotePrefix="0" xfId="0">
      <alignment vertical="center"/>
    </xf>
    <xf numFmtId="0" fontId="0" fillId="0" borderId="25" pivotButton="0" quotePrefix="0" xfId="0"/>
    <xf numFmtId="0" fontId="1" fillId="0" borderId="21" applyAlignment="1" pivotButton="0" quotePrefix="0" xfId="0">
      <alignment horizontal="center" vertical="center" textRotation="180"/>
    </xf>
    <xf numFmtId="0" fontId="0" fillId="0" borderId="23" pivotButton="0" quotePrefix="0" xfId="0"/>
    <xf numFmtId="0" fontId="1" fillId="27" borderId="3" applyAlignment="1" pivotButton="0" quotePrefix="0" xfId="0">
      <alignment horizontal="center" vertical="center"/>
    </xf>
    <xf numFmtId="0" fontId="1" fillId="24" borderId="3" applyAlignment="1" pivotButton="0" quotePrefix="0" xfId="0">
      <alignment horizontal="center" vertical="center"/>
    </xf>
    <xf numFmtId="0" fontId="1" fillId="22" borderId="19"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style="231" min="1" max="1"/>
    <col width="12" bestFit="1" customWidth="1" style="231" min="2" max="2"/>
    <col width="11.44140625" bestFit="1" customWidth="1" style="231" min="3" max="4"/>
    <col width="12.6640625" bestFit="1" customWidth="1" style="231" min="5" max="5"/>
    <col width="11.33203125" customWidth="1" style="231" min="6" max="6"/>
    <col width="16" bestFit="1" customWidth="1" style="231" min="7" max="7"/>
    <col width="12" bestFit="1" customWidth="1" style="231" min="8" max="8"/>
    <col width="10.5546875" customWidth="1" style="231" min="9" max="9"/>
    <col width="16" bestFit="1" customWidth="1" style="231" min="10" max="10"/>
    <col width="11" bestFit="1" customWidth="1" style="231"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style="231" min="1" max="1"/>
    <col width="75.109375" bestFit="1" customWidth="1" style="231" min="2" max="2"/>
    <col width="21.44140625" bestFit="1" customWidth="1" style="231" min="4" max="4"/>
    <col width="25.109375" bestFit="1" customWidth="1" style="231" min="5" max="5"/>
    <col width="10.44140625" bestFit="1" customWidth="1" style="231" min="7" max="7"/>
  </cols>
  <sheetData>
    <row r="1" ht="15.6" customHeight="1" s="231">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D3" sqref="D3"/>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7"/>
    <col width="9.109375" customWidth="1" style="5" min="8" max="16384"/>
  </cols>
  <sheetData>
    <row r="1" ht="17.4" customFormat="1" customHeight="1" s="239">
      <c r="A1" s="238" t="inlineStr">
        <is>
          <t>Customer (SFDC #)</t>
        </is>
      </c>
      <c r="D1" s="22" t="inlineStr">
        <is>
          <t>(PMO input)</t>
        </is>
      </c>
      <c r="E1" s="20" t="n"/>
    </row>
    <row r="2" ht="17.4" customFormat="1" customHeight="1" s="239">
      <c r="A2" s="238" t="n"/>
      <c r="B2" s="238" t="n"/>
      <c r="C2" s="238" t="inlineStr">
        <is>
          <t>File Name</t>
        </is>
      </c>
      <c r="D2" s="22" t="n"/>
      <c r="E2" s="20" t="n"/>
    </row>
    <row r="3" ht="17.4" customFormat="1" customHeight="1" s="239">
      <c r="A3" s="238" t="inlineStr">
        <is>
          <t>Solution Description</t>
        </is>
      </c>
      <c r="D3" s="23" t="inlineStr">
        <is>
          <t>POD5 - IREN -VR72 50MW SweetWater Design</t>
        </is>
      </c>
      <c r="E3" s="20" t="n"/>
    </row>
    <row r="4" ht="17.4" customFormat="1" customHeight="1" s="239">
      <c r="A4" s="238" t="n"/>
      <c r="B4" s="238" t="n"/>
      <c r="C4" s="238" t="inlineStr">
        <is>
          <t>GOAL ID</t>
        </is>
      </c>
      <c r="D4" s="22" t="inlineStr">
        <is>
          <t>(Sales input)</t>
        </is>
      </c>
      <c r="E4" s="20" t="n"/>
    </row>
    <row r="5" ht="17.4" customFormat="1" customHeight="1" s="239">
      <c r="A5" s="240" t="inlineStr">
        <is>
          <t>AI Design Team</t>
        </is>
      </c>
      <c r="D5" s="21" t="n"/>
      <c r="E5" s="20" t="n"/>
    </row>
    <row r="6" ht="17.4" customFormat="1" customHeight="1" s="239">
      <c r="A6" s="240" t="n"/>
      <c r="B6" s="240" t="n"/>
      <c r="C6" s="240" t="inlineStr">
        <is>
          <t>PMO Team</t>
        </is>
      </c>
      <c r="D6" s="21" t="n"/>
      <c r="E6" s="20" t="n"/>
    </row>
    <row r="7" ht="17.4" customFormat="1" customHeight="1" s="239">
      <c r="A7" s="240" t="n"/>
      <c r="B7" s="240" t="n"/>
      <c r="C7" s="240" t="inlineStr">
        <is>
          <t>AE/TSR Team</t>
        </is>
      </c>
      <c r="D7" s="21" t="n"/>
      <c r="E7" s="20" t="n"/>
    </row>
    <row r="8" ht="17.4" customFormat="1" customHeight="1" s="239">
      <c r="A8" s="240" t="n"/>
      <c r="B8" s="240" t="n"/>
      <c r="C8" s="240" t="inlineStr">
        <is>
          <t>RCI/CDG Team</t>
        </is>
      </c>
      <c r="D8" s="21" t="n"/>
      <c r="E8" s="20" t="n"/>
    </row>
    <row r="9" ht="17.4" customFormat="1" customHeight="1" s="239">
      <c r="A9" s="240" t="n"/>
      <c r="B9" s="240" t="n"/>
      <c r="C9" s="240" t="inlineStr">
        <is>
          <t>Services Team</t>
        </is>
      </c>
      <c r="D9" s="21" t="n"/>
      <c r="E9" s="20" t="n"/>
    </row>
    <row r="10" ht="17.4" customFormat="1" customHeight="1" s="239">
      <c r="A10" s="240" t="n"/>
      <c r="B10" s="240" t="n"/>
      <c r="C10" s="240" t="n"/>
      <c r="D10" s="21" t="n"/>
      <c r="E10" s="20" t="n"/>
    </row>
    <row r="11" ht="15.75" customHeight="1" s="231">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c r="C13" s="14" t="n"/>
      <c r="D13" s="7" t="n"/>
      <c r="E13" s="7" t="n"/>
      <c r="F13" s="13" t="n"/>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7.4" customHeight="1" s="231">
      <c r="A21" s="9" t="n"/>
      <c r="B21" s="16" t="inlineStr">
        <is>
          <t>Partner Design Deviation Approval (if needed)</t>
        </is>
      </c>
    </row>
    <row r="22" ht="15.75" customHeight="1" s="231">
      <c r="A22" s="9" t="n"/>
      <c r="B22" s="9" t="n"/>
      <c r="C22" s="6" t="inlineStr">
        <is>
          <t>Date</t>
        </is>
      </c>
      <c r="D22" s="6" t="inlineStr">
        <is>
          <t>Partner Approver</t>
        </is>
      </c>
      <c r="E22" s="6" t="inlineStr">
        <is>
          <t>Dell Approver</t>
        </is>
      </c>
      <c r="F22" s="17" t="inlineStr">
        <is>
          <t>Description of Approval</t>
        </is>
      </c>
    </row>
    <row r="23" ht="15" customHeight="1" s="231">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A1:U213"/>
  <sheetViews>
    <sheetView tabSelected="1" topLeftCell="A35" zoomScaleNormal="100" workbookViewId="0">
      <selection activeCell="E50" sqref="E50"/>
    </sheetView>
  </sheetViews>
  <sheetFormatPr baseColWidth="8" defaultRowHeight="14.4"/>
  <cols>
    <col width="54.109375" bestFit="1" customWidth="1" style="231" min="1" max="1"/>
    <col width="9.44140625" bestFit="1" customWidth="1" style="231" min="4" max="4"/>
    <col width="41.44140625" bestFit="1" customWidth="1" style="231" min="5" max="5"/>
    <col width="95.88671875" customWidth="1" style="231" min="6" max="6"/>
    <col width="91.88671875" customWidth="1" style="231" min="7" max="7"/>
    <col width="15" customWidth="1" style="231" min="11" max="11"/>
  </cols>
  <sheetData>
    <row r="1" customFormat="1" s="25">
      <c r="A1" s="46" t="inlineStr">
        <is>
          <t>Item</t>
        </is>
      </c>
      <c r="B1" s="46" t="inlineStr">
        <is>
          <t>Count</t>
        </is>
      </c>
      <c r="C1" s="46" t="inlineStr">
        <is>
          <t>Spares</t>
        </is>
      </c>
      <c r="D1" s="47" t="inlineStr">
        <is>
          <t>Sub-Total</t>
        </is>
      </c>
      <c r="E1" s="46" t="inlineStr">
        <is>
          <t>Model/PN</t>
        </is>
      </c>
      <c r="F1" s="46" t="inlineStr">
        <is>
          <t>Description</t>
        </is>
      </c>
      <c r="G1" s="48" t="inlineStr">
        <is>
          <t>Notes</t>
        </is>
      </c>
      <c r="H1" s="24" t="n"/>
      <c r="I1" s="24" t="n"/>
      <c r="J1" s="24" t="n"/>
      <c r="K1" s="24" t="n"/>
      <c r="L1" s="24" t="n"/>
      <c r="M1" s="24" t="n"/>
      <c r="N1" s="24" t="n"/>
      <c r="O1" s="24" t="n"/>
    </row>
    <row r="2">
      <c r="A2" s="224" t="inlineStr">
        <is>
          <t>E-W Switches</t>
        </is>
      </c>
      <c r="B2" s="222" t="n"/>
      <c r="C2" s="222" t="n"/>
      <c r="D2" s="222" t="n"/>
      <c r="E2" s="222" t="n"/>
      <c r="F2" s="222" t="n"/>
      <c r="G2" s="223" t="n"/>
    </row>
    <row r="3" customFormat="1" s="25">
      <c r="A3" s="46" t="inlineStr">
        <is>
          <t>Item</t>
        </is>
      </c>
      <c r="B3" s="46" t="inlineStr">
        <is>
          <t>Count</t>
        </is>
      </c>
      <c r="C3" s="46" t="inlineStr">
        <is>
          <t>Spares</t>
        </is>
      </c>
      <c r="D3" s="47" t="inlineStr">
        <is>
          <t>Sub-Total</t>
        </is>
      </c>
      <c r="E3" s="46" t="inlineStr">
        <is>
          <t>Model/PN</t>
        </is>
      </c>
      <c r="F3" s="46" t="inlineStr">
        <is>
          <t>Description</t>
        </is>
      </c>
      <c r="G3" s="48" t="inlineStr">
        <is>
          <t>Notes</t>
        </is>
      </c>
      <c r="H3" s="24" t="n"/>
      <c r="I3" s="24" t="n"/>
      <c r="J3" s="24" t="n"/>
      <c r="K3" s="24" t="n"/>
      <c r="L3" s="24" t="n"/>
      <c r="M3" s="24" t="n"/>
      <c r="N3" s="24" t="n"/>
      <c r="O3" s="24" t="n"/>
    </row>
    <row r="4" ht="28.95" customFormat="1" customHeight="1" s="105">
      <c r="A4" s="207" t="inlineStr">
        <is>
          <t xml:space="preserve">E-W Leaf </t>
        </is>
      </c>
      <c r="B4" s="207" t="n">
        <v>480</v>
      </c>
      <c r="C4" s="207" t="n">
        <v>0</v>
      </c>
      <c r="D4" s="207">
        <f>SUM(B4:C4)</f>
        <v/>
      </c>
      <c r="E4" s="217" t="inlineStr">
        <is>
          <t>920-9N62F-00LI-GC0</t>
        </is>
      </c>
      <c r="F4" s="208" t="inlineStr">
        <is>
          <t>NVIDIA Spectrum-6 based 800GbE Ethernet switch with Cumulus Linux Authentication, 64 OSFP, 1 QSFP112, 48VDC Busbar, 8-Cores CPU, Secure-boot, Liquid-Cooling, Rail-Kit.D39</t>
        </is>
      </c>
      <c r="G4" s="211" t="n"/>
    </row>
    <row r="5" ht="28.95" customFormat="1" customHeight="1" s="105">
      <c r="A5" s="207" t="inlineStr">
        <is>
          <t>E-W Spine</t>
        </is>
      </c>
      <c r="B5" s="207" t="n">
        <v>0</v>
      </c>
      <c r="C5" s="207" t="n">
        <v>0</v>
      </c>
      <c r="D5" s="207">
        <f>SUM(B5:C5)</f>
        <v/>
      </c>
      <c r="E5" s="217" t="inlineStr">
        <is>
          <t>920-9N62F-00LI-GC0</t>
        </is>
      </c>
      <c r="F5" s="208" t="inlineStr">
        <is>
          <t>NVIDIA Spectrum-6 based 800GbE Ethernet switch with Cumulus Linux Authentication, 64 OSFP, 1 QSFP112, 48VDC Busbar, 8-Cores CPU, Secure-boot, Liquid-Cooling, Rail-Kit.D39</t>
        </is>
      </c>
      <c r="G5" s="211" t="n"/>
    </row>
    <row r="6" customFormat="1" s="27">
      <c r="A6" s="80" t="inlineStr">
        <is>
          <t>E-W Core</t>
        </is>
      </c>
      <c r="B6" s="80" t="n">
        <v>0</v>
      </c>
      <c r="C6" s="80" t="n">
        <v>0</v>
      </c>
      <c r="D6" s="80">
        <f>SUM(B6:C6)</f>
        <v/>
      </c>
      <c r="E6" s="209" t="n"/>
      <c r="F6" s="210" t="inlineStr"/>
      <c r="G6" s="50" t="n"/>
      <c r="H6" s="26" t="n"/>
      <c r="I6" s="26" t="n"/>
      <c r="J6" s="26" t="n"/>
      <c r="K6" s="26" t="n"/>
      <c r="L6" s="26" t="n"/>
      <c r="M6" s="26" t="n"/>
      <c r="N6" s="26" t="n"/>
      <c r="O6" s="26" t="n"/>
    </row>
    <row r="7"/>
    <row r="8" customFormat="1" s="27">
      <c r="A8" s="52" t="n"/>
      <c r="B8" s="52" t="n"/>
      <c r="C8" s="52" t="n"/>
      <c r="D8" s="52" t="n"/>
      <c r="E8" s="45" t="n"/>
      <c r="F8" s="52" t="n"/>
      <c r="G8" s="52" t="n"/>
      <c r="H8" s="26" t="n"/>
      <c r="I8" s="26" t="n"/>
      <c r="J8" s="26" t="n"/>
      <c r="K8" s="26" t="n"/>
      <c r="L8" s="26" t="n"/>
      <c r="M8" s="26" t="n"/>
      <c r="N8" s="26" t="n"/>
      <c r="O8" s="26" t="n"/>
    </row>
    <row r="9" customFormat="1" s="27">
      <c r="A9" s="224" t="inlineStr">
        <is>
          <t>N-S Switches</t>
        </is>
      </c>
      <c r="B9" s="222" t="n"/>
      <c r="C9" s="222" t="n"/>
      <c r="D9" s="222" t="n"/>
      <c r="E9" s="222" t="n"/>
      <c r="F9" s="222" t="n"/>
      <c r="G9" s="223" t="n"/>
      <c r="H9" s="26" t="n"/>
      <c r="I9" s="26" t="n"/>
      <c r="J9" s="26" t="n"/>
      <c r="K9" s="26" t="n"/>
      <c r="L9" s="26" t="n"/>
      <c r="M9" s="26" t="n"/>
      <c r="N9" s="26" t="n"/>
      <c r="O9" s="26" t="n"/>
    </row>
    <row r="10" customFormat="1" s="27">
      <c r="A10" s="46" t="inlineStr">
        <is>
          <t>Item</t>
        </is>
      </c>
      <c r="B10" s="46" t="inlineStr">
        <is>
          <t>Count</t>
        </is>
      </c>
      <c r="C10" s="46" t="inlineStr">
        <is>
          <t>Spares</t>
        </is>
      </c>
      <c r="D10" s="53" t="inlineStr">
        <is>
          <t>Sub-Total</t>
        </is>
      </c>
      <c r="E10" s="46" t="inlineStr">
        <is>
          <t>Model/PN</t>
        </is>
      </c>
      <c r="F10" s="46" t="inlineStr">
        <is>
          <t>Description</t>
        </is>
      </c>
      <c r="G10" s="48" t="inlineStr">
        <is>
          <t>Notes</t>
        </is>
      </c>
      <c r="H10" s="26" t="n"/>
      <c r="I10" s="26" t="n"/>
      <c r="J10" s="26" t="n"/>
      <c r="K10" s="26" t="n"/>
      <c r="L10" s="26" t="n"/>
      <c r="M10" s="26" t="n"/>
      <c r="N10" s="26" t="n"/>
      <c r="O10" s="26" t="n"/>
    </row>
    <row r="11" customFormat="1" s="27">
      <c r="A11" s="54" t="inlineStr">
        <is>
          <t>N-S Leaf (TAN)</t>
        </is>
      </c>
      <c r="B11" s="54" t="n">
        <v>120</v>
      </c>
      <c r="C11" s="54" t="n">
        <v>0</v>
      </c>
      <c r="D11" s="54">
        <f>B11+C11</f>
        <v/>
      </c>
      <c r="E11" s="91" t="inlineStr">
        <is>
          <t>920-9N42F-00RI-KC0</t>
        </is>
      </c>
      <c r="F11" s="91" t="inlineStr">
        <is>
          <t>NVDA SN5600D,OSFP,DCBB,64P,C2P(I/P),CMLS</t>
        </is>
      </c>
      <c r="G11" s="50" t="n"/>
      <c r="H11" s="26" t="n"/>
      <c r="I11" s="26" t="n"/>
      <c r="J11" s="26" t="n"/>
      <c r="K11" s="26" t="n"/>
      <c r="L11" s="26" t="n"/>
      <c r="M11" s="26" t="n"/>
      <c r="N11" s="26" t="n"/>
      <c r="O11" s="26" t="n"/>
    </row>
    <row r="12" customFormat="1" s="27">
      <c r="A12" s="54" t="inlineStr">
        <is>
          <t>N-S Spine</t>
        </is>
      </c>
      <c r="B12" s="54" t="n">
        <v>60</v>
      </c>
      <c r="C12" s="54" t="n">
        <v>0</v>
      </c>
      <c r="D12" s="54">
        <f>B12+C12</f>
        <v/>
      </c>
      <c r="E12" s="91" t="inlineStr">
        <is>
          <t>920-9N42F-00RI-KC0</t>
        </is>
      </c>
      <c r="F12" s="91" t="inlineStr">
        <is>
          <t>NVDA SN5600D,OSFP,DCBB,64P,C2P(I/P),CMLS</t>
        </is>
      </c>
      <c r="G12" s="50" t="n"/>
      <c r="H12" s="26" t="n"/>
      <c r="I12" s="26" t="inlineStr"/>
      <c r="J12" s="26" t="n"/>
      <c r="K12" s="26" t="inlineStr"/>
      <c r="L12" s="26" t="n"/>
      <c r="M12" s="26" t="n"/>
      <c r="N12" s="26" t="n"/>
      <c r="O12" s="26" t="n"/>
      <c r="S12" s="26" t="n"/>
    </row>
    <row r="13" customFormat="1" s="27">
      <c r="A13" s="51" t="inlineStr">
        <is>
          <t>Storage Leaf</t>
        </is>
      </c>
      <c r="B13" s="54" t="n">
        <v>0</v>
      </c>
      <c r="C13" s="54" t="n">
        <v>0</v>
      </c>
      <c r="D13" s="54">
        <f>B13+C13</f>
        <v/>
      </c>
      <c r="E13" s="91" t="inlineStr">
        <is>
          <t>920-9N42F-00RI-KC0</t>
        </is>
      </c>
      <c r="F13" s="91" t="inlineStr">
        <is>
          <t>NVDA SN5600D,OSFP,DCBB,64P,C2P(I/P),CMLS</t>
        </is>
      </c>
      <c r="G13" s="50" t="n"/>
      <c r="H13" s="26" t="n"/>
      <c r="I13" s="26" t="n"/>
      <c r="J13" s="26" t="n"/>
      <c r="K13" s="26" t="n"/>
      <c r="L13" s="26" t="n"/>
      <c r="M13" s="26" t="n"/>
      <c r="N13" s="26" t="n"/>
      <c r="O13" s="26" t="n"/>
      <c r="S13" s="26" t="n"/>
    </row>
    <row r="14" customFormat="1" s="27">
      <c r="A14" s="51" t="inlineStr">
        <is>
          <t>storage Spine</t>
        </is>
      </c>
      <c r="B14" s="54" t="n">
        <v>0</v>
      </c>
      <c r="C14" s="54" t="n">
        <v>0</v>
      </c>
      <c r="D14" s="54">
        <f>B14+C14</f>
        <v/>
      </c>
      <c r="E14" s="91" t="inlineStr">
        <is>
          <t>920-9N42F-00RI-KC0</t>
        </is>
      </c>
      <c r="F14" s="91" t="inlineStr">
        <is>
          <t>NVDA SN5600D,OSFP,DCBB,64P,C2P(I/P),CMLS</t>
        </is>
      </c>
      <c r="G14" s="50" t="n"/>
      <c r="H14" s="26" t="n"/>
      <c r="I14" s="26" t="n"/>
      <c r="J14" s="26" t="n"/>
      <c r="K14" s="26" t="n"/>
      <c r="L14" s="26" t="n"/>
      <c r="M14" s="26" t="n"/>
      <c r="N14" s="26" t="n"/>
      <c r="O14" s="26" t="n"/>
      <c r="S14" s="26" t="n"/>
    </row>
    <row r="15" customFormat="1" s="27">
      <c r="A15" s="54" t="inlineStr">
        <is>
          <t>Control Leaf</t>
        </is>
      </c>
      <c r="B15" s="54" t="n">
        <v>30</v>
      </c>
      <c r="C15" s="54" t="n">
        <v>0</v>
      </c>
      <c r="D15" s="54">
        <f>B15+C15</f>
        <v/>
      </c>
      <c r="E15" s="91" t="inlineStr">
        <is>
          <t>920-9N42F-00RI-KC0</t>
        </is>
      </c>
      <c r="F15" s="91" t="inlineStr">
        <is>
          <t>NVDA SN5600D,OSFP,DCBB,64P,C2P(I/P),CMLS</t>
        </is>
      </c>
      <c r="G15" s="50" t="n"/>
      <c r="H15" s="26" t="n"/>
      <c r="I15" s="26" t="n"/>
      <c r="J15" s="26" t="n"/>
      <c r="K15" s="26" t="n"/>
      <c r="L15" s="26" t="n"/>
      <c r="M15" s="26" t="n"/>
      <c r="N15" s="26" t="n"/>
      <c r="O15" s="26" t="n"/>
      <c r="S15" s="26" t="n"/>
    </row>
    <row r="16" customFormat="1" s="27">
      <c r="A16" s="54" t="inlineStr">
        <is>
          <t>Control Spine</t>
        </is>
      </c>
      <c r="B16" s="54" t="n">
        <v>4</v>
      </c>
      <c r="C16" s="54" t="n">
        <v>0</v>
      </c>
      <c r="D16" s="54">
        <f>B16+C16</f>
        <v/>
      </c>
      <c r="E16" s="91" t="inlineStr">
        <is>
          <t>920-9N42F-00RI-KC0</t>
        </is>
      </c>
      <c r="F16" s="91" t="inlineStr">
        <is>
          <t>NVDA SN5600D,OSFP,DCBB,64P,C2P(I/P),CMLS</t>
        </is>
      </c>
      <c r="G16" s="50" t="n"/>
      <c r="H16" s="26" t="n"/>
      <c r="I16" s="26" t="n"/>
      <c r="J16" s="26" t="n"/>
      <c r="K16" s="26" t="n"/>
      <c r="L16" s="26" t="n"/>
      <c r="M16" s="26" t="n"/>
      <c r="N16" s="26" t="n"/>
      <c r="O16" s="26" t="n"/>
      <c r="S16" s="26" t="n"/>
    </row>
    <row r="17" customFormat="1" s="27">
      <c r="A17" s="54" t="inlineStr">
        <is>
          <t>N-S Core</t>
        </is>
      </c>
      <c r="B17" s="54" t="n">
        <v>0</v>
      </c>
      <c r="C17" s="54" t="n">
        <v>0</v>
      </c>
      <c r="D17" s="54">
        <f>B17+C17</f>
        <v/>
      </c>
      <c r="E17" s="91" t="inlineStr">
        <is>
          <t>920-9N42F-00RI-KC0</t>
        </is>
      </c>
      <c r="F17" s="91" t="inlineStr">
        <is>
          <t>NVDA SN5600D,OSFP,DCBB,64P,C2P(I/P),CMLS</t>
        </is>
      </c>
      <c r="G17" s="50" t="n"/>
      <c r="H17" s="26" t="n"/>
      <c r="I17" s="26" t="n"/>
      <c r="J17" s="26" t="n"/>
      <c r="K17" s="26" t="n"/>
      <c r="L17" s="26" t="n"/>
      <c r="M17" s="26" t="n"/>
      <c r="N17" s="26" t="n"/>
      <c r="O17" s="26" t="n"/>
      <c r="S17" s="26" t="n"/>
    </row>
    <row r="18" customFormat="1" s="27">
      <c r="A18" s="54" t="inlineStr">
        <is>
          <t xml:space="preserve">CMX Leaf </t>
        </is>
      </c>
      <c r="B18" s="54" t="n">
        <v>60</v>
      </c>
      <c r="C18" s="54" t="n">
        <v>0</v>
      </c>
      <c r="D18" s="54">
        <f>B18+C18</f>
        <v/>
      </c>
      <c r="E18" s="91" t="inlineStr">
        <is>
          <t>920-9N42F-00RI-KC0</t>
        </is>
      </c>
      <c r="F18" s="91" t="inlineStr">
        <is>
          <t>NVDA SN5600D,OSFP,DCBB,64P,C2P(I/P),CMLS</t>
        </is>
      </c>
      <c r="G18" s="50" t="n"/>
      <c r="H18" s="26" t="n"/>
      <c r="I18" s="26" t="n"/>
      <c r="J18" s="26" t="n"/>
      <c r="K18" s="26" t="n"/>
      <c r="L18" s="26" t="n"/>
      <c r="M18" s="26" t="n"/>
      <c r="N18" s="26" t="n"/>
      <c r="O18" s="26" t="n"/>
      <c r="S18" s="26" t="n"/>
    </row>
    <row r="19" customFormat="1" s="27">
      <c r="A19" s="54" t="inlineStr">
        <is>
          <t>IREN Control Leaf</t>
        </is>
      </c>
      <c r="B19" s="54" t="n">
        <v>0</v>
      </c>
      <c r="C19" s="54" t="n">
        <v>0</v>
      </c>
      <c r="D19" s="54">
        <f>B19+C19</f>
        <v/>
      </c>
      <c r="E19" s="91" t="inlineStr">
        <is>
          <t>920-9N42F-00RI-KC0</t>
        </is>
      </c>
      <c r="F19" s="91" t="inlineStr">
        <is>
          <t>NVDA SN5600D,OSFP,DCBB,64P,C2P(I/P),CMLS</t>
        </is>
      </c>
      <c r="G19" s="50" t="n"/>
      <c r="H19" s="26" t="n"/>
      <c r="I19" s="26" t="n"/>
      <c r="J19" s="26" t="n"/>
      <c r="K19" s="26" t="n"/>
      <c r="L19" s="26" t="n"/>
      <c r="M19" s="26" t="n"/>
      <c r="N19" s="26" t="n"/>
      <c r="O19" s="26" t="n"/>
      <c r="S19" s="26" t="n"/>
    </row>
    <row r="20" customFormat="1" s="26">
      <c r="A20" s="236" t="inlineStr">
        <is>
          <t>OOB Switches</t>
        </is>
      </c>
      <c r="B20" s="226" t="n"/>
      <c r="C20" s="226" t="n"/>
      <c r="D20" s="226" t="n"/>
      <c r="E20" s="226" t="n"/>
      <c r="F20" s="226" t="n"/>
      <c r="G20" s="227" t="n"/>
      <c r="P20" s="27" t="n"/>
      <c r="Q20" s="27" t="n"/>
      <c r="R20" s="27" t="n"/>
      <c r="S20" s="27" t="n"/>
    </row>
    <row r="21" customFormat="1" s="26">
      <c r="A21" s="48" t="inlineStr">
        <is>
          <t>Item</t>
        </is>
      </c>
      <c r="B21" s="48" t="inlineStr">
        <is>
          <t>Count</t>
        </is>
      </c>
      <c r="C21" s="48" t="inlineStr">
        <is>
          <t>Spares</t>
        </is>
      </c>
      <c r="D21" s="56" t="inlineStr">
        <is>
          <t>Sub-Total</t>
        </is>
      </c>
      <c r="E21" s="48" t="inlineStr">
        <is>
          <t>Model/PN</t>
        </is>
      </c>
      <c r="F21" s="48" t="inlineStr">
        <is>
          <t>Description</t>
        </is>
      </c>
      <c r="G21" s="48" t="inlineStr">
        <is>
          <t>Notes</t>
        </is>
      </c>
      <c r="P21" s="27" t="n"/>
      <c r="Q21" s="27" t="n"/>
      <c r="R21" s="27" t="n"/>
      <c r="S21" s="27" t="n"/>
    </row>
    <row r="22" customFormat="1" s="27">
      <c r="A22" s="54" t="inlineStr">
        <is>
          <t>OOB ToR NW</t>
        </is>
      </c>
      <c r="B22" s="54" t="n">
        <v>75</v>
      </c>
      <c r="C22" s="54" t="n">
        <v>0</v>
      </c>
      <c r="D22" s="54">
        <f>B22</f>
        <v/>
      </c>
      <c r="E22" s="181" t="inlineStr">
        <is>
          <t>920-9N110-01R1-NC0 (DPN: J2MV9)</t>
        </is>
      </c>
      <c r="F22" s="182" t="inlineStr">
        <is>
          <t>SN2201 48x1G + 4x100G, DC Busbar Air Cooled</t>
        </is>
      </c>
      <c r="G22" s="77" t="inlineStr">
        <is>
          <t xml:space="preserve">Does not include ToR for storage/GPU racks. / optics/cables </t>
        </is>
      </c>
    </row>
    <row r="23" customFormat="1" s="27">
      <c r="A23" s="54" t="inlineStr">
        <is>
          <t>OOB Aggregator</t>
        </is>
      </c>
      <c r="B23" s="54" t="n">
        <v>6</v>
      </c>
      <c r="C23" s="54" t="n">
        <v>0</v>
      </c>
      <c r="D23" s="54">
        <f>B23</f>
        <v/>
      </c>
      <c r="E23" s="183" t="inlineStr">
        <is>
          <t>920-9N42F-00RI-KC0</t>
        </is>
      </c>
      <c r="F23" s="183" t="inlineStr">
        <is>
          <t>NVDA SN5600D,OSFP,DCBB,64P,C2P(I/P),CMLS</t>
        </is>
      </c>
      <c r="G23" s="92" t="inlineStr">
        <is>
          <t xml:space="preserve"> 32 × QSFP‑DD 400 GbE ports</t>
        </is>
      </c>
    </row>
    <row r="24" customFormat="1" s="27">
      <c r="A24" s="54" t="inlineStr">
        <is>
          <t>Core Switches</t>
        </is>
      </c>
      <c r="B24" s="54" t="n">
        <v>0</v>
      </c>
      <c r="C24" s="54" t="n">
        <v>0</v>
      </c>
      <c r="D24" s="54">
        <f>B24</f>
        <v/>
      </c>
      <c r="E24" s="183" t="inlineStr">
        <is>
          <t>920-9N42F-00RI-KC0</t>
        </is>
      </c>
      <c r="F24" s="183" t="inlineStr">
        <is>
          <t>NVDA SN5600D,OSFP,DCBB,64P,C2P(I/P),CMLS</t>
        </is>
      </c>
      <c r="G24" s="92" t="inlineStr">
        <is>
          <t xml:space="preserve"> 32 × QSFP‑DD 400 GbE ports</t>
        </is>
      </c>
    </row>
    <row r="25" customFormat="1" s="27">
      <c r="A25" s="184" t="inlineStr">
        <is>
          <t>OOB BorderLeaf</t>
        </is>
      </c>
      <c r="B25" s="54" t="n">
        <v>0</v>
      </c>
      <c r="C25" s="54" t="n">
        <v>0</v>
      </c>
      <c r="D25" s="54">
        <f>B25</f>
        <v/>
      </c>
      <c r="E25" s="185" t="inlineStr">
        <is>
          <t>IREN WILL PROVIDE</t>
        </is>
      </c>
      <c r="F25" s="183" t="n"/>
      <c r="G25" s="50" t="n"/>
    </row>
    <row r="26" ht="13.95" customFormat="1" customHeight="1" s="28">
      <c r="A26" s="54" t="inlineStr"/>
      <c r="B26" s="59" t="n">
        <v>0</v>
      </c>
      <c r="C26" s="59" t="n">
        <v>0</v>
      </c>
      <c r="D26" s="54">
        <f>B26</f>
        <v/>
      </c>
      <c r="E26" s="128" t="inlineStr"/>
      <c r="F26" s="127" t="inlineStr"/>
      <c r="G26" s="52" t="n"/>
      <c r="S26" s="27" t="n"/>
    </row>
    <row r="27" ht="13.95" customFormat="1" customHeight="1" s="28">
      <c r="A27" s="54" t="n"/>
      <c r="B27" s="59" t="n"/>
      <c r="C27" s="59" t="n"/>
      <c r="D27" s="54" t="n"/>
      <c r="E27" s="54" t="n"/>
      <c r="F27" s="93" t="inlineStr"/>
      <c r="G27" s="52" t="n"/>
      <c r="S27" s="27" t="n"/>
    </row>
    <row r="28" ht="13.95" customFormat="1" customHeight="1" s="28">
      <c r="A28" s="229" t="inlineStr">
        <is>
          <t>Racks, PDUs and CDUs</t>
        </is>
      </c>
      <c r="B28" s="222" t="n"/>
      <c r="C28" s="222" t="n"/>
      <c r="D28" s="222" t="n"/>
      <c r="E28" s="222" t="n"/>
      <c r="F28" s="222" t="n"/>
      <c r="G28" s="223" t="n"/>
      <c r="S28" s="27" t="n"/>
    </row>
    <row r="29" ht="13.95" customFormat="1" customHeight="1" s="28">
      <c r="A29" s="48" t="inlineStr">
        <is>
          <t>Item</t>
        </is>
      </c>
      <c r="B29" s="48" t="inlineStr">
        <is>
          <t>Count</t>
        </is>
      </c>
      <c r="C29" s="48" t="inlineStr">
        <is>
          <t>Spares</t>
        </is>
      </c>
      <c r="D29" s="53" t="inlineStr">
        <is>
          <t>Sub-Total</t>
        </is>
      </c>
      <c r="E29" s="48" t="inlineStr">
        <is>
          <t>Model/PN</t>
        </is>
      </c>
      <c r="F29" s="48" t="inlineStr">
        <is>
          <t>Description</t>
        </is>
      </c>
      <c r="G29" s="48" t="inlineStr">
        <is>
          <t>Notes</t>
        </is>
      </c>
      <c r="S29" s="27" t="n"/>
    </row>
    <row r="30" customFormat="1" s="27">
      <c r="A30" s="51" t="inlineStr">
        <is>
          <t>GPU Racks</t>
        </is>
      </c>
      <c r="B30" s="51" t="n">
        <v>210</v>
      </c>
      <c r="C30" s="51" t="n">
        <v>0</v>
      </c>
      <c r="D30" s="51">
        <f>SUM(B30:C30)</f>
        <v/>
      </c>
      <c r="E30" s="87" t="inlineStr">
        <is>
          <t>[GPU RACK] VR72</t>
        </is>
      </c>
      <c r="F30" s="194" t="inlineStr">
        <is>
          <t xml:space="preserve"> VR72 GPU Racks</t>
        </is>
      </c>
      <c r="G30" s="58" t="n"/>
      <c r="H30" s="26" t="n"/>
      <c r="I30" s="26" t="n"/>
      <c r="J30" s="26" t="n"/>
      <c r="K30" s="26" t="n"/>
      <c r="L30" s="26" t="n"/>
      <c r="M30" s="26" t="n"/>
      <c r="N30" s="26" t="n"/>
      <c r="O30" s="26" t="n"/>
    </row>
    <row r="31" ht="13.95" customFormat="1" customHeight="1" s="141">
      <c r="A31" s="57" t="inlineStr">
        <is>
          <t>T1 E-W NtwkRack</t>
        </is>
      </c>
      <c r="B31" s="57">
        <f>B4/8</f>
        <v/>
      </c>
      <c r="C31" s="57" t="n">
        <v>0</v>
      </c>
      <c r="D31" s="51">
        <f>SUM(B31:C31)</f>
        <v/>
      </c>
      <c r="E31" s="58" t="inlineStr">
        <is>
          <t>IR9148</t>
        </is>
      </c>
      <c r="F31" s="57" t="inlineStr">
        <is>
          <t>IR9000/750mmx1200mm/48U</t>
        </is>
      </c>
      <c r="G31" s="57" t="n"/>
      <c r="S31" s="105" t="n"/>
    </row>
    <row r="32" ht="13.95" customFormat="1" customHeight="1" s="141">
      <c r="A32" s="57" t="inlineStr">
        <is>
          <t>T2 E-W NtwkRack</t>
        </is>
      </c>
      <c r="B32" s="195" t="n">
        <v>0</v>
      </c>
      <c r="C32" s="57" t="n">
        <v>0</v>
      </c>
      <c r="D32" s="51">
        <f>SUM(B32:C32)</f>
        <v/>
      </c>
      <c r="E32" s="58" t="inlineStr">
        <is>
          <t>IR9149</t>
        </is>
      </c>
      <c r="F32" s="57" t="inlineStr">
        <is>
          <t>IR9000/750mmx1200mm/48U</t>
        </is>
      </c>
      <c r="G32" s="27" t="inlineStr">
        <is>
          <t>48U x750mm x1200mm</t>
        </is>
      </c>
      <c r="S32" s="105" t="n"/>
    </row>
    <row r="33" ht="13.95" customFormat="1" customHeight="1" s="28">
      <c r="A33" s="57" t="inlineStr">
        <is>
          <t>T1/T2 N-S NtwkRack</t>
        </is>
      </c>
      <c r="B33" s="57" t="n">
        <v>30</v>
      </c>
      <c r="C33" s="57" t="n">
        <v>0</v>
      </c>
      <c r="D33" s="51">
        <f>SUM(B33:C33)</f>
        <v/>
      </c>
      <c r="E33" s="58" t="inlineStr">
        <is>
          <t>IR9048</t>
        </is>
      </c>
      <c r="F33" s="57" t="inlineStr">
        <is>
          <t>IR9000/750mmx1200mm/48U</t>
        </is>
      </c>
      <c r="G33" s="57" t="n"/>
      <c r="H33" s="41" t="n"/>
      <c r="I33" s="41" t="n"/>
      <c r="J33" s="41" t="n"/>
      <c r="K33" s="41" t="n"/>
      <c r="L33" s="41" t="n"/>
      <c r="M33" s="41" t="n"/>
      <c r="N33" s="41" t="n"/>
      <c r="O33" s="41" t="n"/>
      <c r="P33" s="41" t="n"/>
      <c r="Q33" s="41" t="n"/>
      <c r="R33" s="41" t="n"/>
      <c r="S33" s="27" t="n"/>
    </row>
    <row r="34" ht="13.95" customFormat="1" customHeight="1" s="28">
      <c r="A34" s="57" t="inlineStr">
        <is>
          <t>T2 N-S NtwkRack</t>
        </is>
      </c>
      <c r="B34" s="57" t="n">
        <v>0</v>
      </c>
      <c r="C34" s="57" t="n">
        <v>0</v>
      </c>
      <c r="D34" s="51">
        <f>SUM(B34:C34)</f>
        <v/>
      </c>
      <c r="E34" s="58" t="inlineStr">
        <is>
          <t>IR9048</t>
        </is>
      </c>
      <c r="F34" s="57" t="inlineStr">
        <is>
          <t>IR9000/750mmx1200mm/48U</t>
        </is>
      </c>
      <c r="G34" s="57" t="n"/>
      <c r="H34" s="41" t="n"/>
      <c r="I34" s="41" t="n"/>
      <c r="J34" s="41" t="n"/>
      <c r="K34" s="41" t="n"/>
      <c r="L34" s="41" t="n"/>
      <c r="M34" s="41" t="n"/>
      <c r="N34" s="41" t="n"/>
      <c r="O34" s="41" t="n"/>
      <c r="P34" s="41" t="n"/>
      <c r="Q34" s="41" t="n"/>
      <c r="R34" s="41" t="n"/>
      <c r="S34" s="27" t="n"/>
    </row>
    <row r="35" ht="13.95" customFormat="1" customHeight="1" s="28">
      <c r="A35" s="57" t="inlineStr">
        <is>
          <t>T3 N-S NtwkRack</t>
        </is>
      </c>
      <c r="B35" s="57" t="n">
        <v>0</v>
      </c>
      <c r="C35" s="57" t="n">
        <v>0</v>
      </c>
      <c r="D35" s="51">
        <f>SUM(B35:C35)</f>
        <v/>
      </c>
      <c r="E35" s="58" t="inlineStr">
        <is>
          <t>IR9048</t>
        </is>
      </c>
      <c r="F35" s="57" t="inlineStr">
        <is>
          <t>IR9000/750mmx1200mm/48U</t>
        </is>
      </c>
      <c r="G35" s="58" t="n"/>
      <c r="H35" s="41" t="n"/>
      <c r="I35" s="41" t="n"/>
      <c r="J35" s="41" t="n"/>
      <c r="K35" s="41" t="n"/>
      <c r="L35" s="41" t="n"/>
      <c r="M35" s="41" t="n"/>
      <c r="N35" s="41" t="n"/>
      <c r="O35" s="41" t="n"/>
      <c r="P35" s="41" t="n"/>
      <c r="Q35" s="41" t="n"/>
      <c r="R35" s="41" t="n"/>
      <c r="S35" s="27" t="n"/>
    </row>
    <row r="36" ht="13.95" customFormat="1" customHeight="1" s="28">
      <c r="A36" s="57" t="inlineStr">
        <is>
          <t>T1/T2 Storage Leaf/Spine</t>
        </is>
      </c>
      <c r="B36" s="57" t="n">
        <v>0</v>
      </c>
      <c r="C36" s="57" t="n">
        <v>0</v>
      </c>
      <c r="D36" s="51">
        <f>SUM(B36:C36)</f>
        <v/>
      </c>
      <c r="E36" s="58" t="inlineStr">
        <is>
          <t>IR9048</t>
        </is>
      </c>
      <c r="F36" s="57" t="inlineStr">
        <is>
          <t>IR9000/750mmx1200mm/48U</t>
        </is>
      </c>
      <c r="G36" s="58" t="n"/>
      <c r="H36" s="41" t="n"/>
      <c r="I36" s="41" t="n"/>
      <c r="J36" s="41" t="n"/>
      <c r="K36" s="41" t="n"/>
      <c r="L36" s="41" t="n"/>
      <c r="M36" s="41" t="n"/>
      <c r="N36" s="41" t="n"/>
      <c r="O36" s="41" t="n"/>
      <c r="P36" s="41" t="n"/>
      <c r="Q36" s="41" t="n"/>
      <c r="R36" s="41" t="n"/>
      <c r="S36" s="27" t="n"/>
    </row>
    <row r="37" ht="13.95" customFormat="1" customHeight="1" s="28">
      <c r="A37" s="57" t="inlineStr">
        <is>
          <t>T1/T2 Control Leaf / Spine</t>
        </is>
      </c>
      <c r="B37" s="57" t="n">
        <v>0</v>
      </c>
      <c r="C37" s="57" t="n">
        <v>0</v>
      </c>
      <c r="D37" s="51">
        <f>SUM(B37:C37)</f>
        <v/>
      </c>
      <c r="E37" s="58" t="inlineStr">
        <is>
          <t>IR9048</t>
        </is>
      </c>
      <c r="F37" s="57" t="inlineStr">
        <is>
          <t>IR9000/750mmx1200mm/48U</t>
        </is>
      </c>
      <c r="G37" s="58" t="n"/>
      <c r="H37" s="41" t="n"/>
      <c r="I37" s="41" t="n"/>
      <c r="J37" s="41" t="n"/>
      <c r="K37" s="41" t="n"/>
      <c r="L37" s="41" t="n"/>
      <c r="M37" s="41" t="n"/>
      <c r="N37" s="41" t="n"/>
      <c r="O37" s="41" t="n"/>
      <c r="P37" s="41" t="n"/>
      <c r="Q37" s="41" t="n"/>
      <c r="R37" s="41" t="n"/>
      <c r="S37" s="27" t="n"/>
    </row>
    <row r="38" ht="13.95" customFormat="1" customHeight="1" s="28">
      <c r="A38" s="57" t="inlineStr">
        <is>
          <t>IREN Control Leaf/racks</t>
        </is>
      </c>
      <c r="B38" s="57" t="n">
        <v>0</v>
      </c>
      <c r="C38" s="57" t="n">
        <v>0</v>
      </c>
      <c r="D38" s="51">
        <f>SUM(B38:C38)</f>
        <v/>
      </c>
      <c r="E38" s="58" t="inlineStr">
        <is>
          <t>IR9048</t>
        </is>
      </c>
      <c r="F38" s="57" t="inlineStr">
        <is>
          <t>IR9000/750mmx1200mm/48U</t>
        </is>
      </c>
      <c r="G38" s="58" t="n"/>
      <c r="H38" s="41" t="n"/>
      <c r="I38" s="41" t="n"/>
      <c r="J38" s="41" t="n"/>
      <c r="K38" s="41" t="n"/>
      <c r="L38" s="41" t="n"/>
      <c r="M38" s="41" t="n"/>
      <c r="N38" s="41" t="n"/>
      <c r="O38" s="41" t="n"/>
      <c r="P38" s="41" t="n"/>
      <c r="Q38" s="41" t="n"/>
      <c r="R38" s="41" t="n"/>
      <c r="S38" s="27" t="n"/>
    </row>
    <row r="39" ht="13.95" customFormat="1" customHeight="1" s="28">
      <c r="A39" s="57" t="inlineStr">
        <is>
          <t>OOB/AGGR/Storage/Control Racks</t>
        </is>
      </c>
      <c r="B39" s="60" t="n">
        <v>0</v>
      </c>
      <c r="C39" s="57" t="n">
        <v>0</v>
      </c>
      <c r="D39" s="51">
        <f>SUM(B39:C39)</f>
        <v/>
      </c>
      <c r="E39" s="58" t="inlineStr">
        <is>
          <t>IR9048</t>
        </is>
      </c>
      <c r="F39" s="57" t="inlineStr">
        <is>
          <t>IR9000/750mmx1200mm/48U</t>
        </is>
      </c>
      <c r="G39" s="58" t="n"/>
      <c r="H39" s="41" t="n"/>
      <c r="I39" s="41" t="n"/>
      <c r="J39" s="41" t="n"/>
      <c r="K39" s="41" t="n"/>
      <c r="L39" s="41" t="n"/>
      <c r="M39" s="41" t="n"/>
      <c r="N39" s="41" t="n"/>
      <c r="O39" s="41" t="n"/>
      <c r="P39" s="41" t="n"/>
      <c r="Q39" s="41" t="n"/>
      <c r="R39" s="41" t="n"/>
      <c r="S39" s="27" t="n"/>
    </row>
    <row r="40" ht="13.95" customFormat="1" customHeight="1" s="28">
      <c r="A40" s="196" t="inlineStr">
        <is>
          <t>PDU 3Ph, 415V, 60A</t>
        </is>
      </c>
      <c r="B40" s="215" t="n">
        <v>0</v>
      </c>
      <c r="C40" s="57" t="n">
        <v>0</v>
      </c>
      <c r="D40" s="216">
        <f>SUM(B40:C40)</f>
        <v/>
      </c>
      <c r="E40" s="58" t="n"/>
      <c r="F40" t="inlineStr">
        <is>
          <t>Andrew to Confirm</t>
        </is>
      </c>
      <c r="G40" s="58" t="n"/>
      <c r="H40" s="41" t="n"/>
      <c r="I40" s="41" t="n"/>
      <c r="J40" s="41" t="n"/>
      <c r="K40" s="41" t="n"/>
      <c r="L40" s="41" t="n"/>
      <c r="M40" s="41" t="n"/>
      <c r="N40" s="41" t="n"/>
      <c r="O40" s="41" t="n"/>
      <c r="P40" s="41" t="n"/>
      <c r="Q40" s="41" t="n"/>
      <c r="R40" s="41" t="n"/>
      <c r="S40" s="27" t="n"/>
    </row>
    <row r="41" ht="13.95" customFormat="1" customHeight="1" s="28">
      <c r="A41" s="57" t="inlineStr">
        <is>
          <t>RDHx CL20</t>
        </is>
      </c>
      <c r="B41" s="57" t="inlineStr"/>
      <c r="C41" s="57" t="n">
        <v>0</v>
      </c>
      <c r="D41" s="51">
        <f>SUM(B41:C41)</f>
        <v/>
      </c>
      <c r="E41" s="58" t="n"/>
      <c r="F41" s="57" t="n"/>
      <c r="G41" s="203" t="n"/>
      <c r="H41" s="41" t="n"/>
      <c r="I41" s="41" t="n"/>
      <c r="J41" s="41" t="n"/>
      <c r="K41" s="41" t="n"/>
      <c r="L41" s="41" t="n"/>
      <c r="M41" s="41" t="n"/>
      <c r="N41" s="41" t="n"/>
      <c r="O41" s="41" t="n"/>
      <c r="P41" s="41" t="n"/>
      <c r="Q41" s="41" t="n"/>
      <c r="R41" s="41" t="n"/>
      <c r="S41" s="27" t="n"/>
    </row>
    <row r="42" customFormat="1" s="26">
      <c r="A42" s="58" t="inlineStr">
        <is>
          <t>33KW PS for  IR9048 - Air cooled</t>
        </is>
      </c>
      <c r="B42" s="58">
        <f>B33*2</f>
        <v/>
      </c>
      <c r="C42" s="58" t="n">
        <v>0</v>
      </c>
      <c r="D42" s="58">
        <f>B42</f>
        <v/>
      </c>
      <c r="E42" s="58" t="inlineStr">
        <is>
          <t>33KW PS for  IR9048 - Air cooled</t>
        </is>
      </c>
      <c r="F42" s="58" t="inlineStr">
        <is>
          <t>Only Needed for IR9048</t>
        </is>
      </c>
      <c r="G42" s="45" t="n"/>
      <c r="H42" s="29" t="n"/>
      <c r="I42" s="41" t="n"/>
      <c r="J42" s="41" t="n"/>
      <c r="K42" s="41" t="n"/>
      <c r="L42" s="41" t="n"/>
      <c r="M42" s="41" t="n"/>
      <c r="N42" s="41" t="n"/>
      <c r="O42" s="41" t="n"/>
      <c r="P42" s="41" t="n"/>
      <c r="Q42" s="41" t="n"/>
      <c r="R42" s="41" t="n"/>
      <c r="S42" s="27" t="n"/>
    </row>
    <row r="43" customFormat="1" s="26">
      <c r="A43" s="58" t="inlineStr">
        <is>
          <t>33KW PS for  IR9148 - Liquid cooled</t>
        </is>
      </c>
      <c r="B43" s="57">
        <f>B31*2</f>
        <v/>
      </c>
      <c r="C43" s="57" t="n">
        <v>0</v>
      </c>
      <c r="D43" s="58">
        <f>B43</f>
        <v/>
      </c>
      <c r="E43" s="58" t="inlineStr">
        <is>
          <t>33KW PS for  IR9148 - Liquid cooled</t>
        </is>
      </c>
      <c r="F43" s="58" t="inlineStr">
        <is>
          <t>Only Needed for IR9148</t>
        </is>
      </c>
      <c r="G43" s="197" t="n"/>
      <c r="H43" s="28" t="n"/>
      <c r="I43" s="28" t="n"/>
      <c r="J43" s="28" t="n"/>
      <c r="K43" s="28" t="n"/>
      <c r="L43" s="28" t="n"/>
      <c r="M43" s="28" t="n"/>
      <c r="N43" s="28" t="n"/>
      <c r="O43" s="28" t="n"/>
      <c r="P43" s="28" t="n"/>
      <c r="Q43" s="28" t="n"/>
      <c r="R43" s="28" t="n"/>
      <c r="S43" s="27" t="n"/>
    </row>
    <row r="44" customFormat="1" s="26">
      <c r="A44" s="235" t="inlineStr">
        <is>
          <t>Patch Panels / Shuffle Componets Side Car</t>
        </is>
      </c>
      <c r="B44" s="222" t="n"/>
      <c r="C44" s="222" t="n"/>
      <c r="D44" s="222" t="n"/>
      <c r="E44" s="222" t="n"/>
      <c r="F44" s="222" t="n"/>
      <c r="G44" s="223" t="n"/>
      <c r="H44" s="28" t="n"/>
      <c r="I44" s="28" t="n"/>
      <c r="J44" s="28" t="n"/>
      <c r="K44" s="28" t="n"/>
      <c r="L44" s="28" t="n"/>
      <c r="M44" s="28" t="n"/>
      <c r="N44" s="28" t="n"/>
      <c r="O44" s="28" t="n"/>
      <c r="P44" s="28" t="n"/>
      <c r="Q44" s="28" t="n"/>
      <c r="R44" s="28" t="n"/>
      <c r="S44" s="27" t="n"/>
    </row>
    <row r="45" customFormat="1" s="26">
      <c r="A45" s="198" t="inlineStr">
        <is>
          <t>Item</t>
        </is>
      </c>
      <c r="B45" s="198" t="inlineStr">
        <is>
          <t>Count</t>
        </is>
      </c>
      <c r="C45" s="198" t="inlineStr">
        <is>
          <t>Spares</t>
        </is>
      </c>
      <c r="D45" s="199" t="inlineStr">
        <is>
          <t>Sub-Total</t>
        </is>
      </c>
      <c r="E45" s="198" t="inlineStr">
        <is>
          <t>Model/PN</t>
        </is>
      </c>
      <c r="F45" s="198" t="inlineStr">
        <is>
          <t>Description</t>
        </is>
      </c>
      <c r="G45" s="200" t="inlineStr">
        <is>
          <t>Notes</t>
        </is>
      </c>
      <c r="S45" s="27" t="n"/>
    </row>
    <row r="46" ht="13.95" customFormat="1" customHeight="1" s="141">
      <c r="A46" s="201" t="inlineStr">
        <is>
          <t>Cassette /SU for Leaf Rack GPU to Leaf [Hosted in Leaf rack]</t>
        </is>
      </c>
      <c r="B46" s="202" t="n">
        <v>7560</v>
      </c>
      <c r="C46" s="202" t="n">
        <v>0</v>
      </c>
      <c r="D46" s="201">
        <f>B46+C46</f>
        <v/>
      </c>
      <c r="E46" s="54" t="inlineStr">
        <is>
          <t>4x4 shuffle unit</t>
        </is>
      </c>
      <c r="F46" s="201" t="inlineStr">
        <is>
          <t>CompScope</t>
        </is>
      </c>
      <c r="G46" s="203" t="n"/>
      <c r="S46" s="105" t="n"/>
    </row>
    <row r="47" ht="13.95" customFormat="1" customHeight="1" s="141">
      <c r="A47" s="201" t="inlineStr">
        <is>
          <t xml:space="preserve">Cassette /SU for Leaf Rack to Spine Rack [Hosted in Spine Rack] </t>
        </is>
      </c>
      <c r="B47" s="202" t="n">
        <v>0</v>
      </c>
      <c r="C47" s="202" t="n">
        <v>0</v>
      </c>
      <c r="D47" s="201">
        <f>B47+C47</f>
        <v/>
      </c>
      <c r="E47" s="54" t="inlineStr">
        <is>
          <t>4x4 shuffle unit</t>
        </is>
      </c>
      <c r="F47" s="201" t="n"/>
      <c r="G47" s="203" t="n"/>
      <c r="S47" s="105" t="n"/>
    </row>
    <row r="48" ht="13.95" customFormat="1" customHeight="1" s="141">
      <c r="A48" s="201" t="inlineStr">
        <is>
          <t>FiberPanel - 2U</t>
        </is>
      </c>
      <c r="B48" s="202" t="n">
        <v>240</v>
      </c>
      <c r="C48" s="202" t="n">
        <v>0</v>
      </c>
      <c r="D48" s="201">
        <f>B48+C48</f>
        <v/>
      </c>
      <c r="E48" s="201" t="inlineStr">
        <is>
          <t>FiberPanel - 2U</t>
        </is>
      </c>
      <c r="F48" s="201" t="inlineStr">
        <is>
          <t>CompScope 2U fiber Panel</t>
        </is>
      </c>
      <c r="G48" s="203" t="n"/>
      <c r="S48" s="105" t="n"/>
    </row>
    <row r="49" ht="13.95" customFormat="1" customHeight="1" s="141">
      <c r="A49" s="201" t="inlineStr">
        <is>
          <t>Shuffle Racks</t>
        </is>
      </c>
      <c r="B49" s="204" t="n">
        <v>0</v>
      </c>
      <c r="C49" s="202" t="n">
        <v>0</v>
      </c>
      <c r="D49" s="201">
        <f>B49+C49</f>
        <v/>
      </c>
      <c r="E49" s="201" t="n"/>
      <c r="F49" s="201" t="n"/>
      <c r="G49" s="203" t="n"/>
      <c r="S49" s="105" t="n"/>
    </row>
    <row r="50" ht="13.95" customFormat="1" customHeight="1" s="141">
      <c r="A50" s="201" t="inlineStr">
        <is>
          <t>Shuffle Boxes (Passive &amp; Openframe) [4x4 Shufflers]</t>
        </is>
      </c>
      <c r="B50" s="204" t="n">
        <v>0</v>
      </c>
      <c r="C50" s="202" t="n">
        <v>0</v>
      </c>
      <c r="D50" s="201">
        <f>B50+C50</f>
        <v/>
      </c>
      <c r="E50" s="201" t="n"/>
      <c r="F50" s="201" t="inlineStr"/>
      <c r="G50" s="203" t="n"/>
      <c r="S50" s="105" t="n"/>
    </row>
    <row r="51" ht="13.95" customFormat="1" customHeight="1" s="141">
      <c r="A51" s="201" t="inlineStr">
        <is>
          <t>Side Car</t>
        </is>
      </c>
      <c r="B51" s="202" t="n">
        <v>0</v>
      </c>
      <c r="C51" s="202" t="n">
        <v>0</v>
      </c>
      <c r="D51" s="201">
        <f>B51+C51</f>
        <v/>
      </c>
      <c r="E51" s="201" t="n"/>
      <c r="F51" s="201" t="inlineStr"/>
      <c r="G51" s="203" t="n"/>
      <c r="S51" s="105" t="n"/>
    </row>
    <row r="52" ht="13.95" customFormat="1" customHeight="1" s="141">
      <c r="A52" s="201" t="inlineStr">
        <is>
          <t>Jumper Cable from Fiber Panel to Leaf switch</t>
        </is>
      </c>
      <c r="B52" s="204" t="n">
        <v>30240</v>
      </c>
      <c r="C52" s="202" t="n"/>
      <c r="D52" s="201">
        <f>B52+C52</f>
        <v/>
      </c>
      <c r="E52" s="201" t="inlineStr">
        <is>
          <t>Fiber Jumper Cable</t>
        </is>
      </c>
      <c r="F52" s="201" t="n"/>
      <c r="G52" s="45" t="n"/>
      <c r="S52" s="105" t="n"/>
    </row>
    <row r="53" ht="13.95" customFormat="1" customHeight="1" s="141">
      <c r="A53" s="201" t="inlineStr">
        <is>
          <t>Jumper Cable from Fiber Panel to Spine switch</t>
        </is>
      </c>
      <c r="B53" s="204" t="n">
        <v>0</v>
      </c>
      <c r="C53" s="202" t="n"/>
      <c r="D53" s="201">
        <f>B53+C53</f>
        <v/>
      </c>
      <c r="E53" s="144" t="inlineStr"/>
      <c r="F53" s="201" t="n"/>
      <c r="G53" s="45" t="n"/>
      <c r="S53" s="105" t="n"/>
    </row>
    <row r="54" customFormat="1" s="26">
      <c r="A54" s="225" t="inlineStr">
        <is>
          <t>East-West NIC-LEAF : Transceiver/Fiber/Cable</t>
        </is>
      </c>
      <c r="B54" s="226" t="n"/>
      <c r="C54" s="226" t="n"/>
      <c r="D54" s="226" t="n"/>
      <c r="E54" s="226" t="n"/>
      <c r="F54" s="226" t="n"/>
      <c r="G54" s="227" t="n"/>
      <c r="S54" s="27" t="n"/>
    </row>
    <row r="55" customFormat="1" s="26">
      <c r="A55" s="48" t="inlineStr">
        <is>
          <t>Item</t>
        </is>
      </c>
      <c r="B55" s="48" t="inlineStr">
        <is>
          <t>Count</t>
        </is>
      </c>
      <c r="C55" s="48" t="inlineStr">
        <is>
          <t>Spares</t>
        </is>
      </c>
      <c r="D55" s="53" t="inlineStr">
        <is>
          <t>Sub-Total</t>
        </is>
      </c>
      <c r="E55" s="46" t="inlineStr">
        <is>
          <t>Model/PN</t>
        </is>
      </c>
      <c r="F55" s="46" t="inlineStr">
        <is>
          <t>Description</t>
        </is>
      </c>
      <c r="G55" s="48" t="inlineStr">
        <is>
          <t>Notes</t>
        </is>
      </c>
      <c r="S55" s="27" t="n"/>
    </row>
    <row r="56" ht="28.95" customFormat="1" customHeight="1" s="95">
      <c r="A56" s="51" t="inlineStr">
        <is>
          <t>E-W NIC-Leaf Link NIC Xcvr</t>
        </is>
      </c>
      <c r="B56" s="112">
        <f>B30*72</f>
        <v/>
      </c>
      <c r="C56" s="109" t="n">
        <v>0</v>
      </c>
      <c r="D56" s="110">
        <f>B56+C56</f>
        <v/>
      </c>
      <c r="E56" s="136" t="inlineStr">
        <is>
          <t>980-9IAJ0-00XM00</t>
        </is>
      </c>
      <c r="F56" s="136" t="inlineStr">
        <is>
          <t>NVIDIA twin port transceiver, 2xDR4, 1600Gbps, OSFP, 2xMPO(APC), 1310nm SMF, up to 500m, RHS, TRO, Ethernet Only</t>
        </is>
      </c>
      <c r="G56" s="94" t="inlineStr"/>
    </row>
    <row r="57" customFormat="1" s="27">
      <c r="A57" s="54" t="inlineStr">
        <is>
          <t>E-W NIC-Leaf Link NIC Xcvr Cable</t>
        </is>
      </c>
      <c r="B57" s="63">
        <f>B56*2</f>
        <v/>
      </c>
      <c r="C57" s="61" t="n">
        <v>0</v>
      </c>
      <c r="D57" s="110">
        <f>B57+C57</f>
        <v/>
      </c>
      <c r="E57" s="100" t="inlineStr">
        <is>
          <t>MFP7E30-N050</t>
        </is>
      </c>
      <c r="F57" s="100" t="inlineStr">
        <is>
          <t>MPO-12/APC to MPO-12/APC cable, 1310nm SMF OS2, 100m max, 50 M</t>
        </is>
      </c>
      <c r="G57" s="62" t="inlineStr"/>
      <c r="H57" s="26" t="n"/>
      <c r="I57" s="26" t="n"/>
      <c r="J57" s="26" t="n"/>
      <c r="K57" s="26" t="n"/>
      <c r="L57" s="26" t="n"/>
      <c r="M57" s="26" t="n"/>
      <c r="N57" s="26" t="n"/>
      <c r="O57" s="26" t="n"/>
    </row>
    <row r="58" ht="28.95" customFormat="1" customHeight="1" s="26">
      <c r="A58" s="54" t="inlineStr">
        <is>
          <t>E-W NIC-Leaf Link Leaf Xcvr</t>
        </is>
      </c>
      <c r="B58" s="54" t="n">
        <v>15120</v>
      </c>
      <c r="C58" s="61" t="n">
        <v>0</v>
      </c>
      <c r="D58" s="110">
        <f>B58+C58</f>
        <v/>
      </c>
      <c r="E58" s="136" t="inlineStr">
        <is>
          <t>980-9IAJ0-00XM00</t>
        </is>
      </c>
      <c r="F58" s="136" t="inlineStr">
        <is>
          <t>NVIDIA twin port transceiver, 2xDR4, 1600Gbps, OSFP, 2xMPO(APC), 1310nm SMF, up to 500m, RHS, TRO, Ethernet Only</t>
        </is>
      </c>
      <c r="G58" s="54" t="inlineStr"/>
      <c r="S58" s="27" t="n"/>
    </row>
    <row r="59" customFormat="1" s="26">
      <c r="A59" s="52" t="n"/>
      <c r="B59" s="52" t="n"/>
      <c r="C59" s="52" t="n"/>
      <c r="D59" s="52" t="n"/>
      <c r="E59" s="136" t="inlineStr"/>
      <c r="F59" s="52" t="n"/>
      <c r="G59" s="52" t="n"/>
    </row>
    <row r="60" customFormat="1" s="26">
      <c r="A60" s="52" t="n"/>
      <c r="B60" s="52" t="n"/>
      <c r="C60" s="52" t="n"/>
      <c r="D60" s="52" t="n"/>
      <c r="E60" s="52" t="n"/>
      <c r="F60" s="52" t="n"/>
      <c r="G60" s="52" t="n"/>
    </row>
    <row r="61" customFormat="1" s="26">
      <c r="A61" s="221" t="inlineStr">
        <is>
          <t>East-West LEAF-SPINE : Transceiver and Fiber/Cable</t>
        </is>
      </c>
      <c r="B61" s="222" t="n"/>
      <c r="C61" s="222" t="n"/>
      <c r="D61" s="222" t="n"/>
      <c r="E61" s="222" t="n"/>
      <c r="F61" s="222" t="n"/>
      <c r="G61" s="223" t="n"/>
    </row>
    <row r="62" customFormat="1" s="26">
      <c r="A62" s="48" t="inlineStr">
        <is>
          <t>Item</t>
        </is>
      </c>
      <c r="B62" s="48" t="inlineStr">
        <is>
          <t>Count</t>
        </is>
      </c>
      <c r="C62" s="48" t="inlineStr">
        <is>
          <t>Spares</t>
        </is>
      </c>
      <c r="D62" s="56" t="inlineStr">
        <is>
          <t>Sub-Total</t>
        </is>
      </c>
      <c r="E62" s="46" t="inlineStr">
        <is>
          <t>Model/PN</t>
        </is>
      </c>
      <c r="F62" s="46" t="inlineStr">
        <is>
          <t>Description</t>
        </is>
      </c>
      <c r="G62" s="46" t="inlineStr">
        <is>
          <t>Notes</t>
        </is>
      </c>
    </row>
    <row r="63" ht="28.95" customFormat="1" customHeight="1" s="27">
      <c r="A63" s="64" t="inlineStr">
        <is>
          <t>E-W Leaf-Spine Link Leaf Xcvr</t>
        </is>
      </c>
      <c r="B63" s="54" t="n">
        <v>15120</v>
      </c>
      <c r="C63" s="61" t="n">
        <v>0</v>
      </c>
      <c r="D63" s="110">
        <f>B63</f>
        <v/>
      </c>
      <c r="E63" s="136" t="inlineStr">
        <is>
          <t>980-9IAJ0-00XM00</t>
        </is>
      </c>
      <c r="F63" s="136" t="inlineStr">
        <is>
          <t>NVIDIA twin port transceiver, 2xDR4, 1600Gbps, OSFP, 2xMPO(APC), 1310nm SMF, up to 500m, RHS, TRO, Ethernet Only</t>
        </is>
      </c>
      <c r="G63" s="54" t="n">
        <v>0</v>
      </c>
      <c r="H63" s="26" t="n"/>
      <c r="I63" s="26" t="n"/>
      <c r="J63" s="26" t="n"/>
      <c r="K63" s="26" t="n"/>
      <c r="L63" s="26" t="n"/>
      <c r="M63" s="26" t="n"/>
      <c r="N63" s="26" t="n"/>
      <c r="O63" s="26" t="n"/>
    </row>
    <row r="64" customFormat="1" s="27">
      <c r="A64" s="58" t="inlineStr">
        <is>
          <t>E-W Leaf-Spine Link Leaf Xcvr Cable</t>
        </is>
      </c>
      <c r="B64" s="212">
        <f>B63*2</f>
        <v/>
      </c>
      <c r="C64" s="213" t="n">
        <v>0</v>
      </c>
      <c r="D64" s="110">
        <f>B64</f>
        <v/>
      </c>
      <c r="E64" s="91" t="inlineStr">
        <is>
          <t>MFP7E30-N050</t>
        </is>
      </c>
      <c r="F64" s="91" t="inlineStr">
        <is>
          <t>MPO-12/APC to MPO-12/APC cable, 1310nm SMF OS2, 100m max, 50 M</t>
        </is>
      </c>
      <c r="G64" s="58" t="inlineStr">
        <is>
          <t>Cables: Leaf to Spine</t>
        </is>
      </c>
    </row>
    <row r="65" ht="28.95" customFormat="1" customHeight="1" s="27">
      <c r="A65" s="58" t="inlineStr">
        <is>
          <t>E-W Leaf-Spine Link Spine Xcvr</t>
        </is>
      </c>
      <c r="B65" s="58" t="n">
        <v>0</v>
      </c>
      <c r="C65" s="142" t="n">
        <v>0</v>
      </c>
      <c r="D65" s="110">
        <f>B65</f>
        <v/>
      </c>
      <c r="E65" s="136" t="inlineStr">
        <is>
          <t>980-9IAJ0-00XM00</t>
        </is>
      </c>
      <c r="F65" s="136" t="inlineStr">
        <is>
          <t>NVIDIA twin port transceiver, 2xDR4, 1600Gbps, OSFP, 2xMPO(APC), 1310nm SMF, up to 500m, RHS, TRO, Ethernet Only</t>
        </is>
      </c>
      <c r="G65" s="214" t="inlineStr">
        <is>
          <t>Optics: Spine to Leaf</t>
        </is>
      </c>
    </row>
    <row r="66" customFormat="1" s="27">
      <c r="A66" s="52" t="n"/>
      <c r="B66" s="52" t="n"/>
      <c r="C66" s="52" t="n"/>
      <c r="D66" s="52" t="n"/>
      <c r="E66" s="52" t="n"/>
      <c r="F66" s="52" t="n"/>
      <c r="G66" s="52" t="n"/>
      <c r="H66" s="26" t="n"/>
      <c r="I66" s="26" t="n"/>
      <c r="J66" s="26" t="n"/>
      <c r="K66" s="26" t="n"/>
      <c r="L66" s="26" t="n"/>
      <c r="M66" s="26" t="n"/>
      <c r="N66" s="26" t="n"/>
      <c r="O66" s="26" t="n"/>
    </row>
    <row r="67" customFormat="1" s="27">
      <c r="A67" s="221" t="inlineStr">
        <is>
          <t>North-South NIC-LEAF : Transceiver and Fiber/Cable</t>
        </is>
      </c>
      <c r="B67" s="222" t="n"/>
      <c r="C67" s="222" t="n"/>
      <c r="D67" s="222" t="n"/>
      <c r="E67" s="222" t="n"/>
      <c r="F67" s="222" t="n"/>
      <c r="G67" s="223" t="n"/>
      <c r="H67" s="26" t="n"/>
      <c r="I67" s="26" t="n"/>
      <c r="J67" s="26" t="n"/>
      <c r="K67" s="26" t="n"/>
      <c r="L67" s="26" t="n"/>
      <c r="M67" s="26" t="n"/>
      <c r="N67" s="26" t="n"/>
      <c r="O67" s="26" t="n"/>
    </row>
    <row r="68" customFormat="1" s="27">
      <c r="A68" s="46" t="inlineStr">
        <is>
          <t>Item</t>
        </is>
      </c>
      <c r="B68" s="46" t="inlineStr">
        <is>
          <t>Count</t>
        </is>
      </c>
      <c r="C68" s="46" t="inlineStr">
        <is>
          <t>Spares</t>
        </is>
      </c>
      <c r="D68" s="47" t="inlineStr">
        <is>
          <t>Sub-Total</t>
        </is>
      </c>
      <c r="E68" s="46" t="inlineStr">
        <is>
          <t>Model/PN</t>
        </is>
      </c>
      <c r="F68" s="46" t="inlineStr">
        <is>
          <t>Description</t>
        </is>
      </c>
      <c r="G68" s="48" t="inlineStr">
        <is>
          <t>Notes</t>
        </is>
      </c>
      <c r="H68" s="26" t="n"/>
      <c r="I68" s="26" t="n"/>
      <c r="J68" s="26" t="n"/>
      <c r="K68" s="26" t="n"/>
      <c r="L68" s="26" t="n"/>
      <c r="M68" s="26" t="n"/>
      <c r="N68" s="26" t="n"/>
      <c r="O68" s="26" t="n"/>
    </row>
    <row r="69" customFormat="1" s="27">
      <c r="A69" s="58" t="inlineStr">
        <is>
          <t>N-S NIC-Leaf Link NIC Xcvr</t>
        </is>
      </c>
      <c r="B69" s="58">
        <f>B30*18*2</f>
        <v/>
      </c>
      <c r="C69" s="142" t="n">
        <v>0</v>
      </c>
      <c r="D69" s="142">
        <f>SUM(B69:C69)</f>
        <v/>
      </c>
      <c r="E69" s="91" t="inlineStr">
        <is>
          <t>MMS1X00-NS400</t>
        </is>
      </c>
      <c r="F69" s="91" t="inlineStr">
        <is>
          <t>NVIDIA single port transceiver, 400Gbps, NDR, QSFP112, MPO, 1310nm SMF, up to 500m, flat top</t>
        </is>
      </c>
      <c r="G69" s="143" t="n"/>
    </row>
    <row r="70" customFormat="1" s="27">
      <c r="A70" s="58" t="inlineStr">
        <is>
          <t>N-S NIC-Leaf Link Leaf Xcvr</t>
        </is>
      </c>
      <c r="B70" s="58">
        <f>B11*36</f>
        <v/>
      </c>
      <c r="C70" s="142" t="n">
        <v>0</v>
      </c>
      <c r="D70" s="142">
        <f>SUM(B70:C70)</f>
        <v/>
      </c>
      <c r="E70" s="91" t="inlineStr">
        <is>
          <t>MMS4X00-NM-T</t>
        </is>
      </c>
      <c r="F70" s="91" t="inlineStr">
        <is>
          <t>NVIDIA TWIN PORT TRANSCEIVER, 800GBPS,2X400GbE, OSFP, 2XMPO, 1310NM SMF, UP TO 500M, FINNED</t>
        </is>
      </c>
      <c r="G70" s="58" t="n"/>
    </row>
    <row r="71" customFormat="1" s="27">
      <c r="A71" s="58" t="inlineStr">
        <is>
          <t>N-S NIC-Leaf Link Leaf Xcvr Cable</t>
        </is>
      </c>
      <c r="B71" s="58" t="n">
        <v>7560</v>
      </c>
      <c r="C71" s="142" t="n">
        <v>0</v>
      </c>
      <c r="D71" s="142">
        <f>SUM(B71:C71)</f>
        <v/>
      </c>
      <c r="E71" s="91" t="inlineStr">
        <is>
          <t>MFP7E30-N050</t>
        </is>
      </c>
      <c r="F71" s="91" t="inlineStr">
        <is>
          <t>MPO-12/APC to MPO-12/APC cable, 1310nm SMF OS2, 100m max, 50 M</t>
        </is>
      </c>
      <c r="G71" s="84" t="inlineStr"/>
    </row>
    <row r="72" customFormat="1" s="26">
      <c r="A72" s="54" t="n"/>
      <c r="B72" s="54" t="n">
        <v>0</v>
      </c>
      <c r="C72" s="61">
        <f>B72*0.01</f>
        <v/>
      </c>
      <c r="D72" s="61">
        <f>SUM(B72:C72)</f>
        <v/>
      </c>
      <c r="E72" s="54" t="n"/>
      <c r="F72" s="54" t="n"/>
      <c r="G72" s="54" t="n"/>
      <c r="P72" s="27" t="n"/>
      <c r="Q72" s="27" t="n"/>
      <c r="R72" s="27" t="n"/>
      <c r="S72" s="27" t="n"/>
    </row>
    <row r="73" customFormat="1" s="26">
      <c r="A73" s="54" t="n"/>
      <c r="B73" s="54" t="inlineStr"/>
      <c r="C73" s="54" t="n"/>
      <c r="D73" s="54" t="n"/>
      <c r="E73" s="99" t="inlineStr"/>
      <c r="F73" s="99" t="inlineStr"/>
      <c r="G73" s="99" t="inlineStr"/>
      <c r="P73" s="27" t="n"/>
      <c r="Q73" s="27" t="n"/>
      <c r="R73" s="27" t="n"/>
      <c r="S73" s="27" t="n"/>
    </row>
    <row r="74" customFormat="1" s="26">
      <c r="A74" s="225" t="inlineStr">
        <is>
          <t>North-South LEAF-SPINE : Transceiver and Fiber/Cable</t>
        </is>
      </c>
      <c r="B74" s="226" t="n"/>
      <c r="C74" s="226" t="n"/>
      <c r="D74" s="226" t="n"/>
      <c r="E74" s="226" t="n"/>
      <c r="F74" s="226" t="n"/>
      <c r="G74" s="227" t="n"/>
      <c r="P74" s="27" t="n"/>
      <c r="Q74" s="27" t="n"/>
      <c r="R74" s="27" t="n"/>
      <c r="S74" s="27" t="n"/>
    </row>
    <row r="75" customFormat="1" s="26">
      <c r="A75" s="48" t="inlineStr">
        <is>
          <t>Item</t>
        </is>
      </c>
      <c r="B75" s="48" t="inlineStr">
        <is>
          <t>Count</t>
        </is>
      </c>
      <c r="C75" s="48" t="inlineStr">
        <is>
          <t>Spares</t>
        </is>
      </c>
      <c r="D75" s="56" t="inlineStr">
        <is>
          <t>Sub-Total</t>
        </is>
      </c>
      <c r="E75" s="46" t="inlineStr">
        <is>
          <t>Model/PN</t>
        </is>
      </c>
      <c r="F75" s="46" t="inlineStr">
        <is>
          <t>Description</t>
        </is>
      </c>
      <c r="G75" s="48" t="inlineStr">
        <is>
          <t>Notes</t>
        </is>
      </c>
      <c r="P75" s="27" t="n"/>
      <c r="Q75" s="27" t="n"/>
      <c r="R75" s="27" t="n"/>
      <c r="S75" s="27" t="n"/>
    </row>
    <row r="76" ht="24.9" customFormat="1" customHeight="1" s="26">
      <c r="A76" s="49" t="inlineStr">
        <is>
          <t>N-S Leaf-Spine Link Leaf Xcvr</t>
        </is>
      </c>
      <c r="B76" s="49">
        <f>B11*16/2</f>
        <v/>
      </c>
      <c r="C76" s="76" t="n">
        <v>0</v>
      </c>
      <c r="D76" s="76">
        <f>B76+C76</f>
        <v/>
      </c>
      <c r="E76" s="100" t="inlineStr">
        <is>
          <t>MMS4X00-NM-T</t>
        </is>
      </c>
      <c r="F76" s="100" t="inlineStr">
        <is>
          <t>NVIDIA TWIN PORT TRANSCEIVER, 800GBPS,2X400GbE, OSFP, 2XMPO, 1310NM SMF, UP TO 500M, FINNED</t>
        </is>
      </c>
      <c r="G76" s="50" t="inlineStr">
        <is>
          <t>Optics: Leaf to Spine</t>
        </is>
      </c>
      <c r="P76" s="27" t="n"/>
      <c r="Q76" s="27" t="n"/>
      <c r="R76" s="27" t="n"/>
      <c r="S76" s="27" t="n"/>
    </row>
    <row r="77" customFormat="1" s="26">
      <c r="A77" s="49" t="inlineStr">
        <is>
          <t>N-S Leaf-Spine Link Leaf Xcvr Cable</t>
        </is>
      </c>
      <c r="B77" s="49">
        <f>B76*2</f>
        <v/>
      </c>
      <c r="C77" s="76" t="n">
        <v>0</v>
      </c>
      <c r="D77" s="76">
        <f>B77+C77</f>
        <v/>
      </c>
      <c r="E77" s="100" t="inlineStr">
        <is>
          <t>MFP7E30-N050</t>
        </is>
      </c>
      <c r="F77" s="100" t="inlineStr">
        <is>
          <t>MPO-12/APC to MPO-12/APC cable, 1310nm SMF OS2, 100m max, 50 M</t>
        </is>
      </c>
      <c r="G77" s="50" t="inlineStr">
        <is>
          <t>Cables: Leaf to Spine</t>
        </is>
      </c>
      <c r="P77" s="27" t="n"/>
      <c r="Q77" s="27" t="n"/>
      <c r="R77" s="27" t="n"/>
      <c r="S77" s="27" t="n"/>
    </row>
    <row r="78" ht="24.9" customFormat="1" customHeight="1" s="26">
      <c r="A78" s="49" t="inlineStr">
        <is>
          <t>N-S Leaf-Spine Link Spine Xcvr</t>
        </is>
      </c>
      <c r="B78" s="49">
        <f>B76</f>
        <v/>
      </c>
      <c r="C78" s="76" t="n">
        <v>0</v>
      </c>
      <c r="D78" s="76">
        <f>B78+C78</f>
        <v/>
      </c>
      <c r="E78" s="100" t="inlineStr">
        <is>
          <t>MMS4X00-NM-T</t>
        </is>
      </c>
      <c r="F78" s="100" t="inlineStr">
        <is>
          <t>NVIDIA TWIN PORT TRANSCEIVER, 800GBPS,2X400GbE, OSFP, 2XMPO, 1310NM SMF, UP TO 500M, FINNED</t>
        </is>
      </c>
      <c r="G78" s="75" t="inlineStr">
        <is>
          <t>Optics: Spine to Leaf</t>
        </is>
      </c>
      <c r="P78" s="27" t="n"/>
      <c r="Q78" s="27" t="n"/>
      <c r="R78" s="27" t="n"/>
      <c r="S78" s="27" t="n"/>
    </row>
    <row r="79" ht="24.9" customFormat="1" customHeight="1" s="26">
      <c r="A79" s="49" t="n"/>
      <c r="B79" s="49" t="n"/>
      <c r="C79" s="76" t="n"/>
      <c r="D79" s="76" t="n"/>
      <c r="E79" s="96" t="n"/>
      <c r="F79" s="97" t="n"/>
      <c r="G79" s="78" t="n"/>
      <c r="P79" s="27" t="n"/>
      <c r="Q79" s="27" t="n"/>
      <c r="R79" s="27" t="n"/>
      <c r="S79" s="27" t="n"/>
    </row>
    <row r="80" ht="24.9" customFormat="1" customHeight="1" s="26">
      <c r="A80" s="221" t="inlineStr">
        <is>
          <t>North-South CMX NIC-LEAF : Transceiver and Fiber/Cable</t>
        </is>
      </c>
      <c r="B80" s="222" t="n"/>
      <c r="C80" s="222" t="n"/>
      <c r="D80" s="222" t="n"/>
      <c r="E80" s="222" t="n"/>
      <c r="F80" s="222" t="n"/>
      <c r="G80" s="223" t="n"/>
      <c r="P80" s="27" t="n"/>
      <c r="Q80" s="27" t="n"/>
      <c r="R80" s="27" t="n"/>
      <c r="S80" s="27" t="n"/>
    </row>
    <row r="81" ht="24.9" customFormat="1" customHeight="1" s="26">
      <c r="A81" s="46" t="inlineStr">
        <is>
          <t>Item</t>
        </is>
      </c>
      <c r="B81" s="46" t="inlineStr">
        <is>
          <t>Count</t>
        </is>
      </c>
      <c r="C81" s="46" t="inlineStr">
        <is>
          <t>Spares</t>
        </is>
      </c>
      <c r="D81" s="47" t="inlineStr">
        <is>
          <t>Sub-Total</t>
        </is>
      </c>
      <c r="E81" s="46" t="inlineStr">
        <is>
          <t>Model/PN</t>
        </is>
      </c>
      <c r="F81" s="46" t="inlineStr">
        <is>
          <t>Description</t>
        </is>
      </c>
      <c r="G81" s="48" t="inlineStr">
        <is>
          <t>Notes</t>
        </is>
      </c>
      <c r="P81" s="27" t="n"/>
      <c r="Q81" s="27" t="n"/>
      <c r="R81" s="27" t="n"/>
      <c r="S81" s="27" t="n"/>
    </row>
    <row r="82" ht="24.9" customFormat="1" customHeight="1" s="27">
      <c r="A82" s="51" t="inlineStr">
        <is>
          <t>N-S CMX NIC-Leaf Link CMX NIC Xcvr</t>
        </is>
      </c>
      <c r="B82" s="51" t="n">
        <v>3840</v>
      </c>
      <c r="C82" s="109" t="n">
        <v>0</v>
      </c>
      <c r="D82" s="109">
        <f>SUM(B82:C82)</f>
        <v/>
      </c>
      <c r="E82" s="91" t="inlineStr">
        <is>
          <t>MMS1X00-NS400</t>
        </is>
      </c>
      <c r="F82" s="91" t="inlineStr">
        <is>
          <t>NVIDIA single port transceiver, 400Gbps, NDR, QSFP112, MPO, 1310nm SMF, up to 500m, flat top</t>
        </is>
      </c>
      <c r="G82" s="143" t="n"/>
    </row>
    <row r="83" ht="24.9" customFormat="1" customHeight="1" s="26">
      <c r="A83" s="49" t="inlineStr">
        <is>
          <t>N-S CMX NIC-Leaf Link Leaf Xcvr</t>
        </is>
      </c>
      <c r="B83" s="49">
        <f>B18*32</f>
        <v/>
      </c>
      <c r="C83" s="76" t="n">
        <v>0</v>
      </c>
      <c r="D83" s="76">
        <f>SUM(B83:C83)</f>
        <v/>
      </c>
      <c r="E83" s="100" t="inlineStr">
        <is>
          <t>MMS4X00-NM-T</t>
        </is>
      </c>
      <c r="F83" s="100" t="inlineStr">
        <is>
          <t>NVIDIA TWIN PORT TRANSCEIVER, 800GBPS,2X400GbE, OSFP, 2XMPO, 1310NM SMF, UP TO 500M, FINNED</t>
        </is>
      </c>
      <c r="G83" s="50" t="n"/>
      <c r="P83" s="27" t="n"/>
      <c r="Q83" s="27" t="n"/>
      <c r="R83" s="27" t="n"/>
      <c r="S83" s="27" t="n"/>
    </row>
    <row r="84" ht="24.9" customFormat="1" customHeight="1" s="26">
      <c r="A84" s="49" t="inlineStr">
        <is>
          <t>N-S CMX NIC-Leaf Link Leaf Xcvr Cable</t>
        </is>
      </c>
      <c r="B84" s="49">
        <f>B83*2</f>
        <v/>
      </c>
      <c r="C84" s="76" t="n">
        <v>0</v>
      </c>
      <c r="D84" s="76">
        <f>SUM(B84:C84)</f>
        <v/>
      </c>
      <c r="E84" s="100" t="inlineStr">
        <is>
          <t>MFP7E30-N050</t>
        </is>
      </c>
      <c r="F84" s="100" t="inlineStr">
        <is>
          <t>MPO-12/APC to MPO-12/APC cable, 1310nm SMF OS2, 100m max, 50 M</t>
        </is>
      </c>
      <c r="G84" s="83" t="inlineStr"/>
      <c r="P84" s="27" t="n"/>
      <c r="Q84" s="27" t="n"/>
      <c r="R84" s="27" t="n"/>
      <c r="S84" s="27" t="n"/>
    </row>
    <row r="85" ht="24.9" customFormat="1" customHeight="1" s="26">
      <c r="A85" s="49" t="n"/>
      <c r="B85" s="49" t="n"/>
      <c r="C85" s="76" t="n"/>
      <c r="D85" s="76" t="n"/>
      <c r="E85" s="113" t="n"/>
      <c r="F85" s="114" t="n"/>
      <c r="G85" s="78" t="n"/>
      <c r="P85" s="27" t="n"/>
      <c r="Q85" s="27" t="n"/>
      <c r="R85" s="27" t="n"/>
      <c r="S85" s="27" t="n"/>
    </row>
    <row r="86" ht="24.9" customFormat="1" customHeight="1" s="26">
      <c r="A86" s="221" t="inlineStr">
        <is>
          <t>North-South CMX LEAF-SPINE : Transceiver and Fiber/Cable</t>
        </is>
      </c>
      <c r="B86" s="222" t="n"/>
      <c r="C86" s="222" t="n"/>
      <c r="D86" s="222" t="n"/>
      <c r="E86" s="222" t="n"/>
      <c r="F86" s="222" t="n"/>
      <c r="G86" s="223" t="n"/>
      <c r="P86" s="27" t="n"/>
      <c r="Q86" s="27" t="n"/>
      <c r="R86" s="27" t="n"/>
      <c r="S86" s="27" t="n"/>
    </row>
    <row r="87" ht="24.9" customFormat="1" customHeight="1" s="26">
      <c r="A87" s="48" t="inlineStr">
        <is>
          <t>Item</t>
        </is>
      </c>
      <c r="B87" s="48" t="inlineStr">
        <is>
          <t>Count</t>
        </is>
      </c>
      <c r="C87" s="48" t="inlineStr">
        <is>
          <t>Spares</t>
        </is>
      </c>
      <c r="D87" s="56" t="inlineStr">
        <is>
          <t>Sub-Total</t>
        </is>
      </c>
      <c r="E87" s="46" t="inlineStr">
        <is>
          <t>Model/PN</t>
        </is>
      </c>
      <c r="F87" s="46" t="inlineStr">
        <is>
          <t>Description</t>
        </is>
      </c>
      <c r="G87" s="48" t="inlineStr">
        <is>
          <t>Notes</t>
        </is>
      </c>
      <c r="P87" s="27" t="n"/>
      <c r="Q87" s="27" t="n"/>
      <c r="R87" s="27" t="n"/>
      <c r="S87" s="27" t="n"/>
    </row>
    <row r="88" ht="24.9" customFormat="1" customHeight="1" s="26">
      <c r="A88" s="49" t="inlineStr">
        <is>
          <t>N-S CMX Leaf-Spine Link Leaf Xcvr</t>
        </is>
      </c>
      <c r="B88" s="49">
        <f>B18*64/2</f>
        <v/>
      </c>
      <c r="C88" s="76" t="n">
        <v>0</v>
      </c>
      <c r="D88" s="76">
        <f>B88+C88</f>
        <v/>
      </c>
      <c r="E88" s="100" t="inlineStr">
        <is>
          <t>MMS4X00-NM-T</t>
        </is>
      </c>
      <c r="F88" s="100" t="inlineStr">
        <is>
          <t>NVIDIA TWIN PORT TRANSCEIVER, 800GBPS,2X400GbE, OSFP, 2XMPO, 1310NM SMF, UP TO 500M, FINNED</t>
        </is>
      </c>
      <c r="G88" s="50" t="inlineStr">
        <is>
          <t>Optics: Leaf to Spine</t>
        </is>
      </c>
      <c r="P88" s="27" t="n"/>
      <c r="Q88" s="27" t="n"/>
      <c r="R88" s="27" t="n"/>
      <c r="S88" s="27" t="n"/>
    </row>
    <row r="89" ht="24.9" customFormat="1" customHeight="1" s="26">
      <c r="A89" s="49" t="inlineStr">
        <is>
          <t>N-S CMX Leaf-Spine Link Leaf Xcvr Cable</t>
        </is>
      </c>
      <c r="B89" s="49">
        <f>B88*2</f>
        <v/>
      </c>
      <c r="C89" s="76" t="n">
        <v>0</v>
      </c>
      <c r="D89" s="76">
        <f>B89+C89</f>
        <v/>
      </c>
      <c r="E89" s="100" t="inlineStr">
        <is>
          <t>MFP7E30-N050</t>
        </is>
      </c>
      <c r="F89" s="100" t="inlineStr">
        <is>
          <t>MPO-12/APC to MPO-12/APC cable, 1310nm SMF OS2, 100m max, 50 M</t>
        </is>
      </c>
      <c r="G89" s="50" t="inlineStr">
        <is>
          <t>Cables: Leaf to Spine</t>
        </is>
      </c>
      <c r="P89" s="27" t="n"/>
      <c r="Q89" s="27" t="n"/>
      <c r="R89" s="27" t="n"/>
      <c r="S89" s="27" t="n"/>
    </row>
    <row r="90" ht="24.9" customFormat="1" customHeight="1" s="26">
      <c r="A90" s="49" t="inlineStr">
        <is>
          <t>N-S CMX Leaf-Spine Link Spine Xcvr</t>
        </is>
      </c>
      <c r="B90" s="49">
        <f>B88</f>
        <v/>
      </c>
      <c r="C90" s="76" t="n">
        <v>0</v>
      </c>
      <c r="D90" s="76">
        <f>B90+C90</f>
        <v/>
      </c>
      <c r="E90" s="100" t="inlineStr">
        <is>
          <t>MMS4X00-NM-T</t>
        </is>
      </c>
      <c r="F90" s="100" t="inlineStr">
        <is>
          <t>NVIDIA TWIN PORT TRANSCEIVER, 800GBPS,2X400GbE, OSFP, 2XMPO, 1310NM SMF, UP TO 500M, FINNED</t>
        </is>
      </c>
      <c r="G90" s="75" t="inlineStr">
        <is>
          <t>Optics: Spine to Leaf</t>
        </is>
      </c>
      <c r="P90" s="27" t="n"/>
      <c r="Q90" s="27" t="n"/>
      <c r="R90" s="27" t="n"/>
      <c r="S90" s="27" t="n"/>
    </row>
    <row r="91" ht="24.9" customFormat="1" customHeight="1" s="26">
      <c r="A91" s="221" t="inlineStr">
        <is>
          <t>North-South SPINE-Core : Transceiver and Fiber/Cable</t>
        </is>
      </c>
      <c r="B91" s="222" t="n"/>
      <c r="C91" s="222" t="n"/>
      <c r="D91" s="222" t="n"/>
      <c r="E91" s="222" t="n"/>
      <c r="F91" s="222" t="n"/>
      <c r="G91" s="223" t="n"/>
      <c r="P91" s="27" t="n"/>
      <c r="Q91" s="27" t="n"/>
      <c r="R91" s="27" t="n"/>
      <c r="S91" s="27" t="n"/>
    </row>
    <row r="92" ht="24.9" customFormat="1" customHeight="1" s="26">
      <c r="A92" s="46" t="inlineStr">
        <is>
          <t>Item</t>
        </is>
      </c>
      <c r="B92" s="46" t="inlineStr">
        <is>
          <t>Count</t>
        </is>
      </c>
      <c r="C92" s="46" t="inlineStr">
        <is>
          <t>Spares</t>
        </is>
      </c>
      <c r="D92" s="47" t="inlineStr">
        <is>
          <t>Sub-Total</t>
        </is>
      </c>
      <c r="E92" s="46" t="inlineStr">
        <is>
          <t>Model/PN</t>
        </is>
      </c>
      <c r="F92" s="46" t="inlineStr">
        <is>
          <t>Description</t>
        </is>
      </c>
      <c r="G92" s="46" t="inlineStr">
        <is>
          <t>Notes</t>
        </is>
      </c>
      <c r="P92" s="27" t="n"/>
      <c r="Q92" s="27" t="n"/>
      <c r="R92" s="27" t="n"/>
      <c r="S92" s="27" t="n"/>
    </row>
    <row r="93" ht="24.9" customFormat="1" customHeight="1" s="26">
      <c r="A93" s="49" t="inlineStr">
        <is>
          <t>N-S Spine-Core Link Spine Xcvr</t>
        </is>
      </c>
      <c r="B93" s="49">
        <f>(24/2)*B12</f>
        <v/>
      </c>
      <c r="C93" s="76" t="n">
        <v>0</v>
      </c>
      <c r="D93" s="76">
        <f>B93+C93</f>
        <v/>
      </c>
      <c r="E93" s="103" t="inlineStr">
        <is>
          <t>MMS4X00-NM-T</t>
        </is>
      </c>
      <c r="F93" s="124" t="inlineStr">
        <is>
          <t>NVIDIA TWIN PORT TRANSCEIVER, 800GBPS,2X400GbE, OSFP, 2XMPO, 1310NM SMF, UP TO 500M, FINNED</t>
        </is>
      </c>
      <c r="G93" s="103" t="inlineStr">
        <is>
          <t>Optics: Leaf to Spine</t>
        </is>
      </c>
      <c r="P93" s="27" t="n"/>
      <c r="Q93" s="27" t="n"/>
      <c r="R93" s="27" t="n"/>
      <c r="S93" s="27" t="n"/>
    </row>
    <row r="94" ht="24.9" customFormat="1" customHeight="1" s="26">
      <c r="A94" s="49" t="inlineStr">
        <is>
          <t>N-S Spine-Core Link Spine Cable</t>
        </is>
      </c>
      <c r="B94" s="49">
        <f>B93*2</f>
        <v/>
      </c>
      <c r="C94" s="76" t="n">
        <v>0</v>
      </c>
      <c r="D94" s="76">
        <f>B94+C94</f>
        <v/>
      </c>
      <c r="E94" s="103" t="inlineStr">
        <is>
          <t>MFP7E30-N050</t>
        </is>
      </c>
      <c r="F94" s="103" t="inlineStr">
        <is>
          <t>MPO-12/APC to MPO-12/APC cable, 1310nm SMF OS2, 100m max, 50 M</t>
        </is>
      </c>
      <c r="G94" s="103" t="inlineStr">
        <is>
          <t>Cables: Leaf to Spine</t>
        </is>
      </c>
      <c r="P94" s="27" t="n"/>
      <c r="Q94" s="27" t="n"/>
      <c r="R94" s="27" t="n"/>
      <c r="S94" s="27" t="n"/>
    </row>
    <row r="95" ht="24.9" customFormat="1" customHeight="1" s="26">
      <c r="A95" s="49" t="inlineStr">
        <is>
          <t>N-S Spine-Core Link Core Xcvr</t>
        </is>
      </c>
      <c r="B95" s="49" t="n">
        <v>0</v>
      </c>
      <c r="C95" s="76" t="n">
        <v>0</v>
      </c>
      <c r="D95" s="76">
        <f>B95+C95</f>
        <v/>
      </c>
      <c r="E95" s="103" t="inlineStr">
        <is>
          <t>MMS4X00-NM-T</t>
        </is>
      </c>
      <c r="F95" s="103" t="inlineStr">
        <is>
          <t>NVIDIA TWIN PORT TRANSCEIVER, 800GBPS,2X400GbE, OSFP, 2XMPO, 1310NM SMF, UP TO 500M, FINNED</t>
        </is>
      </c>
      <c r="G95" s="103" t="inlineStr">
        <is>
          <t>Optics: Spine to Leaf</t>
        </is>
      </c>
      <c r="P95" s="27" t="n"/>
      <c r="Q95" s="27" t="n"/>
      <c r="R95" s="27" t="n"/>
      <c r="S95" s="27" t="n"/>
    </row>
    <row r="96" customFormat="1" s="26">
      <c r="A96" s="49" t="n"/>
      <c r="B96" s="49" t="n"/>
      <c r="C96" s="76" t="n"/>
      <c r="D96" s="76" t="n"/>
      <c r="E96" s="49" t="n"/>
      <c r="F96" s="49" t="n"/>
      <c r="G96" s="54" t="n"/>
      <c r="P96" s="27" t="n"/>
      <c r="Q96" s="27" t="n"/>
      <c r="R96" s="27" t="n"/>
      <c r="S96" s="27" t="n"/>
    </row>
    <row r="97" customFormat="1" s="26">
      <c r="A97" s="221" t="inlineStr">
        <is>
          <t>North-South Storage POD: Transceiver and Fiber/Cable</t>
        </is>
      </c>
      <c r="B97" s="222" t="n"/>
      <c r="C97" s="222" t="n"/>
      <c r="D97" s="222" t="n"/>
      <c r="E97" s="222" t="n"/>
      <c r="F97" s="222" t="n"/>
      <c r="G97" s="223" t="n"/>
      <c r="P97" s="27" t="n"/>
      <c r="Q97" s="27" t="n"/>
      <c r="R97" s="27" t="n"/>
      <c r="S97" s="27" t="n"/>
    </row>
    <row r="98" customFormat="1" s="26">
      <c r="A98" s="48" t="inlineStr">
        <is>
          <t>Item</t>
        </is>
      </c>
      <c r="B98" s="48" t="inlineStr">
        <is>
          <t>Count</t>
        </is>
      </c>
      <c r="C98" s="48" t="inlineStr">
        <is>
          <t>Spares</t>
        </is>
      </c>
      <c r="D98" s="125" t="inlineStr">
        <is>
          <t>Sub-Total</t>
        </is>
      </c>
      <c r="E98" s="48" t="inlineStr">
        <is>
          <t>Model/PN</t>
        </is>
      </c>
      <c r="F98" s="48" t="inlineStr">
        <is>
          <t>Description</t>
        </is>
      </c>
      <c r="G98" s="48" t="inlineStr">
        <is>
          <t>Notes</t>
        </is>
      </c>
      <c r="P98" s="27" t="n"/>
      <c r="Q98" s="27" t="n"/>
      <c r="R98" s="27" t="n"/>
      <c r="S98" s="27" t="n"/>
    </row>
    <row r="99" customFormat="1" s="26">
      <c r="A99" s="49" t="inlineStr">
        <is>
          <t>N-S Storage Leaf-Spine Link Leaf Xcvr</t>
        </is>
      </c>
      <c r="B99" s="49" t="n">
        <v>0</v>
      </c>
      <c r="C99" s="76" t="n">
        <v>0</v>
      </c>
      <c r="D99" s="101">
        <f>B99</f>
        <v/>
      </c>
      <c r="E99" s="103" t="inlineStr">
        <is>
          <t>MMS4X00-NM-T</t>
        </is>
      </c>
      <c r="F99" s="103" t="inlineStr">
        <is>
          <t>NVIDIA TWIN PORT TRANSCEIVER, 800GBPS,2X400GbE, OSFP, 2XMPO, 1310NM SMF, UP TO 500M, FINNED</t>
        </is>
      </c>
      <c r="G99" s="54" t="inlineStr"/>
      <c r="P99" s="27" t="n"/>
      <c r="Q99" s="27" t="n"/>
      <c r="R99" s="27" t="n"/>
      <c r="S99" s="27" t="n"/>
    </row>
    <row r="100" customFormat="1" s="26">
      <c r="A100" s="49" t="inlineStr">
        <is>
          <t>N-S Storage  Leaf-Spine Link Leaf Xcvr Cable</t>
        </is>
      </c>
      <c r="B100" s="49">
        <f>B99*2</f>
        <v/>
      </c>
      <c r="C100" s="76" t="n">
        <v>0</v>
      </c>
      <c r="D100" s="101">
        <f>B100</f>
        <v/>
      </c>
      <c r="E100" s="100" t="inlineStr">
        <is>
          <t>MFP7E30-N050</t>
        </is>
      </c>
      <c r="F100" s="100" t="inlineStr">
        <is>
          <t>MPO-12/APC to MPO-12/APC cable, 1310nm SMF OS2, 100m max, 50 M</t>
        </is>
      </c>
      <c r="G100" s="54" t="inlineStr"/>
      <c r="P100" s="27" t="n"/>
      <c r="Q100" s="27" t="n"/>
      <c r="R100" s="27" t="n"/>
      <c r="S100" s="27" t="n"/>
    </row>
    <row r="101" customFormat="1" s="26">
      <c r="A101" s="49" t="inlineStr">
        <is>
          <t>N-S Storage Leaf-Spine Link Spine Xcvr</t>
        </is>
      </c>
      <c r="B101" s="49">
        <f>B99</f>
        <v/>
      </c>
      <c r="C101" s="76" t="n">
        <v>0</v>
      </c>
      <c r="D101" s="101">
        <f>B101</f>
        <v/>
      </c>
      <c r="E101" s="103" t="inlineStr">
        <is>
          <t>MMS4X00-NM-T</t>
        </is>
      </c>
      <c r="F101" s="103" t="inlineStr">
        <is>
          <t>NVIDIA TWIN PORT TRANSCEIVER, 800GBPS,2X400GbE, OSFP, 2XMPO, 1310NM SMF, UP TO 500M, FINNED</t>
        </is>
      </c>
      <c r="G101" s="62" t="inlineStr"/>
      <c r="P101" s="27" t="n"/>
      <c r="Q101" s="27" t="n"/>
      <c r="R101" s="27" t="n"/>
      <c r="S101" s="27" t="n"/>
    </row>
    <row r="102" customFormat="1" s="26">
      <c r="A102" s="49" t="inlineStr">
        <is>
          <t>N-S Storage Leaf-Compute Link Leaf Xcvr</t>
        </is>
      </c>
      <c r="B102" s="49">
        <f>B100</f>
        <v/>
      </c>
      <c r="C102" s="76" t="n">
        <v>0</v>
      </c>
      <c r="D102" s="101">
        <f>B102</f>
        <v/>
      </c>
      <c r="E102" s="103" t="inlineStr">
        <is>
          <t>MMS4X00-NM-T</t>
        </is>
      </c>
      <c r="F102" s="103" t="inlineStr">
        <is>
          <t>NVIDIA TWIN PORT TRANSCEIVER, 800GBPS,2X400GbE, OSFP, 2XMPO, 1310NM SMF, UP TO 500M, FINNED</t>
        </is>
      </c>
      <c r="G102" s="62" t="n"/>
      <c r="P102" s="27" t="n"/>
      <c r="Q102" s="27" t="n"/>
      <c r="R102" s="27" t="n"/>
      <c r="S102" s="27" t="n"/>
    </row>
    <row r="103" customFormat="1" s="26">
      <c r="A103" s="49" t="inlineStr">
        <is>
          <t>N-S Storage Leaf-Compute Link  Cable</t>
        </is>
      </c>
      <c r="B103" s="49">
        <f>B101</f>
        <v/>
      </c>
      <c r="C103" s="76" t="n">
        <v>0</v>
      </c>
      <c r="D103" s="101">
        <f>B103</f>
        <v/>
      </c>
      <c r="E103" s="100" t="inlineStr">
        <is>
          <t>MFP7E30-N050</t>
        </is>
      </c>
      <c r="F103" s="100" t="inlineStr">
        <is>
          <t>MPO-12/APC to MPO-12/APC cable, 1310nm SMF OS2, 100m max, 50 M</t>
        </is>
      </c>
      <c r="G103" s="62" t="n"/>
      <c r="P103" s="27" t="n"/>
      <c r="Q103" s="27" t="n"/>
      <c r="R103" s="27" t="n"/>
      <c r="S103" s="27" t="n"/>
    </row>
    <row r="104" customFormat="1" s="26">
      <c r="A104" s="49" t="inlineStr">
        <is>
          <t>N-S Storage Leaf-Compute Link  Xcvr</t>
        </is>
      </c>
      <c r="B104" s="49">
        <f>B102</f>
        <v/>
      </c>
      <c r="C104" s="98" t="n">
        <v>0</v>
      </c>
      <c r="D104" s="101">
        <f>B104</f>
        <v/>
      </c>
      <c r="E104" s="102" t="inlineStr">
        <is>
          <t>MMS1X00-NS400</t>
        </is>
      </c>
      <c r="F104" s="126" t="inlineStr">
        <is>
          <t>NVIDIA single port transceiver, 400Gbps, NDR, QSFP112, MPO, 1310nm SMF, up to 500m, flat top</t>
        </is>
      </c>
      <c r="G104" s="62" t="n"/>
      <c r="P104" s="27" t="n"/>
      <c r="Q104" s="27" t="n"/>
      <c r="R104" s="27" t="n"/>
      <c r="S104" s="27" t="n"/>
    </row>
    <row r="105" customFormat="1" s="26">
      <c r="A105" s="49" t="inlineStr">
        <is>
          <t>N-S Storage Spine-Core Link Spine Xcvr</t>
        </is>
      </c>
      <c r="B105" s="49">
        <f>B103</f>
        <v/>
      </c>
      <c r="C105" s="76" t="n">
        <v>0</v>
      </c>
      <c r="D105" s="76">
        <f>B105</f>
        <v/>
      </c>
      <c r="E105" s="103" t="inlineStr">
        <is>
          <t>MMS4X00-NM-T</t>
        </is>
      </c>
      <c r="F105" s="103" t="inlineStr">
        <is>
          <t>NVIDIA TWIN PORT TRANSCEIVER, 800GBPS,2X400GbE, OSFP, 2XMPO, 1310NM SMF, UP TO 500M, FINNED</t>
        </is>
      </c>
      <c r="G105" s="54" t="n"/>
      <c r="P105" s="27" t="n"/>
      <c r="Q105" s="27" t="n"/>
      <c r="R105" s="27" t="n"/>
      <c r="S105" s="27" t="n"/>
    </row>
    <row r="106" customFormat="1" s="26">
      <c r="A106" s="49" t="inlineStr">
        <is>
          <t>N-S Storage Spine-Core Link Spine Xcvr Cable</t>
        </is>
      </c>
      <c r="B106" s="49">
        <f>B104</f>
        <v/>
      </c>
      <c r="C106" s="76" t="n">
        <v>0</v>
      </c>
      <c r="D106" s="76">
        <f>B106</f>
        <v/>
      </c>
      <c r="E106" s="100" t="inlineStr">
        <is>
          <t>MFP7E30-N050</t>
        </is>
      </c>
      <c r="F106" s="100" t="inlineStr">
        <is>
          <t>MPO-12/APC to MPO-12/APC cable, 1310nm SMF OS2, 100m max, 50 M</t>
        </is>
      </c>
      <c r="G106" s="54" t="n"/>
      <c r="P106" s="27" t="n"/>
      <c r="Q106" s="27" t="n"/>
      <c r="R106" s="27" t="n"/>
      <c r="S106" s="27" t="n"/>
    </row>
    <row r="107" customFormat="1" s="26">
      <c r="A107" s="49" t="inlineStr">
        <is>
          <t>N-S Storage Spine-Core Link Spine Xcvr</t>
        </is>
      </c>
      <c r="B107" s="49">
        <f>B105</f>
        <v/>
      </c>
      <c r="C107" s="76" t="n">
        <v>0</v>
      </c>
      <c r="D107" s="76">
        <f>B107</f>
        <v/>
      </c>
      <c r="E107" s="103" t="inlineStr">
        <is>
          <t>MMS4X00-NM-T</t>
        </is>
      </c>
      <c r="F107" s="103" t="inlineStr">
        <is>
          <t>NVIDIA TWIN PORT TRANSCEIVER, 800GBPS,2X400GbE, OSFP, 2XMPO, 1310NM SMF, UP TO 500M, FINNED</t>
        </is>
      </c>
      <c r="G107" s="54" t="n"/>
      <c r="P107" s="27" t="n"/>
      <c r="Q107" s="27" t="n"/>
      <c r="R107" s="27" t="n"/>
      <c r="S107" s="27" t="n"/>
    </row>
    <row r="108" customFormat="1" s="26">
      <c r="A108" s="49" t="n"/>
      <c r="B108" s="49" t="n"/>
      <c r="C108" s="76" t="n">
        <v>0</v>
      </c>
      <c r="D108" s="76">
        <f>B108</f>
        <v/>
      </c>
      <c r="E108" s="99" t="inlineStr"/>
      <c r="F108" s="99" t="inlineStr"/>
      <c r="G108" s="99" t="inlineStr"/>
      <c r="P108" s="27" t="n"/>
      <c r="Q108" s="27" t="n"/>
      <c r="R108" s="27" t="n"/>
      <c r="S108" s="27" t="n"/>
    </row>
    <row r="109" customFormat="1" s="26">
      <c r="A109" s="225" t="inlineStr">
        <is>
          <t>North-South Control POD: Transceiver and Fiber/Cable</t>
        </is>
      </c>
      <c r="B109" s="226" t="n"/>
      <c r="C109" s="226" t="n"/>
      <c r="D109" s="226" t="n"/>
      <c r="E109" s="226" t="n"/>
      <c r="F109" s="226" t="n"/>
      <c r="G109" s="227" t="n"/>
      <c r="P109" s="27" t="n"/>
      <c r="Q109" s="27" t="n"/>
      <c r="R109" s="27" t="n"/>
      <c r="S109" s="27" t="n"/>
    </row>
    <row r="110" customFormat="1" s="26">
      <c r="A110" s="48" t="inlineStr">
        <is>
          <t>Item</t>
        </is>
      </c>
      <c r="B110" s="48" t="inlineStr">
        <is>
          <t>Count</t>
        </is>
      </c>
      <c r="C110" s="48" t="inlineStr">
        <is>
          <t>Spares</t>
        </is>
      </c>
      <c r="D110" s="56" t="inlineStr">
        <is>
          <t>Sub-Total</t>
        </is>
      </c>
      <c r="E110" s="46" t="inlineStr">
        <is>
          <t>Model/PN</t>
        </is>
      </c>
      <c r="F110" s="46" t="inlineStr">
        <is>
          <t>Description</t>
        </is>
      </c>
      <c r="G110" s="48" t="inlineStr">
        <is>
          <t>Notes</t>
        </is>
      </c>
      <c r="P110" s="27" t="n"/>
      <c r="Q110" s="27" t="n"/>
      <c r="R110" s="27" t="n"/>
      <c r="S110" s="27" t="n"/>
    </row>
    <row r="111" customFormat="1" s="26">
      <c r="A111" s="49" t="inlineStr">
        <is>
          <t>N-S Control Leaf-Spine Link Leaf Xcvr</t>
        </is>
      </c>
      <c r="B111" s="49">
        <f>B15*2</f>
        <v/>
      </c>
      <c r="C111" s="76" t="n">
        <v>0</v>
      </c>
      <c r="D111" s="101">
        <f>B111+C111</f>
        <v/>
      </c>
      <c r="E111" s="103" t="inlineStr">
        <is>
          <t>MMS4X00-NM-T</t>
        </is>
      </c>
      <c r="F111" s="103" t="inlineStr">
        <is>
          <t>NVIDIA TWIN PORT TRANSCEIVER, 800GBPS,2X400GbE, OSFP, 2XMPO, 1310NM SMF, UP TO 500M, FINNED</t>
        </is>
      </c>
      <c r="G111" s="50" t="inlineStr">
        <is>
          <t>Optics: Leaf to Spine</t>
        </is>
      </c>
      <c r="P111" s="27" t="n"/>
      <c r="Q111" s="27" t="n"/>
      <c r="R111" s="27" t="n"/>
      <c r="S111" s="27" t="n"/>
    </row>
    <row r="112" customFormat="1" s="26">
      <c r="A112" s="49" t="inlineStr">
        <is>
          <t>N-S Control Leaf-Spine Link Leaf Xcvr Cable</t>
        </is>
      </c>
      <c r="B112" s="49">
        <f>B111*2</f>
        <v/>
      </c>
      <c r="C112" s="76" t="n">
        <v>0</v>
      </c>
      <c r="D112" s="101">
        <f>B112+C112</f>
        <v/>
      </c>
      <c r="E112" s="100" t="inlineStr">
        <is>
          <t>MFP7E30-N050</t>
        </is>
      </c>
      <c r="F112" s="100" t="inlineStr">
        <is>
          <t>MPO-12/APC to MPO-12/APC cable, 1310nm SMF OS2, 100m max, 50 M</t>
        </is>
      </c>
      <c r="G112" s="50" t="inlineStr">
        <is>
          <t>Cables: Leaf to Spine</t>
        </is>
      </c>
      <c r="P112" s="27" t="n"/>
      <c r="Q112" s="27" t="n"/>
      <c r="R112" s="27" t="n"/>
      <c r="S112" s="27" t="n"/>
    </row>
    <row r="113" customFormat="1" s="26">
      <c r="A113" s="49" t="inlineStr">
        <is>
          <t>N-S Control Leaf-Spine Link Spine Xcvr</t>
        </is>
      </c>
      <c r="B113" s="49">
        <f>B111</f>
        <v/>
      </c>
      <c r="C113" s="76" t="n">
        <v>0</v>
      </c>
      <c r="D113" s="76">
        <f>B113+C113</f>
        <v/>
      </c>
      <c r="E113" s="103" t="inlineStr">
        <is>
          <t>MMS4X00-NM-T</t>
        </is>
      </c>
      <c r="F113" s="103" t="inlineStr">
        <is>
          <t>NVIDIA TWIN PORT TRANSCEIVER, 800GBPS,2X400GbE, OSFP, 2XMPO, 1310NM SMF, UP TO 500M, FINNED</t>
        </is>
      </c>
      <c r="G113" s="62" t="inlineStr">
        <is>
          <t>Optics: Spine to Leaf</t>
        </is>
      </c>
      <c r="P113" s="27" t="n"/>
      <c r="Q113" s="27" t="n"/>
      <c r="R113" s="27" t="n"/>
      <c r="S113" s="27" t="n"/>
    </row>
    <row r="114" customFormat="1" s="26">
      <c r="A114" s="49" t="inlineStr">
        <is>
          <t>N-S Control Leaf-Compute Leaf Xcvr</t>
        </is>
      </c>
      <c r="B114" s="49" t="n">
        <v>1710</v>
      </c>
      <c r="C114" s="76" t="n">
        <v>0</v>
      </c>
      <c r="D114" s="76">
        <f>B114+C114</f>
        <v/>
      </c>
      <c r="E114" s="103" t="inlineStr">
        <is>
          <t>MMS4X00-NM-T</t>
        </is>
      </c>
      <c r="F114" s="103" t="inlineStr">
        <is>
          <t>NVIDIA TWIN PORT TRANSCEIVER, 800GBPS,2X400GbE, OSFP, 2XMPO, 1310NM SMF, UP TO 500M, FINNED</t>
        </is>
      </c>
      <c r="G114" s="62" t="n"/>
      <c r="P114" s="27" t="n"/>
      <c r="Q114" s="27" t="n"/>
      <c r="R114" s="27" t="n"/>
      <c r="S114" s="27" t="n"/>
    </row>
    <row r="115" customFormat="1" s="26">
      <c r="A115" s="49" t="inlineStr">
        <is>
          <t>N-S Control Leaf-Compute Leaf Cable</t>
        </is>
      </c>
      <c r="B115" s="49">
        <f>B116/2</f>
        <v/>
      </c>
      <c r="C115" s="76" t="n">
        <v>0</v>
      </c>
      <c r="D115" s="76">
        <f>B115+C115</f>
        <v/>
      </c>
      <c r="E115" s="133" t="inlineStr">
        <is>
          <t>MFP7E40-N050</t>
        </is>
      </c>
      <c r="F115" s="134" t="inlineStr">
        <is>
          <t>MPO12 APC to 2xMPO12 APC, 50 m long</t>
        </is>
      </c>
      <c r="G115" s="54" t="n"/>
      <c r="P115" s="27" t="n"/>
      <c r="Q115" s="27" t="n"/>
      <c r="R115" s="27" t="n"/>
      <c r="S115" s="27" t="n"/>
    </row>
    <row r="116" customFormat="1" s="105">
      <c r="A116" s="51" t="inlineStr">
        <is>
          <t>N-S Control Leaf-Compute Xcvr</t>
        </is>
      </c>
      <c r="B116" s="51" t="n">
        <v>3420</v>
      </c>
      <c r="C116" s="109" t="n">
        <v>0</v>
      </c>
      <c r="D116" s="109">
        <f>B116+C116</f>
        <v/>
      </c>
      <c r="E116" s="102" t="inlineStr">
        <is>
          <t>MMS1X00-NS400</t>
        </is>
      </c>
      <c r="F116" s="122" t="inlineStr">
        <is>
          <t>NVIDIA single port transceiver, 400Gbps, NDR, QSFP112, MPO, 1310nm SMF, up to 500m, flat top</t>
        </is>
      </c>
      <c r="G116" s="123" t="inlineStr">
        <is>
          <t>BF3140 - connect to Z9864F at 200G</t>
        </is>
      </c>
    </row>
    <row r="117" customFormat="1" s="26">
      <c r="A117" s="49" t="inlineStr">
        <is>
          <t>N-S Control Spine-Core Link Spine Xcvr</t>
        </is>
      </c>
      <c r="B117" s="49" t="n">
        <v>64</v>
      </c>
      <c r="C117" s="76" t="n"/>
      <c r="D117" s="76">
        <f>B117+C117</f>
        <v/>
      </c>
      <c r="E117" s="103" t="inlineStr">
        <is>
          <t>MMS4X00-NM-T</t>
        </is>
      </c>
      <c r="F117" s="103" t="inlineStr">
        <is>
          <t>NVIDIA TWIN PORT TRANSCEIVER, 800GBPS,2X400GbE, OSFP, 2XMPO, 1310NM SMF, UP TO 500M, FINNED</t>
        </is>
      </c>
      <c r="G117" s="54" t="n"/>
      <c r="P117" s="27" t="n"/>
      <c r="Q117" s="27" t="n"/>
      <c r="R117" s="27" t="n"/>
      <c r="S117" s="27" t="n"/>
    </row>
    <row r="118" customFormat="1" s="26">
      <c r="A118" s="49" t="inlineStr">
        <is>
          <t>N-S Control Spine-Core Link Spine Xcvr Cable</t>
        </is>
      </c>
      <c r="B118" s="49">
        <f>B117*2</f>
        <v/>
      </c>
      <c r="C118" s="76" t="n"/>
      <c r="D118" s="76">
        <f>B118+C118</f>
        <v/>
      </c>
      <c r="E118" s="100" t="inlineStr">
        <is>
          <t>MFP7E30-N050</t>
        </is>
      </c>
      <c r="F118" s="100" t="inlineStr">
        <is>
          <t>MPO-12/APC to MPO-12/APC cable, 1310nm SMF OS2, 100m max, 50 M</t>
        </is>
      </c>
      <c r="G118" s="54" t="n"/>
      <c r="P118" s="27" t="n"/>
      <c r="Q118" s="27" t="n"/>
      <c r="R118" s="27" t="n"/>
      <c r="S118" s="27" t="n"/>
    </row>
    <row r="119" customFormat="1" s="26">
      <c r="A119" s="49" t="inlineStr">
        <is>
          <t>N-S Control Spine-Core Link Spine Xcvr</t>
        </is>
      </c>
      <c r="B119" s="49" t="n">
        <v>64</v>
      </c>
      <c r="C119" s="76" t="n"/>
      <c r="D119" s="76">
        <f>B119+C119</f>
        <v/>
      </c>
      <c r="E119" s="103" t="inlineStr">
        <is>
          <t>MMS4X00-NM-T</t>
        </is>
      </c>
      <c r="F119" s="103" t="inlineStr">
        <is>
          <t>NVIDIA TWIN PORT TRANSCEIVER, 800GBPS,2X400GbE, OSFP, 2XMPO, 1310NM SMF, UP TO 500M, FINNED</t>
        </is>
      </c>
      <c r="G119" s="54" t="n"/>
      <c r="P119" s="27" t="n"/>
      <c r="Q119" s="27" t="n"/>
      <c r="R119" s="27" t="n"/>
      <c r="S119" s="27" t="n"/>
    </row>
    <row r="120" customFormat="1" s="27">
      <c r="A120" s="225" t="inlineStr">
        <is>
          <t>OOB Cluster : Transceiver and Fiber/Cable</t>
        </is>
      </c>
      <c r="B120" s="226" t="n"/>
      <c r="C120" s="226" t="n"/>
      <c r="D120" s="226" t="n"/>
      <c r="E120" s="226" t="n"/>
      <c r="F120" s="226" t="n"/>
      <c r="G120" s="227" t="n"/>
    </row>
    <row r="121" customFormat="1" s="26">
      <c r="A121" s="46" t="inlineStr">
        <is>
          <t>Item</t>
        </is>
      </c>
      <c r="B121" s="46" t="inlineStr">
        <is>
          <t>Count</t>
        </is>
      </c>
      <c r="C121" s="46" t="inlineStr">
        <is>
          <t>Spares</t>
        </is>
      </c>
      <c r="D121" s="47" t="inlineStr">
        <is>
          <t>Sub-Total</t>
        </is>
      </c>
      <c r="E121" s="46" t="inlineStr">
        <is>
          <t>Model/PN</t>
        </is>
      </c>
      <c r="F121" s="46" t="inlineStr">
        <is>
          <t>Description</t>
        </is>
      </c>
      <c r="G121" s="46" t="inlineStr">
        <is>
          <t>Notes</t>
        </is>
      </c>
      <c r="P121" s="27" t="n"/>
      <c r="Q121" s="27" t="n"/>
      <c r="R121" s="27" t="n"/>
      <c r="S121" s="27" t="n"/>
    </row>
    <row r="122" customFormat="1" s="27">
      <c r="A122" s="186" t="inlineStr">
        <is>
          <t>OOB ToR Cable to end nodes</t>
        </is>
      </c>
      <c r="B122" s="187">
        <f>B22*48</f>
        <v/>
      </c>
      <c r="C122" s="186" t="n">
        <v>0</v>
      </c>
      <c r="D122" s="187">
        <f>B122</f>
        <v/>
      </c>
      <c r="E122" s="188" t="inlineStr">
        <is>
          <t xml:space="preserve">Cat 6 </t>
        </is>
      </c>
      <c r="F122" s="189" t="inlineStr">
        <is>
          <t xml:space="preserve">Cat 6  </t>
        </is>
      </c>
      <c r="G122" s="49" t="n"/>
    </row>
    <row r="123" customFormat="1" s="27">
      <c r="A123" s="186" t="inlineStr">
        <is>
          <t>OOB ToR-AGG Link ToR Xcvr</t>
        </is>
      </c>
      <c r="B123" s="186">
        <f>B22*2</f>
        <v/>
      </c>
      <c r="C123" s="186" t="n">
        <v>0</v>
      </c>
      <c r="D123" s="187">
        <f>B123</f>
        <v/>
      </c>
      <c r="E123" s="175" t="inlineStr">
        <is>
          <t>980-9I042- 00C000</t>
        </is>
      </c>
      <c r="F123" s="144" t="inlineStr">
        <is>
          <t>Mellanox transceiver, 100GbE, QSFP28, LC-LC, 1310nm, DR1</t>
        </is>
      </c>
      <c r="G123" s="84" t="inlineStr"/>
    </row>
    <row r="124" customFormat="1" s="27">
      <c r="A124" s="186" t="inlineStr">
        <is>
          <t>OOB ToR-AGG Link ToR Xcvr Cable</t>
        </is>
      </c>
      <c r="B124" s="186">
        <f>B123</f>
        <v/>
      </c>
      <c r="C124" s="186" t="n">
        <v>0</v>
      </c>
      <c r="D124" s="187">
        <f>B124</f>
        <v/>
      </c>
      <c r="E124" s="175" t="inlineStr">
        <is>
          <t xml:space="preserve">A7204378 </t>
        </is>
      </c>
      <c r="F124" s="190" t="inlineStr">
        <is>
          <t>Switch Xcvr to LC Patch Panel LC-LC short leg patch cable, Other end is MPO to 4xLC to OOB Spine</t>
        </is>
      </c>
      <c r="G124" s="84" t="n"/>
    </row>
    <row r="125" customFormat="1" s="27">
      <c r="A125" s="186" t="inlineStr">
        <is>
          <t>OOB ToR-AGG Link AGGR  Cable</t>
        </is>
      </c>
      <c r="B125" s="186" t="n">
        <v>128</v>
      </c>
      <c r="C125" s="186" t="n">
        <v>0</v>
      </c>
      <c r="D125" s="187">
        <f>B125</f>
        <v/>
      </c>
      <c r="E125" s="86" t="inlineStr">
        <is>
          <t>470-ABGH</t>
        </is>
      </c>
      <c r="F125" s="106" t="inlineStr">
        <is>
          <t>Switch Xcvr to LC Patch Panel MPO-4xLC short leg patch cable, Other end is LC to OOB Leafs</t>
        </is>
      </c>
      <c r="G125" s="49" t="inlineStr">
        <is>
          <t xml:space="preserve">only 5M is available </t>
        </is>
      </c>
    </row>
    <row r="126" customFormat="1" s="27">
      <c r="A126" s="186" t="inlineStr">
        <is>
          <t xml:space="preserve">4x100G Patch Panel </t>
        </is>
      </c>
      <c r="B126" s="186" t="n">
        <v>24</v>
      </c>
      <c r="C126" s="186" t="n">
        <v>0</v>
      </c>
      <c r="D126" s="187">
        <f>B126</f>
        <v/>
      </c>
      <c r="E126" s="86" t="inlineStr">
        <is>
          <t>Corning 4x100 Breakout PP</t>
        </is>
      </c>
      <c r="F126" s="86" t="inlineStr">
        <is>
          <t xml:space="preserve">Final Count will come from Actual BOM </t>
        </is>
      </c>
      <c r="G126" s="49" t="n"/>
    </row>
    <row r="127" customFormat="1" s="27">
      <c r="A127" s="186" t="inlineStr">
        <is>
          <t xml:space="preserve">OOB ToR-AGG Link AGGR Xcvr </t>
        </is>
      </c>
      <c r="B127" s="186" t="n">
        <v>128</v>
      </c>
      <c r="C127" s="186" t="n">
        <v>0</v>
      </c>
      <c r="D127" s="187">
        <f>B127</f>
        <v/>
      </c>
      <c r="E127" s="191" t="inlineStr">
        <is>
          <t>MMS4X00-NM-T</t>
        </is>
      </c>
      <c r="F127" s="191" t="inlineStr">
        <is>
          <t>NVIDIA TWIN PORT TRANSCEIVER, 800GBPS,2X400GbE, OSFP, 2XMPO, 1310NM SMF, UP TO 500M, FINNED</t>
        </is>
      </c>
      <c r="G127" s="135" t="n"/>
      <c r="H127" s="105" t="n"/>
      <c r="I127" s="105" t="n"/>
      <c r="J127" s="105" t="n"/>
      <c r="K127" s="105" t="n"/>
      <c r="L127" s="105" t="n"/>
      <c r="M127" s="105" t="n"/>
      <c r="N127" s="105" t="n"/>
      <c r="O127" s="105" t="n"/>
      <c r="P127" s="105" t="n"/>
      <c r="Q127" s="105" t="n"/>
      <c r="R127" s="105" t="n"/>
      <c r="S127" s="105" t="n"/>
      <c r="T127" s="105" t="n"/>
      <c r="U127" s="105" t="n"/>
    </row>
    <row r="128" customFormat="1" s="27">
      <c r="A128" s="186" t="inlineStr">
        <is>
          <t>OOB Core-Border leaf Link OOB Core Xcvr</t>
        </is>
      </c>
      <c r="B128" s="186" t="n">
        <v>0</v>
      </c>
      <c r="C128" s="186" t="n">
        <v>0</v>
      </c>
      <c r="D128" s="187">
        <f>B128</f>
        <v/>
      </c>
      <c r="E128" s="191" t="inlineStr">
        <is>
          <t>MMS4X00-NM-T</t>
        </is>
      </c>
      <c r="F128" s="191" t="inlineStr">
        <is>
          <t>NVIDIA TWIN PORT TRANSCEIVER, 800GBPS,2X400GbE, OSFP, 2XMPO, 1310NM SMF, UP TO 500M, FINNED</t>
        </is>
      </c>
      <c r="G128" s="49" t="n"/>
    </row>
    <row r="129" customFormat="1" s="27">
      <c r="A129" s="186" t="inlineStr">
        <is>
          <t>OOB Core-Border Link Border Xcvr Cable</t>
        </is>
      </c>
      <c r="B129" s="186" t="n">
        <v>0</v>
      </c>
      <c r="C129" s="186" t="n">
        <v>0</v>
      </c>
      <c r="D129" s="187">
        <f>B129</f>
        <v/>
      </c>
      <c r="E129" s="100" t="inlineStr">
        <is>
          <t>MFP7E30-N050</t>
        </is>
      </c>
      <c r="F129" s="108" t="inlineStr">
        <is>
          <t>MPO-12/APC to MPO-12/APC cable, 1310nm SMF OS2, 100m max, 50 M</t>
        </is>
      </c>
      <c r="G129" s="49" t="n"/>
    </row>
    <row r="130" customFormat="1" s="27">
      <c r="A130" s="186" t="inlineStr">
        <is>
          <t xml:space="preserve">OOB Core-Border Link Border Xcvr </t>
        </is>
      </c>
      <c r="B130" s="186" t="n">
        <v>0</v>
      </c>
      <c r="C130" s="186" t="n">
        <v>0</v>
      </c>
      <c r="D130" s="187">
        <f>B130</f>
        <v/>
      </c>
      <c r="E130" s="192" t="inlineStr">
        <is>
          <t>IREN WILL PROVIDE</t>
        </is>
      </c>
      <c r="F130" s="193" t="inlineStr">
        <is>
          <t xml:space="preserve">400G-QSFP-DR4 </t>
        </is>
      </c>
      <c r="G130" s="49" t="n"/>
      <c r="H130" s="26" t="n"/>
      <c r="I130" s="26" t="n"/>
      <c r="J130" s="26" t="n"/>
      <c r="K130" s="26" t="n"/>
      <c r="L130" s="26" t="n"/>
      <c r="M130" s="26" t="n"/>
      <c r="N130" s="26" t="n"/>
      <c r="O130" s="26" t="n"/>
    </row>
    <row r="131" customFormat="1" s="27">
      <c r="A131" s="186" t="inlineStr">
        <is>
          <t>OOB AGGR-OOB Core link AGGR Xcvr</t>
        </is>
      </c>
      <c r="B131" s="186" t="n">
        <v>36</v>
      </c>
      <c r="C131" s="186" t="n">
        <v>0</v>
      </c>
      <c r="D131" s="187">
        <f>B131</f>
        <v/>
      </c>
      <c r="E131" s="191" t="inlineStr">
        <is>
          <t>MMS4X00-NM-T</t>
        </is>
      </c>
      <c r="F131" s="191" t="inlineStr">
        <is>
          <t>NVIDIA TWIN PORT TRANSCEIVER, 800GBPS,2X400GbE, OSFP, 2XMPO, 1310NM SMF, UP TO 500M, FINNED</t>
        </is>
      </c>
      <c r="G131" s="49" t="n"/>
      <c r="H131" s="26" t="n"/>
      <c r="I131" s="26" t="n"/>
      <c r="J131" s="26" t="n"/>
      <c r="K131" s="26" t="n"/>
      <c r="L131" s="26" t="n"/>
      <c r="M131" s="26" t="n"/>
      <c r="N131" s="26" t="n"/>
      <c r="O131" s="26" t="n"/>
    </row>
    <row r="132" customFormat="1" s="27">
      <c r="A132" s="186" t="inlineStr">
        <is>
          <t>OOB AGGR-OOB Core Link AGGR Xcvr Cable</t>
        </is>
      </c>
      <c r="B132" s="186" t="n">
        <v>72</v>
      </c>
      <c r="C132" s="186" t="n">
        <v>0</v>
      </c>
      <c r="D132" s="187">
        <f>B132</f>
        <v/>
      </c>
      <c r="E132" s="100" t="inlineStr">
        <is>
          <t>MFP7E30-N050</t>
        </is>
      </c>
      <c r="F132" s="108" t="inlineStr">
        <is>
          <t>MPO-12/APC to MPO-12/APC cable, 1310nm SMF OS2, 100m max, 50 M</t>
        </is>
      </c>
      <c r="G132" s="49" t="n"/>
      <c r="H132" s="26" t="n"/>
      <c r="I132" s="26" t="n"/>
      <c r="J132" s="26" t="n"/>
      <c r="K132" s="26" t="n"/>
      <c r="L132" s="26" t="n"/>
      <c r="M132" s="26" t="n"/>
      <c r="N132" s="26" t="n"/>
      <c r="O132" s="26" t="n"/>
    </row>
    <row r="133" customFormat="1" s="27">
      <c r="A133" s="186" t="inlineStr">
        <is>
          <t xml:space="preserve">OOB AGG-OOB Core Link Core Xcvr </t>
        </is>
      </c>
      <c r="B133" s="186" t="n">
        <v>36</v>
      </c>
      <c r="C133" s="186" t="n">
        <v>0</v>
      </c>
      <c r="D133" s="187">
        <f>B133</f>
        <v/>
      </c>
      <c r="E133" s="191" t="inlineStr">
        <is>
          <t>MMS4X00-NM-T</t>
        </is>
      </c>
      <c r="F133" s="191" t="inlineStr">
        <is>
          <t>NVIDIA TWIN PORT TRANSCEIVER, 800GBPS,2X400GbE, OSFP, 2XMPO, 1310NM SMF, UP TO 500M, FINNED</t>
        </is>
      </c>
      <c r="G133" s="49" t="n"/>
      <c r="H133" s="26" t="n"/>
      <c r="I133" s="26" t="n"/>
      <c r="J133" s="26" t="n"/>
      <c r="K133" s="26" t="n"/>
      <c r="L133" s="26" t="n"/>
      <c r="M133" s="26" t="n"/>
      <c r="N133" s="26" t="n"/>
      <c r="O133" s="26" t="n"/>
    </row>
    <row r="134" customFormat="1" s="27">
      <c r="A134" s="221" t="inlineStr">
        <is>
          <t>Border Leaf : Transceiver and Fiber/Cable</t>
        </is>
      </c>
      <c r="B134" s="222" t="n"/>
      <c r="C134" s="222" t="n"/>
      <c r="D134" s="222" t="n"/>
      <c r="E134" s="222" t="n"/>
      <c r="F134" s="222" t="n"/>
      <c r="G134" s="223" t="n"/>
      <c r="H134" s="26" t="n"/>
      <c r="I134" s="26" t="n"/>
      <c r="J134" s="26" t="n"/>
      <c r="K134" s="26" t="n"/>
      <c r="L134" s="26" t="n"/>
      <c r="M134" s="26" t="n"/>
      <c r="N134" s="26" t="n"/>
      <c r="O134" s="26" t="n"/>
    </row>
    <row r="135" customFormat="1" s="27">
      <c r="A135" s="46" t="inlineStr">
        <is>
          <t>Item</t>
        </is>
      </c>
      <c r="B135" s="46" t="inlineStr">
        <is>
          <t>Count</t>
        </is>
      </c>
      <c r="C135" s="46" t="inlineStr">
        <is>
          <t>Spares</t>
        </is>
      </c>
      <c r="D135" s="47" t="inlineStr">
        <is>
          <t>Sub-Total</t>
        </is>
      </c>
      <c r="E135" s="46" t="inlineStr">
        <is>
          <t>Model/PN</t>
        </is>
      </c>
      <c r="F135" s="46" t="inlineStr">
        <is>
          <t>Description</t>
        </is>
      </c>
      <c r="G135" s="81" t="inlineStr">
        <is>
          <t>Notes</t>
        </is>
      </c>
      <c r="H135" s="26" t="n"/>
      <c r="I135" s="26" t="n"/>
      <c r="J135" s="26" t="n"/>
      <c r="K135" s="26" t="n"/>
      <c r="L135" s="26" t="n"/>
      <c r="M135" s="26" t="n"/>
      <c r="N135" s="26" t="n"/>
      <c r="O135" s="26" t="n"/>
    </row>
    <row r="136" customFormat="1" s="27">
      <c r="A136" s="80" t="inlineStr">
        <is>
          <t xml:space="preserve">Border Leaf to Control Spine - Border leaf tranceiver </t>
        </is>
      </c>
      <c r="B136" s="80" t="n">
        <v>8</v>
      </c>
      <c r="C136" s="80" t="n">
        <v>0</v>
      </c>
      <c r="D136" s="82">
        <f>SUM(B136:C136)</f>
        <v/>
      </c>
      <c r="E136" s="111" t="inlineStr">
        <is>
          <t>IREN WILL PROVIDE</t>
        </is>
      </c>
      <c r="F136" s="85" t="inlineStr">
        <is>
          <t>400G-QSFP-DD</t>
        </is>
      </c>
      <c r="G136" s="80" t="n"/>
      <c r="H136" s="26" t="n"/>
      <c r="I136" s="26" t="n"/>
      <c r="J136" s="26" t="n"/>
      <c r="K136" s="26" t="n"/>
      <c r="L136" s="26" t="n"/>
      <c r="M136" s="26" t="n"/>
      <c r="N136" s="26" t="n"/>
      <c r="O136" s="26" t="n"/>
    </row>
    <row r="137" customFormat="1" s="27">
      <c r="A137" s="130" t="inlineStr">
        <is>
          <t>Border Leaf to  Control Spine- Border leaf - Converged core Cable</t>
        </is>
      </c>
      <c r="B137" s="130" t="n">
        <v>8</v>
      </c>
      <c r="C137" s="130" t="n">
        <v>0</v>
      </c>
      <c r="D137" s="131">
        <f>SUM(B137:C137)</f>
        <v/>
      </c>
      <c r="E137" s="132" t="inlineStr">
        <is>
          <t>MFP7E30-N050</t>
        </is>
      </c>
      <c r="F137" s="132" t="inlineStr">
        <is>
          <t>MPO-12/APC to MPO-12/APC cable, 1310nm SMF OS2, 100m max, 50 M</t>
        </is>
      </c>
      <c r="G137" s="80" t="n"/>
      <c r="H137" s="26" t="n"/>
      <c r="I137" s="26" t="n"/>
      <c r="J137" s="26" t="n"/>
      <c r="K137" s="26" t="n"/>
      <c r="L137" s="26" t="n"/>
      <c r="M137" s="26" t="n"/>
      <c r="N137" s="26" t="n"/>
      <c r="O137" s="26" t="n"/>
    </row>
    <row r="138" customFormat="1" s="27">
      <c r="A138" s="49" t="inlineStr">
        <is>
          <t xml:space="preserve">Border Leaf to  Control Spine- Border Converged core tranceiver </t>
        </is>
      </c>
      <c r="B138" s="49" t="n">
        <v>8</v>
      </c>
      <c r="C138" s="49" t="n">
        <v>0</v>
      </c>
      <c r="D138" s="49">
        <f>SUM(B138:C138)</f>
        <v/>
      </c>
      <c r="E138" s="103" t="inlineStr">
        <is>
          <t>MMS4X00-NM-T</t>
        </is>
      </c>
      <c r="F138" s="103" t="inlineStr">
        <is>
          <t>NVIDIA TWIN PORT TRANSCEIVER, 800GBPS,2X400GbE, OSFP, 2XMPO, 1310NM SMF, UP TO 500M, FINNED</t>
        </is>
      </c>
      <c r="G138" s="129" t="n"/>
      <c r="H138" s="26" t="n"/>
      <c r="I138" s="26" t="n"/>
      <c r="J138" s="26" t="n"/>
      <c r="K138" s="26" t="n"/>
      <c r="L138" s="26" t="n"/>
      <c r="M138" s="26" t="n"/>
      <c r="N138" s="26" t="n"/>
      <c r="O138" s="26" t="n"/>
    </row>
    <row r="139" customFormat="1" s="27">
      <c r="A139" s="54" t="n"/>
      <c r="B139" s="54" t="n"/>
      <c r="C139" s="54" t="n"/>
      <c r="D139" s="54" t="n"/>
      <c r="E139" s="54" t="n"/>
      <c r="F139" s="54" t="n"/>
      <c r="G139" s="52" t="n"/>
      <c r="H139" s="26" t="n"/>
      <c r="I139" s="26" t="n"/>
      <c r="J139" s="26" t="n"/>
      <c r="K139" s="26" t="n"/>
      <c r="L139" s="26" t="n"/>
      <c r="M139" s="26" t="n"/>
      <c r="N139" s="26" t="n"/>
      <c r="O139" s="26" t="n"/>
    </row>
    <row r="140" customFormat="1" s="27">
      <c r="A140" s="225" t="inlineStr">
        <is>
          <t>North-South IREN Control POD: Transceiver and Fiber/Cable</t>
        </is>
      </c>
      <c r="B140" s="226" t="n"/>
      <c r="C140" s="226" t="n"/>
      <c r="D140" s="226" t="n"/>
      <c r="E140" s="226" t="n"/>
      <c r="F140" s="226" t="n"/>
      <c r="G140" s="227" t="n"/>
      <c r="H140" s="26" t="n"/>
      <c r="I140" s="26" t="n"/>
      <c r="J140" s="26" t="n"/>
      <c r="K140" s="26" t="n"/>
      <c r="L140" s="26" t="n"/>
      <c r="M140" s="26" t="n"/>
      <c r="N140" s="26" t="n"/>
      <c r="O140" s="26" t="n"/>
    </row>
    <row r="141" customFormat="1" s="27">
      <c r="A141" s="48" t="inlineStr">
        <is>
          <t>Item</t>
        </is>
      </c>
      <c r="B141" s="48" t="inlineStr">
        <is>
          <t>Count</t>
        </is>
      </c>
      <c r="C141" s="48" t="inlineStr">
        <is>
          <t>Spares</t>
        </is>
      </c>
      <c r="D141" s="56" t="inlineStr">
        <is>
          <t>Sub-Total</t>
        </is>
      </c>
      <c r="E141" s="46" t="inlineStr">
        <is>
          <t>Model/PN</t>
        </is>
      </c>
      <c r="F141" s="46" t="inlineStr">
        <is>
          <t>Description</t>
        </is>
      </c>
      <c r="G141" s="48" t="inlineStr">
        <is>
          <t>Notes</t>
        </is>
      </c>
      <c r="H141" s="26" t="n"/>
      <c r="I141" s="26" t="n"/>
      <c r="J141" s="26" t="n"/>
      <c r="K141" s="26" t="n"/>
      <c r="L141" s="26" t="n"/>
      <c r="M141" s="26" t="n"/>
      <c r="N141" s="26" t="n"/>
      <c r="O141" s="26" t="n"/>
    </row>
    <row r="142" customFormat="1" s="27">
      <c r="A142" s="49" t="inlineStr">
        <is>
          <t>N-S Control Leaf-Core Link Leaf Xcvr</t>
        </is>
      </c>
      <c r="B142" s="49" t="n">
        <v>0</v>
      </c>
      <c r="C142" s="76" t="n">
        <v>0</v>
      </c>
      <c r="D142" s="101">
        <f>B142+C142</f>
        <v/>
      </c>
      <c r="E142" s="103" t="inlineStr">
        <is>
          <t>MMS4X00-NM-T</t>
        </is>
      </c>
      <c r="F142" s="103" t="inlineStr">
        <is>
          <t>NVIDIA TWIN PORT TRANSCEIVER, 800GBPS,2X400GbE, OSFP, 2XMPO, 1310NM SMF, UP TO 500M, FINNED</t>
        </is>
      </c>
      <c r="G142" s="50" t="inlineStr">
        <is>
          <t>Optics: Leaf to Spine</t>
        </is>
      </c>
      <c r="H142" s="26" t="n"/>
      <c r="I142" s="26" t="n"/>
      <c r="J142" s="26" t="n"/>
      <c r="K142" s="26" t="n"/>
      <c r="L142" s="26" t="n"/>
      <c r="M142" s="26" t="n"/>
      <c r="N142" s="26" t="n"/>
      <c r="O142" s="26" t="n"/>
    </row>
    <row r="143" customFormat="1" s="27">
      <c r="A143" s="49" t="inlineStr">
        <is>
          <t>N-S Control Leaf-Core Link Leaf Xcvr Cable</t>
        </is>
      </c>
      <c r="B143" s="49">
        <f>B142*2</f>
        <v/>
      </c>
      <c r="C143" s="76" t="n">
        <v>0</v>
      </c>
      <c r="D143" s="76">
        <f>B143+C143</f>
        <v/>
      </c>
      <c r="E143" s="100" t="inlineStr">
        <is>
          <t>MFP7E30-N050</t>
        </is>
      </c>
      <c r="F143" s="100" t="inlineStr">
        <is>
          <t>MPO-12/APC to MPO-12/APC cable, 1310nm SMF OS2, 100m max, 50 M</t>
        </is>
      </c>
      <c r="G143" s="54" t="inlineStr">
        <is>
          <t>Cables: Leaf to Spine</t>
        </is>
      </c>
      <c r="H143" s="26" t="n"/>
      <c r="I143" s="26" t="n"/>
      <c r="J143" s="26" t="n"/>
      <c r="K143" s="26" t="n"/>
      <c r="L143" s="26" t="n"/>
      <c r="M143" s="26" t="n"/>
      <c r="N143" s="26" t="n"/>
      <c r="O143" s="26" t="n"/>
    </row>
    <row r="144" customFormat="1" s="27">
      <c r="A144" s="49" t="inlineStr">
        <is>
          <t>N-S Control Leaf-Core Link Spine Xcvr</t>
        </is>
      </c>
      <c r="B144" s="49">
        <f>B143*2</f>
        <v/>
      </c>
      <c r="C144" s="76" t="n">
        <v>0</v>
      </c>
      <c r="D144" s="76">
        <f>B144+C144</f>
        <v/>
      </c>
      <c r="E144" s="103" t="inlineStr">
        <is>
          <t>MMS4X00-NM-T</t>
        </is>
      </c>
      <c r="F144" s="103" t="inlineStr">
        <is>
          <t>NVIDIA TWIN PORT TRANSCEIVER, 800GBPS,2X400GbE, OSFP, 2XMPO, 1310NM SMF, UP TO 500M, FINNED</t>
        </is>
      </c>
      <c r="G144" s="62" t="inlineStr">
        <is>
          <t>Optics: Spine to Leaf</t>
        </is>
      </c>
      <c r="H144" s="26" t="n"/>
      <c r="I144" s="26" t="n"/>
      <c r="J144" s="26" t="n"/>
      <c r="K144" s="26" t="n"/>
      <c r="L144" s="26" t="n"/>
      <c r="M144" s="26" t="n"/>
      <c r="N144" s="26" t="n"/>
      <c r="O144" s="26" t="n"/>
    </row>
    <row r="145" customFormat="1" s="27">
      <c r="A145" s="49" t="inlineStr">
        <is>
          <t>N-S Control Leaf-Compute Leaf Xcvr</t>
        </is>
      </c>
      <c r="B145" s="49">
        <f>B144*2</f>
        <v/>
      </c>
      <c r="C145" s="76" t="n">
        <v>0</v>
      </c>
      <c r="D145" s="76">
        <f>B145+C145</f>
        <v/>
      </c>
      <c r="E145" s="103" t="inlineStr">
        <is>
          <t>MMS4X00-NM-T</t>
        </is>
      </c>
      <c r="F145" s="103" t="inlineStr">
        <is>
          <t>NVIDIA TWIN PORT TRANSCEIVER, 800GBPS,2X400GbE, OSFP, 2XMPO, 1310NM SMF, UP TO 500M, FINNED</t>
        </is>
      </c>
      <c r="G145" s="62" t="n"/>
      <c r="H145" s="26" t="n"/>
      <c r="I145" s="26" t="n"/>
      <c r="J145" s="26" t="n"/>
      <c r="K145" s="26" t="n"/>
      <c r="L145" s="26" t="n"/>
      <c r="M145" s="26" t="n"/>
      <c r="N145" s="26" t="n"/>
      <c r="O145" s="26" t="n"/>
    </row>
    <row r="146" customFormat="1" s="27">
      <c r="A146" s="49" t="inlineStr">
        <is>
          <t>N-S Control Leaf-Compute Leaf Cable</t>
        </is>
      </c>
      <c r="B146" s="49">
        <f>B145*2</f>
        <v/>
      </c>
      <c r="C146" s="76" t="n">
        <v>0</v>
      </c>
      <c r="D146" s="76">
        <f>B146+C146</f>
        <v/>
      </c>
      <c r="E146" s="100" t="inlineStr">
        <is>
          <t>MFP7E30-N050</t>
        </is>
      </c>
      <c r="F146" s="100" t="inlineStr">
        <is>
          <t>MPO-12/APC to MPO-12/APC cable, 1310nm SMF OS2, 100m max, 50 M</t>
        </is>
      </c>
      <c r="G146" s="54" t="n"/>
      <c r="H146" s="26" t="n"/>
      <c r="I146" s="26" t="n"/>
      <c r="J146" s="26" t="n"/>
      <c r="K146" s="26" t="n"/>
      <c r="L146" s="26" t="n"/>
      <c r="M146" s="26" t="n"/>
      <c r="N146" s="26" t="n"/>
      <c r="O146" s="26" t="n"/>
    </row>
    <row r="147" customFormat="1" s="27">
      <c r="A147" s="51" t="inlineStr">
        <is>
          <t>N-S Control Leaf-Compute Xcvr</t>
        </is>
      </c>
      <c r="B147" s="49">
        <f>B146*2</f>
        <v/>
      </c>
      <c r="C147" s="109" t="n">
        <v>0</v>
      </c>
      <c r="D147" s="109">
        <f>B147+C147</f>
        <v/>
      </c>
      <c r="E147" s="102" t="inlineStr">
        <is>
          <t>MMS1X00-NS400</t>
        </is>
      </c>
      <c r="F147" s="122" t="inlineStr">
        <is>
          <t>NVIDIA single port transceiver, 400Gbps, NDR, QSFP112, MPO, 1310nm SMF, up to 500m, flat top</t>
        </is>
      </c>
      <c r="G147" s="123" t="inlineStr">
        <is>
          <t>BF3140 - connect to Z9864F at 200G</t>
        </is>
      </c>
      <c r="H147" s="26" t="n"/>
      <c r="I147" s="26" t="n"/>
      <c r="J147" s="26" t="n"/>
      <c r="K147" s="26" t="n"/>
      <c r="L147" s="26" t="n"/>
      <c r="M147" s="26" t="n"/>
      <c r="N147" s="26" t="n"/>
      <c r="O147" s="26" t="n"/>
    </row>
    <row r="148" customFormat="1" s="27">
      <c r="A148" s="115" t="n"/>
      <c r="B148" s="115" t="n"/>
      <c r="C148" s="116" t="n"/>
      <c r="D148" s="116" t="n"/>
      <c r="E148" s="117" t="n"/>
      <c r="F148" s="118" t="n"/>
      <c r="G148" s="104" t="n"/>
      <c r="H148" s="26" t="n"/>
      <c r="I148" s="26" t="n"/>
      <c r="J148" s="26" t="n"/>
      <c r="K148" s="26" t="n"/>
      <c r="L148" s="26" t="n"/>
      <c r="M148" s="26" t="n"/>
      <c r="N148" s="26" t="n"/>
      <c r="O148" s="26" t="n"/>
    </row>
    <row r="149" customFormat="1" s="27">
      <c r="A149" s="237" t="inlineStr">
        <is>
          <t>GPU : Front End</t>
        </is>
      </c>
      <c r="B149" s="222" t="n"/>
      <c r="C149" s="222" t="n"/>
      <c r="D149" s="222" t="n"/>
      <c r="E149" s="222" t="n"/>
      <c r="F149" s="222" t="n"/>
      <c r="G149" s="223" t="n"/>
      <c r="H149" s="26" t="n"/>
      <c r="I149" s="26" t="n"/>
      <c r="J149" s="26" t="n"/>
      <c r="K149" s="26" t="n"/>
      <c r="L149" s="26" t="n"/>
      <c r="M149" s="26" t="n"/>
      <c r="N149" s="26" t="n"/>
      <c r="O149" s="26" t="n"/>
    </row>
    <row r="150" customFormat="1" s="27">
      <c r="A150" s="48" t="inlineStr">
        <is>
          <t>Item</t>
        </is>
      </c>
      <c r="B150" s="48" t="inlineStr">
        <is>
          <t>Count</t>
        </is>
      </c>
      <c r="C150" s="48" t="inlineStr">
        <is>
          <t>Spares</t>
        </is>
      </c>
      <c r="D150" s="56" t="inlineStr">
        <is>
          <t>Sub-Total</t>
        </is>
      </c>
      <c r="E150" s="48" t="inlineStr">
        <is>
          <t>Model/PN</t>
        </is>
      </c>
      <c r="F150" s="48" t="inlineStr">
        <is>
          <t>Description</t>
        </is>
      </c>
      <c r="G150" s="48" t="inlineStr">
        <is>
          <t>Notes</t>
        </is>
      </c>
      <c r="H150" s="26" t="n"/>
      <c r="I150" s="26" t="n"/>
      <c r="J150" s="26" t="n"/>
      <c r="K150" s="26" t="n"/>
      <c r="L150" s="26" t="n"/>
      <c r="M150" s="26" t="n"/>
      <c r="N150" s="26" t="n"/>
      <c r="O150" s="26" t="n"/>
    </row>
    <row r="151" customFormat="1" s="27">
      <c r="A151" s="54" t="inlineStr">
        <is>
          <t>OOB ToR NW</t>
        </is>
      </c>
      <c r="B151" s="54">
        <f>B30*2</f>
        <v/>
      </c>
      <c r="C151" s="54" t="n">
        <v>0</v>
      </c>
      <c r="D151" s="54">
        <f>C151+B151</f>
        <v/>
      </c>
      <c r="E151" s="124" t="inlineStr">
        <is>
          <t>[GPU RACK] 920-9N110-01R1-NC0 (DPN: J2MV9)</t>
        </is>
      </c>
      <c r="F151" s="124" t="inlineStr">
        <is>
          <t>SN2201 48x1G + 4x100G, DC Busbar Air Cooled [TOR SWITCHES ARE COUNTED IN GPU BOM]</t>
        </is>
      </c>
      <c r="G151" s="50" t="n"/>
      <c r="H151" s="26" t="n"/>
      <c r="I151" s="26" t="n"/>
      <c r="J151" s="26" t="n"/>
      <c r="K151" s="26" t="n"/>
      <c r="L151" s="26" t="n"/>
      <c r="M151" s="26" t="n"/>
      <c r="N151" s="26" t="n"/>
      <c r="O151" s="26" t="n"/>
    </row>
    <row r="152" customFormat="1" s="27">
      <c r="A152" s="49" t="inlineStr">
        <is>
          <t>OOB ToR-AGG Link ToR Xcvr</t>
        </is>
      </c>
      <c r="B152" s="49">
        <f>B30*2*2</f>
        <v/>
      </c>
      <c r="C152" s="54" t="n">
        <v>0</v>
      </c>
      <c r="D152" s="54">
        <f>C152+B152</f>
        <v/>
      </c>
      <c r="E152" s="124" t="inlineStr">
        <is>
          <t>[GPU RACK]  980-9I042- 00C000</t>
        </is>
      </c>
      <c r="F152" s="124" t="inlineStr">
        <is>
          <t>Mellanox transceiver, 100GbE, QSFP28, LC-LC, 1310nm, DR1</t>
        </is>
      </c>
      <c r="G152" s="54" t="inlineStr">
        <is>
          <t xml:space="preserve">SN2201 Uplink Transceiver OOB aggregation </t>
        </is>
      </c>
      <c r="H152" s="26" t="n"/>
      <c r="I152" s="26" t="n"/>
      <c r="J152" s="26" t="n"/>
      <c r="K152" s="26" t="n"/>
      <c r="L152" s="26" t="n"/>
      <c r="M152" s="26" t="n"/>
      <c r="N152" s="26" t="n"/>
      <c r="O152" s="26" t="n"/>
    </row>
    <row r="153" customFormat="1" s="27">
      <c r="A153" s="49" t="inlineStr">
        <is>
          <t>OOB ToR Cable to end nodes</t>
        </is>
      </c>
      <c r="B153" s="79">
        <f>B151*44</f>
        <v/>
      </c>
      <c r="C153" s="76" t="n">
        <v>0</v>
      </c>
      <c r="D153" s="76">
        <f>SUM(B153:C153)</f>
        <v/>
      </c>
      <c r="E153" s="124" t="inlineStr">
        <is>
          <t>[GPU RACK] Cat 6</t>
        </is>
      </c>
      <c r="F153" s="124" t="inlineStr">
        <is>
          <t xml:space="preserve">Cat 6 </t>
        </is>
      </c>
      <c r="G153" s="49" t="n"/>
    </row>
    <row r="154" customFormat="1" s="27">
      <c r="A154" s="49" t="inlineStr">
        <is>
          <t>OOB ToR-AGG Link ToR Xcvr Cable</t>
        </is>
      </c>
      <c r="B154" s="79">
        <f>B152</f>
        <v/>
      </c>
      <c r="C154" s="76" t="n">
        <v>0</v>
      </c>
      <c r="D154" s="76">
        <f>SUM(B154:C154)</f>
        <v/>
      </c>
      <c r="E154" s="90" t="inlineStr">
        <is>
          <t xml:space="preserve">[GPU RACK] A7204378 </t>
        </is>
      </c>
      <c r="F154" s="107" t="inlineStr">
        <is>
          <t>Switch Xcvr to LC Patch Panel LC-LC short leg patch cable, Other end is MPO to 4xLC to OOB Spine</t>
        </is>
      </c>
      <c r="G154" s="49" t="n"/>
    </row>
    <row r="155" customFormat="1" s="27">
      <c r="A155" s="51" t="n"/>
      <c r="B155" s="51" t="n"/>
      <c r="C155" s="109" t="n"/>
      <c r="D155" s="110" t="n"/>
      <c r="E155" s="102" t="n"/>
      <c r="F155" s="122" t="n"/>
      <c r="G155" s="123" t="n"/>
      <c r="H155" s="26" t="n"/>
      <c r="I155" s="26" t="n"/>
      <c r="J155" s="26" t="n"/>
      <c r="K155" s="26" t="n"/>
      <c r="L155" s="26" t="n"/>
      <c r="M155" s="26" t="n"/>
      <c r="N155" s="26" t="n"/>
      <c r="O155" s="26" t="n"/>
    </row>
    <row r="156" ht="15" customHeight="1" s="231" thickBot="1">
      <c r="A156" s="65" t="n"/>
      <c r="B156" s="65" t="n"/>
      <c r="C156" s="65" t="n"/>
      <c r="D156" s="65" t="n"/>
      <c r="E156" s="65" t="n"/>
      <c r="F156" t="inlineStr"/>
      <c r="G156" t="inlineStr"/>
    </row>
    <row r="157" ht="27.6" customHeight="1" s="231">
      <c r="A157" s="66" t="inlineStr">
        <is>
          <t>Row End Range for Column D
 (MUST Be Set Correctly)</t>
        </is>
      </c>
      <c r="B157" s="228" t="inlineStr">
        <is>
          <t>Row End Range for Column E
 (MUST Be Set Correctly)</t>
        </is>
      </c>
      <c r="C157" s="219" t="n"/>
      <c r="D157" s="220" t="n"/>
      <c r="E157" s="67" t="inlineStr">
        <is>
          <t>Row End Range for Column F
 (MUST Be Set Correctly)</t>
        </is>
      </c>
      <c r="F157" t="inlineStr"/>
      <c r="G157" t="inlineStr"/>
      <c r="H157" s="44" t="n"/>
      <c r="I157" s="44" t="n"/>
    </row>
    <row r="158" ht="15" customHeight="1" s="231" thickBot="1">
      <c r="A158" s="68" t="inlineStr">
        <is>
          <t>D154</t>
        </is>
      </c>
      <c r="B158" s="232" t="inlineStr">
        <is>
          <t>E154</t>
        </is>
      </c>
      <c r="C158" s="233" t="n"/>
      <c r="D158" s="234" t="n"/>
      <c r="E158" s="69" t="inlineStr">
        <is>
          <t>F154</t>
        </is>
      </c>
      <c r="F158" s="45" t="n"/>
      <c r="G158" s="65" t="n"/>
      <c r="H158" s="241" t="n"/>
      <c r="I158" s="241" t="n"/>
    </row>
    <row r="159">
      <c r="A159" s="70" t="n"/>
      <c r="B159" s="65" t="n"/>
      <c r="C159" s="65" t="n"/>
      <c r="D159" s="65" t="n"/>
      <c r="E159" s="65" t="n"/>
      <c r="F159" s="65" t="n"/>
      <c r="G159" s="65" t="n"/>
    </row>
    <row r="160" ht="75.75" customHeight="1" s="231">
      <c r="A160" s="230"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row>
    <row r="161" ht="15" customHeight="1" s="231" thickBot="1">
      <c r="A161" s="65" t="n"/>
      <c r="B161" s="65" t="n"/>
      <c r="C161" s="52" t="n"/>
      <c r="D161" s="65" t="n"/>
      <c r="E161" s="65" t="n"/>
      <c r="F161" s="65" t="n"/>
      <c r="G161" s="65" t="n"/>
    </row>
    <row r="162">
      <c r="A162" s="55" t="n"/>
      <c r="B162" s="218" t="inlineStr">
        <is>
          <t>Summary Table</t>
        </is>
      </c>
      <c r="C162" s="219" t="n"/>
      <c r="D162" s="219" t="n"/>
      <c r="E162" s="219" t="n"/>
      <c r="F162" s="219" t="n"/>
      <c r="G162" s="220" t="n"/>
      <c r="H162" s="42" t="n"/>
      <c r="I162" s="42" t="n"/>
      <c r="J162" s="42" t="n"/>
      <c r="K162" s="42" t="n"/>
      <c r="L162" s="42" t="n"/>
      <c r="M162" s="42" t="n"/>
    </row>
    <row r="163">
      <c r="A163" s="52" t="n"/>
      <c r="B163" s="71" t="inlineStr">
        <is>
          <t>DPN</t>
        </is>
      </c>
      <c r="C163" s="71" t="inlineStr">
        <is>
          <t>SKU</t>
        </is>
      </c>
      <c r="D163" s="72" t="inlineStr">
        <is>
          <t>Count</t>
        </is>
      </c>
      <c r="E163" s="73" t="inlineStr">
        <is>
          <t>Item Model/PN</t>
        </is>
      </c>
      <c r="F163" s="73" t="inlineStr">
        <is>
          <t>Description</t>
        </is>
      </c>
      <c r="G163" s="74" t="inlineStr">
        <is>
          <t>Notes</t>
        </is>
      </c>
      <c r="H163" s="42" t="n"/>
      <c r="I163" s="42" t="n"/>
      <c r="J163" s="42" t="n"/>
      <c r="K163" s="42" t="n"/>
      <c r="L163" s="42" t="n"/>
      <c r="M163" s="42" t="n"/>
    </row>
    <row r="164">
      <c r="A164" s="52" t="n"/>
      <c r="B164" s="58" t="n"/>
      <c r="C164" s="58" t="n"/>
      <c r="D164" s="61">
        <f>SUMIF($E$2:INDIRECT($B$158),E164,$D$2:INDIRECT($A$158))</f>
        <v/>
      </c>
      <c r="E164" s="54">
        <f t="array" ref="E164:E188">IFERROR(_xlfn._xlws.SORT(_xlfn.UNIQUE(_xlfn._xlws.FILTER(E2:INDIRECT($B$158),(E2:INDIRECT($B$158)&lt;&gt;0)*(E2:INDIRECT($B$158)&lt;&gt;" ")*(ISERROR(SEARCH("Model",E2:INDIRECT($B$158))))))),"               [No Date in Source Table]")</f>
        <v/>
      </c>
      <c r="F164" s="54">
        <f>IFERROR(IF(INDEX($F$2:INDIRECT($E$158),MATCH(E164,$E$2:INDIRECT($B$158),0))=0," ",INDEX($F$2:INDIRECT($E$158),MATCH(E164,$E$2:INDIRECT($B$158),0))),"   [ Adjacent Item Model/PN cell is Empty ]")</f>
        <v/>
      </c>
      <c r="G164" s="54" t="n"/>
      <c r="H164" s="42" t="n"/>
      <c r="I164" s="42" t="n"/>
      <c r="J164" s="42" t="n"/>
      <c r="K164" s="42" t="n"/>
      <c r="L164" s="42" t="n"/>
      <c r="M164" s="42" t="n"/>
    </row>
    <row r="165">
      <c r="A165" s="52" t="n"/>
      <c r="B165" s="58" t="n"/>
      <c r="C165" s="58" t="n"/>
      <c r="D165" s="61">
        <f>SUMIF($E$2:INDIRECT($B$158),E165,$D$2:INDIRECT($A$158))</f>
        <v/>
      </c>
      <c r="E165" s="54" t="inlineStr">
        <is>
          <t>=</t>
        </is>
      </c>
      <c r="F165" s="54">
        <f>IFERROR(IF(INDEX($F$2:INDIRECT($E$158),MATCH(E165,$E$2:INDIRECT($B$158),0))=0," ",INDEX($F$2:INDIRECT($E$158),MATCH(E165,$E$2:INDIRECT($B$158),0))),"   [ Adjacent Item Model/PN cell is Empty ]")</f>
        <v/>
      </c>
      <c r="G165" s="58" t="n"/>
      <c r="H165" s="42" t="n"/>
      <c r="I165" s="42" t="n"/>
      <c r="J165" s="42" t="n"/>
      <c r="K165" s="42" t="n"/>
      <c r="L165" s="42" t="n"/>
      <c r="M165" s="42" t="n"/>
    </row>
    <row r="166">
      <c r="A166" s="52" t="n"/>
      <c r="B166" s="58" t="n"/>
      <c r="C166" s="58" t="n"/>
      <c r="D166" s="61">
        <f>SUMIF($E$2:INDIRECT($B$158),E166,$D$2:INDIRECT($A$158))</f>
        <v/>
      </c>
      <c r="E166" s="54" t="inlineStr">
        <is>
          <t>=</t>
        </is>
      </c>
      <c r="F166" s="54">
        <f>IFERROR(IF(INDEX($F$2:INDIRECT($E$158),MATCH(E166,$E$2:INDIRECT($B$158),0))=0," ",INDEX($F$2:INDIRECT($E$158),MATCH(E166,$E$2:INDIRECT($B$158),0))),"   [ Adjacent Item Model/PN cell is Empty ]")</f>
        <v/>
      </c>
      <c r="G166" s="58" t="n"/>
      <c r="H166" s="42" t="n"/>
      <c r="I166" s="42" t="n"/>
      <c r="J166" s="42" t="n"/>
      <c r="K166" s="42" t="n"/>
      <c r="L166" s="42" t="n"/>
      <c r="M166" s="42" t="n"/>
    </row>
    <row r="167">
      <c r="A167" s="52" t="n"/>
      <c r="B167" s="58" t="n"/>
      <c r="C167" s="58" t="n"/>
      <c r="D167" s="61">
        <f>SUMIF($E$2:INDIRECT($B$158),E167,$D$2:INDIRECT($A$158))</f>
        <v/>
      </c>
      <c r="E167" s="54" t="inlineStr">
        <is>
          <t>=</t>
        </is>
      </c>
      <c r="F167" s="54">
        <f>IFERROR(IF(INDEX($F$2:INDIRECT($E$158),MATCH(E167,$E$2:INDIRECT($B$158),0))=0," ",INDEX($F$2:INDIRECT($E$158),MATCH(E167,$E$2:INDIRECT($B$158),0))),"   [ Adjacent Item Model/PN cell is Empty ]")</f>
        <v/>
      </c>
      <c r="G167" s="58" t="n"/>
      <c r="H167" s="42" t="n"/>
      <c r="I167" s="42" t="n"/>
      <c r="J167" s="42" t="n"/>
      <c r="K167" s="42" t="n"/>
      <c r="L167" s="42" t="n"/>
      <c r="M167" s="42" t="n"/>
    </row>
    <row r="168">
      <c r="A168" s="52" t="n"/>
      <c r="B168" s="58" t="n"/>
      <c r="C168" s="58" t="n"/>
      <c r="D168" s="61">
        <f>SUMIF($E$2:INDIRECT($B$158),E168,$D$2:INDIRECT($A$158))</f>
        <v/>
      </c>
      <c r="E168" s="54" t="inlineStr">
        <is>
          <t>=</t>
        </is>
      </c>
      <c r="F168" s="54">
        <f>IFERROR(IF(INDEX($F$2:INDIRECT($E$158),MATCH(E168,$E$2:INDIRECT($B$158),0))=0," ",INDEX($F$2:INDIRECT($E$158),MATCH(E168,$E$2:INDIRECT($B$158),0))),"   [ Adjacent Item Model/PN cell is Empty ]")</f>
        <v/>
      </c>
      <c r="G168" s="58" t="n"/>
      <c r="H168" s="42" t="n"/>
      <c r="I168" s="42" t="n"/>
      <c r="J168" s="42" t="n"/>
      <c r="K168" s="42" t="n"/>
      <c r="L168" s="42" t="n"/>
      <c r="M168" s="42" t="n"/>
    </row>
    <row r="169">
      <c r="A169" s="52" t="n"/>
      <c r="B169" s="58" t="n"/>
      <c r="C169" s="58" t="n"/>
      <c r="D169" s="61">
        <f>SUMIF($E$2:INDIRECT($B$158),E169,$D$2:INDIRECT($A$158))</f>
        <v/>
      </c>
      <c r="E169" s="54" t="inlineStr">
        <is>
          <t>=</t>
        </is>
      </c>
      <c r="F169" s="54">
        <f>IFERROR(IF(INDEX($F$2:INDIRECT($E$158),MATCH(E169,$E$2:INDIRECT($B$158),0))=0," ",INDEX($F$2:INDIRECT($E$158),MATCH(E169,$E$2:INDIRECT($B$158),0))),"   [ Adjacent Item Model/PN cell is Empty ]")</f>
        <v/>
      </c>
      <c r="G169" s="58" t="n"/>
      <c r="H169" s="42" t="n"/>
      <c r="I169" s="42" t="n"/>
      <c r="J169" s="42" t="n"/>
      <c r="K169" s="42" t="n"/>
      <c r="L169" s="42" t="n"/>
      <c r="M169" s="42" t="n"/>
    </row>
    <row r="170">
      <c r="A170" s="52" t="n"/>
      <c r="B170" s="58" t="n"/>
      <c r="C170" s="58" t="n"/>
      <c r="D170" s="61">
        <f>SUMIF($E$2:INDIRECT($B$158),E170,$D$2:INDIRECT($A$158))</f>
        <v/>
      </c>
      <c r="E170" s="54" t="inlineStr">
        <is>
          <t>=</t>
        </is>
      </c>
      <c r="F170" s="54">
        <f>IFERROR(IF(INDEX($F$2:INDIRECT($E$158),MATCH(E170,$E$2:INDIRECT($B$158),0))=0," ",INDEX($F$2:INDIRECT($E$158),MATCH(E170,$E$2:INDIRECT($B$158),0))),"   [ Adjacent Item Model/PN cell is Empty ]")</f>
        <v/>
      </c>
      <c r="G170" s="58" t="n"/>
      <c r="H170" s="42" t="n"/>
      <c r="I170" s="42" t="n"/>
      <c r="J170" s="42" t="n"/>
      <c r="K170" s="42" t="n"/>
      <c r="L170" s="42" t="n"/>
      <c r="M170" s="42" t="n"/>
    </row>
    <row r="171">
      <c r="A171" s="52" t="n"/>
      <c r="B171" s="58" t="n"/>
      <c r="C171" s="58" t="n"/>
      <c r="D171" s="61">
        <f>SUMIF($E$2:INDIRECT($B$158),E171,$D$2:INDIRECT($A$158))</f>
        <v/>
      </c>
      <c r="E171" s="54" t="inlineStr">
        <is>
          <t>=</t>
        </is>
      </c>
      <c r="F171" s="54">
        <f>IFERROR(IF(INDEX($F$2:INDIRECT($E$158),MATCH(E171,$E$2:INDIRECT($B$158),0))=0," ",INDEX($F$2:INDIRECT($E$158),MATCH(E171,$E$2:INDIRECT($B$158),0))),"   [ Adjacent Item Model/PN cell is Empty ]")</f>
        <v/>
      </c>
      <c r="G171" s="58" t="n"/>
      <c r="H171" s="42" t="n"/>
      <c r="I171" s="42" t="n"/>
      <c r="J171" s="42" t="n"/>
      <c r="K171" s="42" t="n"/>
      <c r="L171" s="42" t="n"/>
      <c r="M171" s="42" t="n"/>
    </row>
    <row r="172">
      <c r="A172" s="52" t="n"/>
      <c r="B172" s="58" t="n"/>
      <c r="C172" s="58" t="n"/>
      <c r="D172" s="61">
        <f>SUMIF($E$2:INDIRECT($B$158),E172,$D$2:INDIRECT($A$158))</f>
        <v/>
      </c>
      <c r="E172" s="54" t="inlineStr">
        <is>
          <t>=</t>
        </is>
      </c>
      <c r="F172" s="54">
        <f>IFERROR(IF(INDEX($F$2:INDIRECT($E$158),MATCH(E172,$E$2:INDIRECT($B$158),0))=0," ",INDEX($F$2:INDIRECT($E$158),MATCH(E172,$E$2:INDIRECT($B$158),0))),"   [ Adjacent Item Model/PN cell is Empty ]")</f>
        <v/>
      </c>
      <c r="G172" s="58" t="n"/>
      <c r="H172" s="42" t="n"/>
      <c r="I172" s="42" t="n"/>
      <c r="J172" s="42" t="n"/>
      <c r="K172" s="42" t="n"/>
      <c r="L172" s="42" t="n"/>
      <c r="M172" s="42" t="n"/>
    </row>
    <row r="173">
      <c r="A173" s="52" t="n"/>
      <c r="B173" s="58" t="n"/>
      <c r="C173" s="58" t="n"/>
      <c r="D173" s="54">
        <f>SUMIF($E$2:INDIRECT($B$158),E173,$D$2:INDIRECT($A$158))</f>
        <v/>
      </c>
      <c r="E173" s="54" t="inlineStr">
        <is>
          <t>=</t>
        </is>
      </c>
      <c r="F173" s="54">
        <f>IFERROR(IF(INDEX($F$2:INDIRECT($E$158),MATCH(E173,$E$2:INDIRECT($B$158),0))=0," ",INDEX($F$2:INDIRECT($E$158),MATCH(E173,$E$2:INDIRECT($B$158),0))),"   [ Adjacent Item Model/PN cell is Empty ]")</f>
        <v/>
      </c>
      <c r="G173" s="58" t="n"/>
      <c r="H173" s="42" t="n"/>
      <c r="I173" s="42" t="n"/>
      <c r="J173" s="42" t="n"/>
      <c r="K173" s="42" t="n"/>
      <c r="L173" s="42" t="n"/>
      <c r="M173" s="42" t="n"/>
    </row>
    <row r="174">
      <c r="A174" s="52" t="n"/>
      <c r="B174" s="58" t="n"/>
      <c r="C174" s="58" t="n"/>
      <c r="D174" s="54">
        <f>SUMIF($E$2:INDIRECT($B$158),E174,$D$2:INDIRECT($A$158))</f>
        <v/>
      </c>
      <c r="E174" s="54" t="inlineStr">
        <is>
          <t>=</t>
        </is>
      </c>
      <c r="F174" s="54">
        <f>IFERROR(IF(INDEX($F$2:INDIRECT($E$158),MATCH(E174,$E$2:INDIRECT($B$158),0))=0," ",INDEX($F$2:INDIRECT($E$158),MATCH(E174,$E$2:INDIRECT($B$158),0))),"   [ Adjacent Item Model/PN cell is Empty ]")</f>
        <v/>
      </c>
      <c r="G174" s="58" t="n"/>
      <c r="H174" s="42" t="n"/>
      <c r="I174" s="42" t="n"/>
      <c r="J174" s="42" t="n"/>
      <c r="K174" s="42" t="n"/>
      <c r="L174" s="42" t="n"/>
      <c r="M174" s="42" t="n"/>
    </row>
    <row r="175">
      <c r="A175" s="52" t="n"/>
      <c r="B175" s="58" t="n"/>
      <c r="C175" s="58" t="n"/>
      <c r="D175" s="54">
        <f>SUMIF($E$2:INDIRECT($B$158),E175,$D$2:INDIRECT($A$158))</f>
        <v/>
      </c>
      <c r="E175" s="54" t="inlineStr">
        <is>
          <t>=</t>
        </is>
      </c>
      <c r="F175" s="54">
        <f>IFERROR(IF(INDEX($F$2:INDIRECT($E$158),MATCH(E175,$E$2:INDIRECT($B$158),0))=0," ",INDEX($F$2:INDIRECT($E$158),MATCH(E175,$E$2:INDIRECT($B$158),0))),"   [ Adjacent Item Model/PN cell is Empty ]")</f>
        <v/>
      </c>
      <c r="G175" s="58" t="n"/>
      <c r="H175" s="42" t="n"/>
      <c r="I175" s="42" t="n"/>
      <c r="J175" s="42" t="n"/>
      <c r="K175" s="42" t="n"/>
      <c r="L175" s="42" t="n"/>
      <c r="M175" s="42" t="n"/>
    </row>
    <row r="176">
      <c r="A176" s="52" t="n"/>
      <c r="B176" s="58" t="n"/>
      <c r="C176" s="58" t="n"/>
      <c r="D176" s="54">
        <f>SUMIF($E$2:INDIRECT($B$158),E176,$D$2:INDIRECT($A$158))</f>
        <v/>
      </c>
      <c r="E176" s="54" t="inlineStr">
        <is>
          <t>=</t>
        </is>
      </c>
      <c r="F176" s="54">
        <f>IFERROR(IF(INDEX($F$2:INDIRECT($E$158),MATCH(E176,$E$2:INDIRECT($B$158),0))=0," ",INDEX($F$2:INDIRECT($E$158),MATCH(E176,$E$2:INDIRECT($B$158),0))),"   [ Adjacent Item Model/PN cell is Empty ]")</f>
        <v/>
      </c>
      <c r="G176" s="58" t="n"/>
      <c r="H176" s="42" t="n"/>
      <c r="I176" s="42" t="n"/>
      <c r="J176" s="42" t="n"/>
      <c r="K176" s="42" t="n"/>
      <c r="L176" s="42" t="n"/>
      <c r="M176" s="42" t="n"/>
    </row>
    <row r="177">
      <c r="A177" s="52" t="n"/>
      <c r="B177" s="58" t="n"/>
      <c r="C177" s="58" t="n"/>
      <c r="D177" s="54">
        <f>SUMIF($E$2:INDIRECT($B$158),E177,$D$2:INDIRECT($A$158))</f>
        <v/>
      </c>
      <c r="E177" s="54" t="inlineStr">
        <is>
          <t>=</t>
        </is>
      </c>
      <c r="F177" s="54">
        <f>IFERROR(IF(INDEX($F$2:INDIRECT($E$158),MATCH(E177,$E$2:INDIRECT($B$158),0))=0," ",INDEX($F$2:INDIRECT($E$158),MATCH(E177,$E$2:INDIRECT($B$158),0))),"   [ Adjacent Item Model/PN cell is Empty ]")</f>
        <v/>
      </c>
      <c r="G177" s="54" t="n"/>
      <c r="H177" s="42" t="n"/>
      <c r="I177" s="42" t="n"/>
      <c r="J177" s="42" t="n"/>
      <c r="K177" s="42" t="n"/>
      <c r="L177" s="42" t="n"/>
      <c r="M177" s="42" t="n"/>
    </row>
    <row r="178">
      <c r="A178" s="52" t="n"/>
      <c r="B178" s="58" t="n"/>
      <c r="C178" s="58" t="n"/>
      <c r="D178" s="54">
        <f>SUMIF($E$2:INDIRECT($B$158),E178,$D$2:INDIRECT($A$158))</f>
        <v/>
      </c>
      <c r="E178" s="54" t="inlineStr">
        <is>
          <t>=</t>
        </is>
      </c>
      <c r="F178" s="54">
        <f>IFERROR(IF(INDEX($F$2:INDIRECT($E$158),MATCH(E178,$E$2:INDIRECT($B$158),0))=0," ",INDEX($F$2:INDIRECT($E$158),MATCH(E178,$E$2:INDIRECT($B$158),0))),"   [ Adjacent Item Model/PN cell is Empty ]")</f>
        <v/>
      </c>
      <c r="G178" s="54" t="n"/>
      <c r="H178" s="42" t="n"/>
      <c r="I178" s="42" t="n"/>
      <c r="J178" s="42" t="n"/>
      <c r="K178" s="42" t="n"/>
      <c r="L178" s="42" t="n"/>
      <c r="M178" s="42" t="n"/>
    </row>
    <row r="179">
      <c r="A179" s="52" t="n"/>
      <c r="B179" s="58" t="n"/>
      <c r="C179" s="58" t="n"/>
      <c r="D179" s="54">
        <f>SUMIF($E$2:INDIRECT($B$158),E179,$D$2:INDIRECT($A$158))</f>
        <v/>
      </c>
      <c r="E179" s="54" t="inlineStr">
        <is>
          <t>=</t>
        </is>
      </c>
      <c r="F179" s="54">
        <f>IFERROR(IF(INDEX($F$2:INDIRECT($E$158),MATCH(E179,$E$2:INDIRECT($B$158),0))=0," ",INDEX($F$2:INDIRECT($E$158),MATCH(E179,$E$2:INDIRECT($B$158),0))),"   [ Adjacent Item Model/PN cell is Empty ]")</f>
        <v/>
      </c>
      <c r="G179" s="54" t="n"/>
      <c r="H179" s="42" t="n"/>
      <c r="I179" s="42" t="n"/>
      <c r="J179" s="42" t="n"/>
      <c r="K179" s="42" t="n"/>
      <c r="L179" s="42" t="n"/>
      <c r="M179" s="42" t="n"/>
    </row>
    <row r="180">
      <c r="A180" s="52" t="n"/>
      <c r="B180" s="58" t="n"/>
      <c r="C180" s="54" t="n"/>
      <c r="D180" s="54">
        <f>SUMIF($E$2:INDIRECT($B$158),E180,$D$2:INDIRECT($A$158))</f>
        <v/>
      </c>
      <c r="E180" s="54" t="inlineStr">
        <is>
          <t>=</t>
        </is>
      </c>
      <c r="F180" s="54">
        <f>IFERROR(IF(INDEX($F$2:INDIRECT($E$158),MATCH(E180,$E$2:INDIRECT($B$158),0))=0," ",INDEX($F$2:INDIRECT($E$158),MATCH(E180,$E$2:INDIRECT($B$158),0))),"   [ Adjacent Item Model/PN cell is Empty ]")</f>
        <v/>
      </c>
      <c r="G180" s="54" t="n"/>
      <c r="H180" s="42" t="n"/>
      <c r="I180" s="42" t="n"/>
      <c r="J180" s="42" t="n"/>
      <c r="K180" s="42" t="n"/>
      <c r="L180" s="42" t="n"/>
      <c r="M180" s="42" t="n"/>
    </row>
    <row r="181">
      <c r="A181" s="52" t="n"/>
      <c r="B181" s="58" t="n"/>
      <c r="C181" s="54" t="n"/>
      <c r="D181" s="54">
        <f>SUMIF($E$2:INDIRECT($B$158),E181,$D$2:INDIRECT($A$158))</f>
        <v/>
      </c>
      <c r="E181" s="54" t="inlineStr">
        <is>
          <t>=</t>
        </is>
      </c>
      <c r="F181" s="54">
        <f>IFERROR(IF(INDEX($F$2:INDIRECT($E$158),MATCH(E181,$E$2:INDIRECT($B$158),0))=0," ",INDEX($F$2:INDIRECT($E$158),MATCH(E181,$E$2:INDIRECT($B$158),0))),"   [ Adjacent Item Model/PN cell is Empty ]")</f>
        <v/>
      </c>
      <c r="G181" s="54" t="n"/>
      <c r="H181" s="42" t="n"/>
      <c r="I181" s="42" t="n"/>
      <c r="J181" s="42" t="n"/>
      <c r="K181" s="42" t="n"/>
      <c r="L181" s="42" t="n"/>
      <c r="M181" s="42" t="n"/>
    </row>
    <row r="182">
      <c r="A182" s="52" t="n"/>
      <c r="B182" s="58" t="n"/>
      <c r="C182" s="54" t="n"/>
      <c r="D182" s="54">
        <f>SUMIF($E$2:INDIRECT($B$158),E182,$D$2:INDIRECT($A$158))</f>
        <v/>
      </c>
      <c r="E182" s="54" t="inlineStr">
        <is>
          <t>=</t>
        </is>
      </c>
      <c r="F182" s="54">
        <f>IFERROR(IF(INDEX($F$2:INDIRECT($E$158),MATCH(E182,$E$2:INDIRECT($B$158),0))=0," ",INDEX($F$2:INDIRECT($E$158),MATCH(E182,$E$2:INDIRECT($B$158),0))),"   [ Adjacent Item Model/PN cell is Empty ]")</f>
        <v/>
      </c>
      <c r="G182" s="54" t="n"/>
      <c r="H182" s="42" t="n"/>
      <c r="I182" s="42" t="n"/>
      <c r="J182" s="42" t="n"/>
      <c r="K182" s="42" t="n"/>
      <c r="L182" s="42" t="n"/>
      <c r="M182" s="42" t="n"/>
    </row>
    <row r="183">
      <c r="A183" s="52" t="n"/>
      <c r="B183" s="58" t="n"/>
      <c r="C183" s="54" t="n"/>
      <c r="D183" s="54">
        <f>SUMIF($E$2:INDIRECT($B$158),E183,$D$2:INDIRECT($A$158))</f>
        <v/>
      </c>
      <c r="E183" s="54" t="inlineStr">
        <is>
          <t>=</t>
        </is>
      </c>
      <c r="F183" s="54">
        <f>IFERROR(IF(INDEX($F$2:INDIRECT($E$158),MATCH(E183,$E$2:INDIRECT($B$158),0))=0," ",INDEX($F$2:INDIRECT($E$158),MATCH(E183,$E$2:INDIRECT($B$158),0))),"   [ Adjacent Item Model/PN cell is Empty ]")</f>
        <v/>
      </c>
      <c r="G183" s="54" t="n"/>
      <c r="H183" s="42" t="n"/>
      <c r="I183" s="42" t="n"/>
      <c r="J183" s="42" t="n"/>
      <c r="K183" s="42" t="n"/>
      <c r="L183" s="42" t="n"/>
      <c r="M183" s="42" t="n"/>
    </row>
    <row r="184">
      <c r="A184" s="52" t="n"/>
      <c r="B184" s="58" t="n"/>
      <c r="C184" s="54" t="n"/>
      <c r="D184" s="54">
        <f>SUMIF($E$2:INDIRECT($B$158),E184,$D$2:INDIRECT($A$158))</f>
        <v/>
      </c>
      <c r="E184" s="54" t="inlineStr">
        <is>
          <t>=</t>
        </is>
      </c>
      <c r="F184" s="54">
        <f>IFERROR(IF(INDEX($F$2:INDIRECT($E$158),MATCH(E184,$E$2:INDIRECT($B$158),0))=0," ",INDEX($F$2:INDIRECT($E$158),MATCH(E184,$E$2:INDIRECT($B$158),0))),"   [ Adjacent Item Model/PN cell is Empty ]")</f>
        <v/>
      </c>
      <c r="G184" s="54" t="n"/>
      <c r="H184" s="42" t="n"/>
      <c r="I184" s="42" t="n"/>
      <c r="J184" s="42" t="n"/>
      <c r="K184" s="42" t="n"/>
      <c r="L184" s="42" t="n"/>
      <c r="M184" s="42" t="n"/>
    </row>
    <row r="185">
      <c r="A185" s="52" t="n"/>
      <c r="B185" s="58" t="n"/>
      <c r="C185" s="54" t="n"/>
      <c r="D185" s="54">
        <f>SUMIF($E$2:INDIRECT($B$158),E185,$D$2:INDIRECT($A$158))</f>
        <v/>
      </c>
      <c r="E185" s="54" t="inlineStr">
        <is>
          <t>=</t>
        </is>
      </c>
      <c r="F185" s="54">
        <f>IFERROR(IF(INDEX($F$2:INDIRECT($E$158),MATCH(E185,$E$2:INDIRECT($B$158),0))=0," ",INDEX($F$2:INDIRECT($E$158),MATCH(E185,$E$2:INDIRECT($B$158),0))),"   [ Adjacent Item Model/PN cell is Empty ]")</f>
        <v/>
      </c>
      <c r="G185" s="58" t="n"/>
      <c r="H185" s="42" t="n"/>
      <c r="I185" s="42" t="n"/>
      <c r="J185" s="42" t="n"/>
      <c r="K185" s="42" t="n"/>
      <c r="L185" s="42" t="n"/>
      <c r="M185" s="42" t="n"/>
    </row>
    <row r="186">
      <c r="A186" s="52" t="n"/>
      <c r="B186" s="58" t="n"/>
      <c r="C186" s="54" t="n"/>
      <c r="D186" s="54">
        <f>SUMIF($E$2:INDIRECT($B$158),E186,$D$2:INDIRECT($A$158))</f>
        <v/>
      </c>
      <c r="E186" s="54" t="inlineStr">
        <is>
          <t>=</t>
        </is>
      </c>
      <c r="F186" s="54">
        <f>IFERROR(IF(INDEX($F$2:INDIRECT($E$158),MATCH(E186,$E$2:INDIRECT($B$158),0))=0," ",INDEX($F$2:INDIRECT($E$158),MATCH(E186,$E$2:INDIRECT($B$158),0))),"   [ Adjacent Item Model/PN cell is Empty ]")</f>
        <v/>
      </c>
      <c r="G186" s="58" t="n"/>
      <c r="H186" s="42" t="n"/>
      <c r="I186" s="42" t="n"/>
      <c r="J186" s="42" t="n"/>
      <c r="K186" s="42" t="n"/>
      <c r="L186" s="42" t="n"/>
      <c r="M186" s="42" t="n"/>
    </row>
    <row r="187">
      <c r="A187" s="52" t="n"/>
      <c r="B187" s="58" t="n"/>
      <c r="C187" s="54" t="n"/>
      <c r="D187" s="54">
        <f>SUMIF($E$2:INDIRECT($B$158),E187,$D$2:INDIRECT($A$158))</f>
        <v/>
      </c>
      <c r="E187" s="54" t="inlineStr">
        <is>
          <t>=</t>
        </is>
      </c>
      <c r="F187" s="54">
        <f>IFERROR(IF(INDEX($F$2:INDIRECT($E$158),MATCH(E187,$E$2:INDIRECT($B$158),0))=0," ",INDEX($F$2:INDIRECT($E$158),MATCH(E187,$E$2:INDIRECT($B$158),0))),"   [ Adjacent Item Model/PN cell is Empty ]")</f>
        <v/>
      </c>
      <c r="G187" s="58" t="n"/>
      <c r="H187" s="42" t="n"/>
      <c r="I187" s="42" t="n"/>
      <c r="J187" s="42" t="n"/>
      <c r="K187" s="42" t="n"/>
      <c r="L187" s="42" t="n"/>
      <c r="M187" s="42" t="n"/>
    </row>
    <row r="188">
      <c r="A188" s="52" t="n"/>
      <c r="B188" s="58" t="n"/>
      <c r="C188" s="54" t="n"/>
      <c r="D188" s="54">
        <f>SUMIF($E$2:INDIRECT($B$158),E188,$D$2:INDIRECT($A$158))</f>
        <v/>
      </c>
      <c r="E188" s="54" t="inlineStr">
        <is>
          <t>=</t>
        </is>
      </c>
      <c r="F188" s="54">
        <f>IFERROR(IF(INDEX($F$2:INDIRECT($E$158),MATCH(E188,$E$2:INDIRECT($B$158),0))=0," ",INDEX($F$2:INDIRECT($E$158),MATCH(E188,$E$2:INDIRECT($B$158),0))),"   [ Adjacent Item Model/PN cell is Empty ]")</f>
        <v/>
      </c>
      <c r="G188" s="58" t="n"/>
      <c r="H188" s="42" t="n"/>
      <c r="I188" s="42" t="n"/>
      <c r="J188" s="42" t="n"/>
      <c r="K188" s="42" t="n"/>
      <c r="L188" s="42" t="n"/>
      <c r="M188" s="42" t="n"/>
    </row>
    <row r="189">
      <c r="A189" s="52" t="n"/>
      <c r="B189" s="58" t="n"/>
      <c r="C189" s="54" t="n"/>
      <c r="D189" s="54">
        <f>SUMIF($E$2:INDIRECT($B$158),E189,$D$2:INDIRECT($A$158))</f>
        <v/>
      </c>
      <c r="E189" s="54" t="n"/>
      <c r="F189" s="54">
        <f>IFERROR(IF(INDEX($F$2:INDIRECT($E$158),MATCH(E189,$E$2:INDIRECT($B$158),0))=0," ",INDEX($F$2:INDIRECT($E$158),MATCH(E189,$E$2:INDIRECT($B$158),0))),"   [ Adjacent Item Model/PN cell is Empty ]")</f>
        <v/>
      </c>
      <c r="G189" s="58" t="n"/>
      <c r="H189" s="42" t="n"/>
      <c r="I189" s="42" t="n"/>
      <c r="J189" s="42" t="n"/>
      <c r="K189" s="42" t="n"/>
      <c r="L189" s="42" t="n"/>
      <c r="M189" s="42" t="n"/>
    </row>
    <row r="190">
      <c r="A190" s="52" t="n"/>
      <c r="B190" s="58" t="n"/>
      <c r="C190" s="54" t="n"/>
      <c r="D190" s="54">
        <f>SUMIF($E$2:INDIRECT($B$158),E190,$D$2:INDIRECT($A$158))</f>
        <v/>
      </c>
      <c r="E190" s="54" t="n"/>
      <c r="F190" s="54">
        <f>IFERROR(IF(INDEX($F$2:INDIRECT($E$158),MATCH(E190,$E$2:INDIRECT($B$158),0))=0," ",INDEX($F$2:INDIRECT($E$158),MATCH(E190,$E$2:INDIRECT($B$158),0))),"   [ Adjacent Item Model/PN cell is Empty ]")</f>
        <v/>
      </c>
      <c r="G190" s="58" t="n"/>
      <c r="H190" s="42" t="n"/>
      <c r="I190" s="42" t="n"/>
      <c r="J190" s="42" t="n"/>
      <c r="K190" s="42" t="n"/>
      <c r="L190" s="42" t="n"/>
      <c r="M190" s="42" t="n"/>
    </row>
    <row r="191">
      <c r="A191" s="52" t="n"/>
      <c r="B191" s="58" t="n"/>
      <c r="C191" s="54" t="n"/>
      <c r="D191" s="54">
        <f>SUMIF($E$2:INDIRECT($B$158),E191,$D$2:INDIRECT($A$158))</f>
        <v/>
      </c>
      <c r="E191" s="54" t="n"/>
      <c r="F191" s="54">
        <f>IFERROR(IF(INDEX($F$2:INDIRECT($E$158),MATCH(E191,$E$2:INDIRECT($B$158),0))=0," ",INDEX($F$2:INDIRECT($E$158),MATCH(E191,$E$2:INDIRECT($B$158),0))),"   [ Adjacent Item Model/PN cell is Empty ]")</f>
        <v/>
      </c>
      <c r="G191" s="58" t="n"/>
      <c r="H191" s="42" t="n"/>
      <c r="I191" s="42" t="n"/>
      <c r="J191" s="42" t="n"/>
      <c r="K191" s="42" t="n"/>
      <c r="L191" s="42" t="n"/>
      <c r="M191" s="42" t="n"/>
    </row>
    <row r="192">
      <c r="A192" s="52" t="n"/>
      <c r="B192" s="58" t="n"/>
      <c r="C192" s="54" t="n"/>
      <c r="D192" s="54">
        <f>SUMIF($E$2:INDIRECT($B$158),E192,$D$2:INDIRECT($A$158))</f>
        <v/>
      </c>
      <c r="E192" s="54" t="n"/>
      <c r="F192" s="54">
        <f>IFERROR(IF(INDEX($F$2:INDIRECT($E$158),MATCH(E192,$E$2:INDIRECT($B$158),0))=0," ",INDEX($F$2:INDIRECT($E$158),MATCH(E192,$E$2:INDIRECT($B$158),0))),"   [ Adjacent Item Model/PN cell is Empty ]")</f>
        <v/>
      </c>
      <c r="G192" s="58" t="n"/>
      <c r="H192" s="42" t="n"/>
      <c r="I192" s="42" t="n"/>
      <c r="J192" s="42" t="n"/>
      <c r="K192" s="42" t="n"/>
      <c r="L192" s="42" t="n"/>
      <c r="M192" s="42" t="n"/>
    </row>
    <row r="193">
      <c r="A193" s="52" t="n"/>
      <c r="B193" s="58" t="n"/>
      <c r="C193" s="54" t="n"/>
      <c r="D193" s="54">
        <f>SUMIF($E$2:INDIRECT($B$158),E193,$D$2:INDIRECT($A$158))</f>
        <v/>
      </c>
      <c r="E193" s="58" t="n"/>
      <c r="F193" s="54">
        <f>IFERROR(IF(INDEX($F$2:INDIRECT($E$158),MATCH(E193,$E$2:INDIRECT($B$158),0))=0," ",INDEX($F$2:INDIRECT($E$158),MATCH(E193,$E$2:INDIRECT($B$158),0))),"   [ Adjacent Item Model/PN cell is Empty ]")</f>
        <v/>
      </c>
      <c r="G193" s="58" t="n"/>
      <c r="H193" s="42" t="n"/>
      <c r="I193" s="42" t="n"/>
      <c r="J193" s="42" t="n"/>
      <c r="K193" s="42" t="n"/>
      <c r="L193" s="42" t="n"/>
      <c r="M193" s="42" t="n"/>
    </row>
    <row r="194">
      <c r="A194" s="52" t="n"/>
      <c r="B194" s="52" t="n"/>
      <c r="C194" s="52" t="n"/>
      <c r="D194" s="52" t="n"/>
      <c r="E194" s="52" t="n"/>
      <c r="F194" s="52" t="n"/>
      <c r="G194" s="45" t="n"/>
      <c r="H194" s="42" t="n"/>
      <c r="I194" s="42" t="n"/>
      <c r="J194" s="42" t="n"/>
      <c r="K194" s="42" t="n"/>
      <c r="L194" s="42" t="n"/>
      <c r="M194" s="42" t="n"/>
    </row>
    <row r="195">
      <c r="A195" s="42" t="n"/>
      <c r="B195" s="42" t="n"/>
      <c r="C195" s="42" t="n"/>
      <c r="D195" s="42" t="n"/>
      <c r="E195" s="42" t="n"/>
      <c r="F195" s="42" t="n"/>
      <c r="H195" s="42" t="n"/>
      <c r="I195" s="42" t="n"/>
      <c r="J195" s="42" t="n"/>
      <c r="K195" s="42" t="n"/>
      <c r="L195" s="42" t="n"/>
      <c r="M195" s="42" t="n"/>
    </row>
    <row r="196">
      <c r="A196" s="42" t="n"/>
      <c r="B196" s="42" t="n"/>
      <c r="C196" s="42" t="n"/>
      <c r="D196" s="42" t="n"/>
      <c r="E196" s="42" t="n"/>
      <c r="F196" s="42" t="n"/>
      <c r="H196" s="42" t="n"/>
      <c r="I196" s="42" t="n"/>
      <c r="J196" s="42" t="n"/>
      <c r="K196" s="42" t="n"/>
      <c r="L196" s="42" t="n"/>
      <c r="M196" s="42" t="n"/>
    </row>
    <row r="197">
      <c r="A197" s="42" t="n"/>
      <c r="C197" s="42" t="n"/>
      <c r="D197" s="42" t="n"/>
      <c r="E197" s="42" t="n"/>
      <c r="F197" s="42" t="n"/>
      <c r="G197" s="42" t="n"/>
      <c r="H197" s="42" t="n"/>
      <c r="I197" s="42" t="n"/>
      <c r="J197" s="42" t="n"/>
      <c r="K197" s="42" t="n"/>
      <c r="L197" s="42" t="n"/>
      <c r="M197" s="42" t="n"/>
    </row>
    <row r="198"/>
    <row r="199"/>
    <row r="200"/>
    <row r="201">
      <c r="D201" s="42" t="n"/>
      <c r="E201" s="42" t="n"/>
      <c r="G201" s="42" t="n"/>
    </row>
    <row r="202"/>
    <row r="203"/>
    <row r="204">
      <c r="G204" s="42" t="n"/>
    </row>
    <row r="205">
      <c r="G205" s="42" t="n"/>
    </row>
    <row r="206"/>
    <row r="207">
      <c r="G207" s="42" t="n"/>
    </row>
    <row r="208">
      <c r="G208" s="43" t="n"/>
    </row>
    <row r="209">
      <c r="G209" s="42" t="n"/>
    </row>
    <row r="210">
      <c r="G210" s="42" t="n"/>
    </row>
    <row r="211">
      <c r="G211" s="42" t="n"/>
    </row>
    <row r="212">
      <c r="G212" s="42" t="n"/>
    </row>
    <row r="213">
      <c r="G213" s="42" t="n"/>
    </row>
  </sheetData>
  <mergeCells count="22">
    <mergeCell ref="A97:G97"/>
    <mergeCell ref="A140:G140"/>
    <mergeCell ref="A91:G91"/>
    <mergeCell ref="A109:G109"/>
    <mergeCell ref="A20:G20"/>
    <mergeCell ref="B157:D157"/>
    <mergeCell ref="A134:G134"/>
    <mergeCell ref="B162:G162"/>
    <mergeCell ref="A28:G28"/>
    <mergeCell ref="A44:G44"/>
    <mergeCell ref="A9:G9"/>
    <mergeCell ref="A67:G67"/>
    <mergeCell ref="B158:D158"/>
    <mergeCell ref="A61:G61"/>
    <mergeCell ref="A54:G54"/>
    <mergeCell ref="A149:G149"/>
    <mergeCell ref="A74:G74"/>
    <mergeCell ref="A80:G80"/>
    <mergeCell ref="A120:G120"/>
    <mergeCell ref="A2:G2"/>
    <mergeCell ref="A86:G86"/>
    <mergeCell ref="A160:G16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Q61"/>
  <sheetViews>
    <sheetView zoomScale="55" zoomScaleNormal="55" workbookViewId="0">
      <selection activeCell="G51" sqref="F50:G51"/>
    </sheetView>
  </sheetViews>
  <sheetFormatPr baseColWidth="8" defaultRowHeight="14.4"/>
  <cols>
    <col width="36.44140625" customWidth="1" style="231" min="6" max="6"/>
    <col width="37" customWidth="1" style="231" min="8" max="8"/>
    <col width="40.88671875" customWidth="1" style="231" min="10" max="10"/>
    <col width="38.33203125" customWidth="1" style="231" min="12" max="12"/>
    <col width="31" customWidth="1" style="231" min="18" max="18"/>
    <col width="37.5546875" customWidth="1" style="231" min="24" max="24"/>
    <col width="34" customWidth="1" style="231" min="29" max="29"/>
    <col width="29.109375" customWidth="1" style="231" min="33" max="33"/>
    <col width="33.88671875" customWidth="1" style="231" min="40" max="40"/>
    <col width="37" customWidth="1" style="231" min="44" max="44"/>
    <col width="30.109375" customWidth="1" style="231" min="48" max="48"/>
    <col width="25.44140625" customWidth="1" style="231" min="52" max="52"/>
    <col width="32" customWidth="1" style="231" min="57" max="57"/>
    <col width="32" customWidth="1" style="231" min="61" max="61"/>
    <col width="40.33203125" customWidth="1" style="231" min="67" max="67"/>
  </cols>
  <sheetData>
    <row r="1">
      <c r="A1" s="144" t="n"/>
      <c r="B1" s="144" t="n"/>
      <c r="C1" s="144" t="n"/>
      <c r="D1" s="144" t="n"/>
      <c r="E1" s="241" t="n"/>
      <c r="G1" s="241" t="n"/>
      <c r="I1" s="241" t="n"/>
      <c r="K1" s="241" t="n"/>
      <c r="M1" s="144" t="n"/>
      <c r="N1" s="144" t="n"/>
      <c r="O1" s="144" t="n"/>
      <c r="P1" s="144" t="n"/>
      <c r="Q1" s="241" t="n"/>
      <c r="S1" s="144" t="n"/>
      <c r="T1" s="144" t="n"/>
      <c r="U1" s="144" t="n"/>
      <c r="V1" s="241" t="n"/>
      <c r="X1" s="241" t="n"/>
      <c r="Y1" s="241" t="n"/>
      <c r="AA1" s="241" t="n"/>
      <c r="AC1" s="241" t="n"/>
      <c r="AD1" s="241" t="n"/>
      <c r="AE1" s="241" t="n"/>
      <c r="AF1" s="241" t="n"/>
      <c r="AH1" s="241" t="n"/>
      <c r="AI1" s="241" t="n"/>
      <c r="AJ1" s="241" t="n"/>
      <c r="AK1" s="241" t="n"/>
      <c r="AL1" s="241" t="n"/>
      <c r="AN1" s="241" t="n"/>
      <c r="AO1" s="241" t="n"/>
      <c r="AQ1" s="241" t="n"/>
      <c r="AS1" s="241" t="n"/>
      <c r="AU1" s="241" t="n"/>
      <c r="AW1" s="241" t="n"/>
      <c r="AY1" s="241" t="n"/>
      <c r="BA1" s="241" t="n"/>
      <c r="BC1" s="241" t="n"/>
      <c r="BE1" s="241" t="n"/>
      <c r="BF1" s="241" t="n"/>
      <c r="BH1" s="241" t="n"/>
      <c r="BI1" s="241" t="n"/>
      <c r="BJ1" s="241" t="n"/>
      <c r="BK1" s="241" t="n"/>
      <c r="BL1" s="241" t="n"/>
      <c r="BM1" s="241" t="n"/>
      <c r="BO1" s="241" t="n"/>
      <c r="BP1" s="241" t="n"/>
    </row>
    <row r="2">
      <c r="A2" s="144" t="n"/>
      <c r="B2" s="144" t="n"/>
      <c r="C2" s="144" t="n"/>
      <c r="D2" s="144" t="n"/>
      <c r="E2" s="241" t="n"/>
      <c r="G2" s="241" t="n"/>
      <c r="I2" s="241" t="n"/>
      <c r="K2" s="241" t="n"/>
      <c r="M2" s="144" t="n"/>
      <c r="N2" s="144" t="n"/>
      <c r="O2" s="144" t="n"/>
      <c r="P2" s="144" t="n"/>
      <c r="Q2" s="241" t="n"/>
      <c r="S2" s="144" t="n"/>
      <c r="T2" s="144" t="n"/>
      <c r="U2" s="144" t="n"/>
      <c r="V2" s="241" t="n"/>
      <c r="X2" s="241" t="n"/>
      <c r="Y2" s="241" t="n"/>
      <c r="AA2" s="241" t="n"/>
      <c r="AC2" s="241" t="n"/>
      <c r="AD2" s="241" t="n"/>
      <c r="AE2" s="241" t="n"/>
      <c r="AF2" s="241" t="n"/>
      <c r="AH2" s="241" t="n"/>
      <c r="AI2" s="241" t="n"/>
      <c r="AJ2" s="241" t="n"/>
      <c r="AK2" s="241" t="n"/>
      <c r="AL2" s="241" t="n"/>
      <c r="AN2" s="241" t="n"/>
      <c r="AO2" s="241" t="n"/>
      <c r="AQ2" s="241" t="n"/>
      <c r="AS2" s="241" t="n"/>
      <c r="AU2" s="241" t="n"/>
      <c r="AW2" s="241" t="n"/>
      <c r="AY2" s="241" t="n"/>
      <c r="BA2" s="241" t="n"/>
      <c r="BC2" s="241" t="n"/>
      <c r="BE2" s="241" t="n"/>
      <c r="BF2" s="241" t="n"/>
      <c r="BH2" s="241" t="n"/>
      <c r="BI2" s="241" t="n"/>
      <c r="BJ2" s="241" t="n"/>
      <c r="BK2" s="241" t="n"/>
      <c r="BL2" s="241" t="n"/>
      <c r="BM2" s="241" t="n"/>
      <c r="BO2" s="241" t="n"/>
      <c r="BP2" s="241" t="n"/>
    </row>
    <row r="3">
      <c r="A3" s="144" t="n"/>
      <c r="B3" s="144" t="n"/>
      <c r="C3" s="144" t="n"/>
      <c r="D3" s="144" t="n"/>
      <c r="E3" s="241" t="n"/>
      <c r="G3" s="241" t="n"/>
      <c r="I3" s="241" t="n"/>
      <c r="K3" s="241" t="n"/>
      <c r="M3" s="144" t="n"/>
      <c r="N3" s="144" t="n"/>
      <c r="O3" s="144" t="n"/>
      <c r="P3" s="144" t="n"/>
      <c r="Q3" s="241" t="n"/>
      <c r="S3" s="144" t="n"/>
      <c r="T3" s="144" t="n"/>
      <c r="U3" s="144" t="n"/>
      <c r="V3" s="241" t="n"/>
      <c r="X3" s="241" t="n"/>
      <c r="Y3" s="241" t="n"/>
      <c r="AA3" s="241" t="n"/>
      <c r="AC3" s="241" t="n"/>
      <c r="AD3" s="241" t="n"/>
      <c r="AE3" s="241" t="n"/>
      <c r="AF3" s="241" t="n"/>
      <c r="AH3" s="241" t="n"/>
      <c r="AI3" s="241" t="n"/>
      <c r="AJ3" s="241" t="n"/>
      <c r="AK3" s="241" t="n"/>
      <c r="AL3" s="241" t="n"/>
      <c r="AN3" s="241" t="n"/>
      <c r="AO3" s="241" t="n"/>
      <c r="AQ3" s="241" t="n"/>
      <c r="AS3" s="241" t="n"/>
      <c r="AU3" s="241" t="n"/>
      <c r="AW3" s="241" t="n"/>
      <c r="AY3" s="241" t="n"/>
      <c r="BA3" s="241" t="n"/>
      <c r="BC3" s="241" t="n"/>
      <c r="BE3" s="241" t="n"/>
      <c r="BF3" s="241" t="n"/>
      <c r="BH3" s="241" t="n"/>
      <c r="BI3" s="241" t="n"/>
      <c r="BJ3" s="241" t="n"/>
      <c r="BK3" s="241" t="n"/>
      <c r="BL3" s="241" t="n"/>
      <c r="BM3" s="241" t="n"/>
      <c r="BO3" s="241" t="n"/>
      <c r="BP3" s="241" t="n"/>
    </row>
    <row r="4">
      <c r="A4" s="144" t="n"/>
      <c r="B4" s="144" t="n"/>
      <c r="C4" s="144" t="n"/>
      <c r="D4" s="144" t="n"/>
      <c r="E4" s="241" t="n"/>
      <c r="G4" s="241" t="n"/>
      <c r="I4" s="241" t="n"/>
      <c r="K4" s="241" t="n"/>
      <c r="M4" s="144" t="n"/>
      <c r="N4" s="144" t="n"/>
      <c r="O4" s="144" t="n"/>
      <c r="P4" s="144" t="n"/>
      <c r="Q4" s="241" t="n"/>
      <c r="S4" s="144" t="n"/>
      <c r="T4" s="144" t="n"/>
      <c r="U4" s="144" t="n"/>
      <c r="V4" s="241" t="n"/>
      <c r="X4" s="241" t="n"/>
      <c r="Y4" s="241" t="n"/>
      <c r="AA4" s="241" t="n"/>
      <c r="AC4" s="241" t="n"/>
      <c r="AD4" s="241" t="n"/>
      <c r="AE4" s="241" t="n"/>
      <c r="AF4" s="241" t="n"/>
      <c r="AH4" s="241" t="n"/>
      <c r="AI4" s="241" t="n"/>
      <c r="AJ4" s="241" t="n"/>
      <c r="AK4" s="241" t="n"/>
      <c r="AL4" s="241" t="n"/>
      <c r="AN4" s="241" t="n"/>
      <c r="AO4" s="241" t="n"/>
      <c r="AQ4" s="241" t="n"/>
      <c r="AS4" s="241" t="n"/>
      <c r="AU4" s="241" t="n"/>
      <c r="AW4" s="241" t="n"/>
      <c r="AY4" s="241" t="n"/>
      <c r="BA4" s="241" t="n"/>
      <c r="BC4" s="241" t="n"/>
      <c r="BE4" s="241" t="n"/>
      <c r="BF4" s="241" t="n"/>
      <c r="BH4" s="241" t="n"/>
      <c r="BI4" s="241" t="n"/>
      <c r="BJ4" s="241" t="n"/>
      <c r="BK4" s="241" t="n"/>
      <c r="BL4" s="241" t="n"/>
      <c r="BM4" s="241" t="n"/>
      <c r="BO4" s="241" t="n"/>
      <c r="BP4" s="241" t="n"/>
    </row>
    <row r="5">
      <c r="A5" s="144" t="n"/>
      <c r="B5" s="144" t="n"/>
      <c r="C5" s="144" t="n"/>
      <c r="D5" s="144" t="n"/>
      <c r="E5" s="241" t="n"/>
      <c r="G5" s="241" t="n"/>
      <c r="I5" s="241" t="n"/>
      <c r="K5" s="241" t="n"/>
      <c r="M5" s="144" t="n"/>
      <c r="N5" s="144" t="n"/>
      <c r="O5" s="144" t="n"/>
      <c r="P5" s="144" t="n"/>
      <c r="Q5" s="241" t="n"/>
      <c r="S5" s="144" t="n"/>
      <c r="T5" s="144" t="n"/>
      <c r="U5" s="144" t="n"/>
      <c r="V5" s="241" t="n"/>
      <c r="X5" s="241" t="inlineStr"/>
      <c r="Y5" s="241" t="n"/>
      <c r="AA5" s="241" t="n"/>
      <c r="AC5" s="241" t="inlineStr"/>
      <c r="AD5" s="241" t="n"/>
      <c r="AE5" s="241" t="n"/>
      <c r="AF5" s="241" t="n"/>
      <c r="AG5" s="241" t="inlineStr"/>
      <c r="AH5" s="241" t="n"/>
      <c r="AI5" s="241" t="n"/>
      <c r="AJ5" s="241" t="n"/>
      <c r="AK5" s="241" t="n"/>
      <c r="AL5" s="241" t="n"/>
      <c r="AN5" s="241" t="n"/>
      <c r="AO5" s="241" t="n"/>
      <c r="AQ5" s="241" t="n"/>
      <c r="AS5" s="241" t="n"/>
      <c r="AU5" s="241" t="n"/>
      <c r="AW5" s="241" t="n"/>
      <c r="AY5" s="241" t="n"/>
      <c r="BA5" s="241" t="n"/>
      <c r="BC5" s="241" t="n"/>
      <c r="BE5" s="241" t="n"/>
      <c r="BF5" s="241" t="n"/>
      <c r="BH5" s="241" t="n"/>
      <c r="BI5" s="241" t="n"/>
      <c r="BJ5" s="241" t="n"/>
      <c r="BK5" s="241" t="n"/>
      <c r="BL5" s="241" t="n"/>
      <c r="BM5" s="241" t="n"/>
      <c r="BO5" s="241" t="n"/>
      <c r="BP5" s="241" t="n"/>
    </row>
    <row r="6" ht="18" customHeight="1" s="231">
      <c r="A6" s="144" t="n"/>
      <c r="B6" s="144" t="n"/>
      <c r="C6" s="144" t="n"/>
      <c r="D6" s="145" t="inlineStr">
        <is>
          <t>Total</t>
        </is>
      </c>
      <c r="E6" s="241" t="n"/>
      <c r="F6" s="145" t="inlineStr"/>
      <c r="G6" s="241" t="n"/>
      <c r="I6" s="241" t="n"/>
      <c r="K6" s="241" t="n"/>
      <c r="M6" s="144" t="n"/>
      <c r="N6" s="144" t="n"/>
      <c r="O6" s="144" t="n"/>
      <c r="P6" s="144" t="n"/>
      <c r="Q6" s="241" t="n"/>
      <c r="S6" s="144" t="n"/>
      <c r="T6" s="144" t="n"/>
      <c r="U6" s="144" t="n"/>
      <c r="V6" s="249" t="n"/>
      <c r="X6" s="146" t="inlineStr"/>
      <c r="Y6" s="249" t="n"/>
      <c r="AA6" s="249" t="n"/>
      <c r="AC6" s="146" t="inlineStr"/>
      <c r="AD6" s="249" t="n"/>
      <c r="AE6" s="249" t="n"/>
      <c r="AF6" s="249" t="n"/>
      <c r="AG6" s="146" t="inlineStr"/>
      <c r="AH6" s="249" t="n"/>
      <c r="AI6" s="249" t="n"/>
      <c r="AJ6" s="249" t="n"/>
      <c r="AK6" s="249" t="n"/>
      <c r="AL6" s="249" t="n"/>
      <c r="AN6" s="146" t="inlineStr"/>
      <c r="AO6" s="249" t="n"/>
      <c r="AQ6" s="249" t="n"/>
      <c r="AR6" s="146" t="inlineStr"/>
      <c r="AS6" s="249" t="n"/>
      <c r="AU6" s="249" t="n"/>
      <c r="AV6" s="146" t="inlineStr"/>
      <c r="AW6" s="249" t="n"/>
      <c r="AY6" s="249" t="n"/>
      <c r="AZ6" s="146" t="inlineStr"/>
      <c r="BA6" s="249" t="n"/>
      <c r="BC6" s="249" t="n"/>
      <c r="BE6" s="146" t="inlineStr"/>
      <c r="BF6" s="249" t="n"/>
      <c r="BH6" s="249" t="n"/>
      <c r="BI6" s="146" t="inlineStr"/>
      <c r="BJ6" s="249" t="n"/>
      <c r="BK6" s="249" t="n"/>
      <c r="BL6" s="249" t="n"/>
      <c r="BM6" s="249" t="n"/>
      <c r="BO6" s="146" t="inlineStr"/>
      <c r="BP6" s="249" t="n"/>
    </row>
    <row r="7" ht="18" customHeight="1" s="231">
      <c r="A7" s="144" t="n"/>
      <c r="B7" s="144" t="n"/>
      <c r="C7" s="144" t="n"/>
      <c r="D7" s="145" t="inlineStr"/>
      <c r="E7" s="241" t="n"/>
      <c r="G7" s="241" t="n"/>
      <c r="I7" s="241" t="n"/>
      <c r="K7" s="241" t="n"/>
      <c r="M7" s="144" t="n"/>
      <c r="N7" s="144" t="n"/>
      <c r="O7" s="144" t="n"/>
      <c r="P7" s="144" t="n"/>
      <c r="Q7" s="241" t="n"/>
      <c r="R7" s="147" t="inlineStr">
        <is>
          <t>32 spines, 4 racks x 8-plane</t>
        </is>
      </c>
      <c r="S7" s="144" t="n"/>
      <c r="T7" s="144" t="n"/>
      <c r="U7" s="144" t="n"/>
      <c r="V7" s="241" t="n"/>
      <c r="X7" s="241" t="n"/>
      <c r="Y7" s="241" t="n"/>
      <c r="AA7" s="241" t="n"/>
      <c r="AC7" s="241" t="n"/>
      <c r="AD7" s="241" t="n"/>
      <c r="AE7" s="241" t="n"/>
      <c r="AF7" s="241" t="n"/>
      <c r="AH7" s="241" t="n"/>
      <c r="AI7" s="241" t="n"/>
      <c r="AJ7" s="241" t="n"/>
      <c r="AK7" s="241" t="n"/>
      <c r="AL7" s="241" t="n"/>
      <c r="AN7" s="241" t="n"/>
      <c r="AO7" s="241" t="n"/>
      <c r="AQ7" s="241" t="n"/>
      <c r="AS7" s="241" t="n"/>
      <c r="AU7" s="241" t="n"/>
      <c r="AW7" s="241" t="n"/>
      <c r="AY7" s="241" t="n"/>
      <c r="BA7" s="241" t="n"/>
      <c r="BC7" s="241" t="n"/>
      <c r="BE7" s="241" t="n"/>
      <c r="BF7" s="241" t="n"/>
      <c r="BH7" s="241" t="n"/>
      <c r="BI7" s="241" t="n"/>
      <c r="BJ7" s="241" t="n"/>
      <c r="BK7" s="241" t="n"/>
      <c r="BL7" s="241" t="n"/>
      <c r="BM7" s="241" t="n"/>
      <c r="BO7" s="241" t="n"/>
      <c r="BP7" s="241" t="n"/>
    </row>
    <row r="8" ht="18" customHeight="1" s="231">
      <c r="A8" s="144" t="n"/>
      <c r="B8" s="144" t="n"/>
      <c r="C8" s="144" t="n"/>
      <c r="D8" s="148">
        <f>SUM(F8:BO8)</f>
        <v/>
      </c>
      <c r="E8" s="249" t="n"/>
      <c r="F8" s="147" t="n">
        <v>15</v>
      </c>
      <c r="G8" s="249" t="n"/>
      <c r="H8" s="147" t="n">
        <v>15</v>
      </c>
      <c r="I8" s="249" t="n"/>
      <c r="J8" s="147" t="n">
        <v>15</v>
      </c>
      <c r="K8" s="249" t="n"/>
      <c r="L8" s="147" t="n">
        <v>15</v>
      </c>
      <c r="M8" s="144" t="n"/>
      <c r="N8" s="144" t="n"/>
      <c r="O8" s="144" t="n"/>
      <c r="P8" s="144" t="n"/>
      <c r="Q8" s="249" t="n"/>
      <c r="R8" s="147" t="n">
        <v>32</v>
      </c>
      <c r="S8" s="144" t="n"/>
      <c r="T8" s="144" t="n"/>
      <c r="U8" s="144" t="n"/>
      <c r="V8" s="249" t="n"/>
      <c r="X8" s="120" t="n">
        <v>6</v>
      </c>
      <c r="Y8" s="249" t="n"/>
      <c r="AA8" s="249" t="n"/>
      <c r="AC8" s="120" t="n">
        <v>9</v>
      </c>
      <c r="AD8" s="249" t="n"/>
      <c r="AE8" s="249" t="n"/>
      <c r="AF8" s="249" t="n"/>
      <c r="AG8" s="120" t="n">
        <v>15</v>
      </c>
      <c r="AH8" s="249" t="n"/>
      <c r="AI8" s="249" t="n"/>
      <c r="AJ8" s="249" t="n"/>
      <c r="AK8" s="249" t="n"/>
      <c r="AL8" s="249" t="n"/>
      <c r="AN8" s="119" t="n">
        <v>2</v>
      </c>
      <c r="AO8" s="249" t="n"/>
      <c r="AQ8" s="249" t="n"/>
      <c r="AR8" s="119" t="n">
        <v>2</v>
      </c>
      <c r="AS8" s="249" t="n"/>
      <c r="AU8" s="249" t="n"/>
      <c r="AV8" s="119" t="n">
        <v>2</v>
      </c>
      <c r="AW8" s="249" t="n"/>
      <c r="AY8" s="249" t="n"/>
      <c r="AZ8" s="119" t="n">
        <v>2</v>
      </c>
      <c r="BA8" s="249" t="n"/>
      <c r="BC8" s="249" t="n"/>
      <c r="BE8" s="119" t="n">
        <v>3</v>
      </c>
      <c r="BF8" s="249" t="n"/>
      <c r="BH8" s="249" t="n"/>
      <c r="BI8" s="119" t="n">
        <v>1</v>
      </c>
      <c r="BJ8" s="249" t="n"/>
      <c r="BK8" s="249" t="n"/>
      <c r="BL8" s="249" t="n"/>
      <c r="BM8" s="249" t="n"/>
      <c r="BO8" s="119" t="n">
        <v>1</v>
      </c>
      <c r="BP8" s="249" t="n"/>
    </row>
    <row r="9">
      <c r="A9" s="144" t="n"/>
      <c r="B9" s="144" t="n"/>
      <c r="C9" s="144" t="n"/>
      <c r="D9" s="144" t="n"/>
      <c r="E9" s="241" t="n"/>
      <c r="F9" s="149" t="inlineStr">
        <is>
          <t>750mm</t>
        </is>
      </c>
      <c r="G9" s="241" t="n"/>
      <c r="H9" s="149" t="inlineStr">
        <is>
          <t>750mm</t>
        </is>
      </c>
      <c r="I9" s="241" t="n"/>
      <c r="J9" s="149" t="inlineStr">
        <is>
          <t>750mm</t>
        </is>
      </c>
      <c r="K9" s="241" t="n"/>
      <c r="L9" s="149" t="inlineStr">
        <is>
          <t>750mm</t>
        </is>
      </c>
      <c r="M9" s="144" t="n"/>
      <c r="N9" s="144" t="n"/>
      <c r="O9" s="144" t="n"/>
      <c r="P9" s="150" t="n"/>
      <c r="Q9" s="241" t="n"/>
      <c r="R9" s="149" t="inlineStr">
        <is>
          <t>750mm</t>
        </is>
      </c>
      <c r="S9" s="144" t="n"/>
      <c r="T9" s="144" t="n"/>
      <c r="U9" s="144" t="n"/>
      <c r="V9" s="241" t="n"/>
      <c r="X9" s="151" t="inlineStr">
        <is>
          <t>750mm</t>
        </is>
      </c>
      <c r="Y9" s="241" t="n"/>
      <c r="AA9" s="241" t="n"/>
      <c r="AC9" s="151" t="inlineStr">
        <is>
          <t>750mm</t>
        </is>
      </c>
      <c r="AD9" s="241" t="n"/>
      <c r="AE9" s="241" t="n"/>
      <c r="AF9" s="152" t="n"/>
      <c r="AG9" s="151" t="inlineStr">
        <is>
          <t>750mm</t>
        </is>
      </c>
      <c r="AH9" s="241" t="n"/>
      <c r="AI9" s="241" t="n"/>
      <c r="AJ9" s="241" t="n"/>
      <c r="AK9" s="241" t="n"/>
      <c r="AL9" s="152" t="n"/>
      <c r="AM9" s="241" t="n"/>
      <c r="AN9" s="151" t="inlineStr">
        <is>
          <t>750mm</t>
        </is>
      </c>
      <c r="AO9" s="241" t="n"/>
      <c r="AQ9" s="241" t="n"/>
      <c r="AR9" s="151" t="inlineStr">
        <is>
          <t>750mm</t>
        </is>
      </c>
      <c r="AS9" s="241" t="n"/>
      <c r="AU9" s="241" t="n"/>
      <c r="AV9" s="151" t="inlineStr">
        <is>
          <t>750mm</t>
        </is>
      </c>
      <c r="AW9" s="241" t="n"/>
      <c r="AY9" s="241" t="n"/>
      <c r="AZ9" s="151" t="inlineStr">
        <is>
          <t>750mm</t>
        </is>
      </c>
      <c r="BA9" s="241" t="n"/>
      <c r="BC9" s="152" t="n"/>
      <c r="BD9" s="241" t="n"/>
      <c r="BE9" s="151" t="inlineStr">
        <is>
          <t>750mm</t>
        </is>
      </c>
      <c r="BF9" s="241" t="n"/>
      <c r="BH9" s="241" t="n"/>
      <c r="BI9" s="151" t="inlineStr">
        <is>
          <t>750mm</t>
        </is>
      </c>
      <c r="BJ9" s="241" t="n"/>
      <c r="BK9" s="241" t="n"/>
      <c r="BL9" s="241" t="n"/>
      <c r="BM9" s="241" t="n"/>
      <c r="BO9" s="151" t="inlineStr">
        <is>
          <t>750mm</t>
        </is>
      </c>
      <c r="BP9" s="241" t="n"/>
    </row>
    <row r="10" ht="15" customHeight="1" s="231" thickBot="1">
      <c r="A10" s="144" t="n"/>
      <c r="B10" s="144" t="n"/>
      <c r="C10" s="144" t="n"/>
      <c r="D10" s="144" t="n"/>
      <c r="E10" s="152" t="inlineStr">
        <is>
          <t>RU</t>
        </is>
      </c>
      <c r="F10" s="89" t="inlineStr">
        <is>
          <t>T1 E-W Rail1-2.A Plane1-4</t>
        </is>
      </c>
      <c r="G10" s="152" t="inlineStr">
        <is>
          <t>RU</t>
        </is>
      </c>
      <c r="H10" s="89" t="inlineStr">
        <is>
          <t>T1 E-W Rail1-2.B Plane5-8</t>
        </is>
      </c>
      <c r="I10" s="152" t="inlineStr">
        <is>
          <t>RU</t>
        </is>
      </c>
      <c r="J10" s="89" t="inlineStr">
        <is>
          <t>T1 E-W Rail3-4.A Plane1-4</t>
        </is>
      </c>
      <c r="K10" s="152" t="inlineStr">
        <is>
          <t>RU</t>
        </is>
      </c>
      <c r="L10" s="89" t="inlineStr">
        <is>
          <t>T1 E-W Rail3-4.B Plane5-8</t>
        </is>
      </c>
      <c r="M10" s="144" t="n"/>
      <c r="N10" s="144" t="n"/>
      <c r="O10" s="144" t="n"/>
      <c r="P10" s="150" t="n"/>
      <c r="Q10" s="152" t="inlineStr">
        <is>
          <t>RU</t>
        </is>
      </c>
      <c r="R10" s="89" t="inlineStr">
        <is>
          <t>T2 E-W</t>
        </is>
      </c>
      <c r="S10" s="144" t="n"/>
      <c r="T10" s="144" t="n"/>
      <c r="U10" s="144" t="n"/>
      <c r="V10" s="241" t="n"/>
      <c r="W10" s="152" t="inlineStr">
        <is>
          <t>RU</t>
        </is>
      </c>
      <c r="X10" s="89" t="inlineStr">
        <is>
          <t>T1/T2 N-S</t>
        </is>
      </c>
      <c r="Y10" s="253" t="n"/>
      <c r="Z10" s="254" t="n"/>
      <c r="AA10" s="241" t="n"/>
      <c r="AB10" s="152" t="inlineStr">
        <is>
          <t>RU</t>
        </is>
      </c>
      <c r="AC10" s="89" t="inlineStr">
        <is>
          <t>T1/T2 N-S</t>
        </is>
      </c>
      <c r="AD10" s="253" t="n"/>
      <c r="AE10" s="253" t="n"/>
      <c r="AF10" s="152" t="inlineStr">
        <is>
          <t>RU</t>
        </is>
      </c>
      <c r="AG10" s="89" t="inlineStr">
        <is>
          <t>T1/T2 N-S</t>
        </is>
      </c>
      <c r="AH10" s="253" t="n"/>
      <c r="AI10" s="253" t="n"/>
      <c r="AJ10" s="253" t="n"/>
      <c r="AK10" s="253" t="n"/>
      <c r="AL10" s="241" t="n"/>
      <c r="AM10" s="152" t="inlineStr">
        <is>
          <t>RU</t>
        </is>
      </c>
      <c r="AN10" s="89" t="inlineStr">
        <is>
          <t>T3 N-S</t>
        </is>
      </c>
      <c r="AO10" s="253" t="n"/>
      <c r="AP10" s="254" t="n"/>
      <c r="AQ10" s="152" t="inlineStr">
        <is>
          <t>RU</t>
        </is>
      </c>
      <c r="AR10" s="89" t="inlineStr">
        <is>
          <t>T3 N-S</t>
        </is>
      </c>
      <c r="AS10" s="253" t="n"/>
      <c r="AT10" s="254" t="n"/>
      <c r="AU10" s="152" t="inlineStr">
        <is>
          <t>RU</t>
        </is>
      </c>
      <c r="AV10" s="89" t="inlineStr">
        <is>
          <t>T3 N-S</t>
        </is>
      </c>
      <c r="AW10" s="253" t="n"/>
      <c r="AX10" s="254" t="n"/>
      <c r="AY10" s="152" t="inlineStr">
        <is>
          <t>RU</t>
        </is>
      </c>
      <c r="AZ10" s="89" t="inlineStr">
        <is>
          <t>T3 N-S</t>
        </is>
      </c>
      <c r="BA10" s="253" t="n"/>
      <c r="BB10" s="254" t="n"/>
      <c r="BC10" s="241" t="n"/>
      <c r="BD10" s="152" t="inlineStr">
        <is>
          <t>RU</t>
        </is>
      </c>
      <c r="BE10" s="89" t="inlineStr">
        <is>
          <t>N-S CTRL Spine+STORAGE LEAF SPINE</t>
        </is>
      </c>
      <c r="BF10" s="253" t="n"/>
      <c r="BG10" s="254" t="n"/>
      <c r="BH10" s="152" t="inlineStr">
        <is>
          <t>RU</t>
        </is>
      </c>
      <c r="BI10" s="89" t="inlineStr">
        <is>
          <t>N-S CTRL Spine+STORAGE LEAF SPINE</t>
        </is>
      </c>
      <c r="BJ10" s="253" t="n"/>
      <c r="BK10" s="253" t="n"/>
      <c r="BL10" s="253" t="n"/>
      <c r="BM10" s="153" t="n"/>
      <c r="BN10" s="152" t="inlineStr">
        <is>
          <t>RU</t>
        </is>
      </c>
      <c r="BO10" s="89" t="inlineStr">
        <is>
          <t>IREN CONTROL POD</t>
        </is>
      </c>
      <c r="BP10" s="253" t="n"/>
      <c r="BQ10" s="254" t="n"/>
    </row>
    <row r="11" ht="103.2" customHeight="1" s="231">
      <c r="A11" s="144" t="n"/>
      <c r="B11" s="144" t="n"/>
      <c r="C11" s="144" t="n"/>
      <c r="D11" s="144" t="n"/>
      <c r="E11" s="137" t="n">
        <v>48</v>
      </c>
      <c r="F11" s="155" t="n"/>
      <c r="G11" s="137" t="n">
        <v>48</v>
      </c>
      <c r="H11" s="155" t="n"/>
      <c r="I11" s="137" t="n">
        <v>48</v>
      </c>
      <c r="J11" s="155" t="n"/>
      <c r="K11" s="137" t="n">
        <v>48</v>
      </c>
      <c r="L11" s="156" t="n"/>
      <c r="M11" s="144" t="n"/>
      <c r="N11" s="144" t="n"/>
      <c r="O11" s="144" t="n"/>
      <c r="P11" s="150" t="n"/>
      <c r="Q11" s="137" t="n">
        <v>48</v>
      </c>
      <c r="R11" s="156" t="n"/>
      <c r="S11" s="144" t="n"/>
      <c r="T11" s="144" t="n"/>
      <c r="U11" s="144" t="n"/>
      <c r="V11" s="255" t="inlineStr">
        <is>
          <t>4x12 vertical manager</t>
        </is>
      </c>
      <c r="W11" s="158" t="n">
        <v>48</v>
      </c>
      <c r="X11" s="159" t="n"/>
      <c r="Y11" s="244" t="inlineStr">
        <is>
          <t>4x12 vertical manager</t>
        </is>
      </c>
      <c r="Z11" s="160" t="n"/>
      <c r="AA11" s="255" t="inlineStr">
        <is>
          <t>4x12 vertical manager</t>
        </is>
      </c>
      <c r="AB11" s="158" t="n">
        <v>48</v>
      </c>
      <c r="AC11" s="159" t="n"/>
      <c r="AD11" s="244" t="inlineStr">
        <is>
          <t>4x12 vertical manager</t>
        </is>
      </c>
      <c r="AE11" s="255" t="inlineStr">
        <is>
          <t>4x12 vertical manager</t>
        </is>
      </c>
      <c r="AF11" s="158" t="n">
        <v>48</v>
      </c>
      <c r="AG11" s="159" t="n"/>
      <c r="AH11" s="244" t="inlineStr">
        <is>
          <t>4x12 vertical manager</t>
        </is>
      </c>
      <c r="AI11" s="160" t="n"/>
      <c r="AJ11" s="160" t="n"/>
      <c r="AK11" s="144" t="n"/>
      <c r="AL11" s="255" t="inlineStr">
        <is>
          <t>4x12 vertical manager</t>
        </is>
      </c>
      <c r="AM11" s="158" t="n">
        <v>48</v>
      </c>
      <c r="AN11" s="159" t="n"/>
      <c r="AO11" s="244" t="inlineStr">
        <is>
          <t>4x12 vertical manager</t>
        </is>
      </c>
      <c r="AP11" s="255" t="inlineStr">
        <is>
          <t>4x12 vertical manager</t>
        </is>
      </c>
      <c r="AQ11" s="158" t="n">
        <v>48</v>
      </c>
      <c r="AR11" s="159" t="n"/>
      <c r="AS11" s="244" t="inlineStr">
        <is>
          <t>4x12 vertical manager</t>
        </is>
      </c>
      <c r="AT11" s="255" t="inlineStr">
        <is>
          <t>4x12 vertical manager</t>
        </is>
      </c>
      <c r="AU11" s="158" t="n">
        <v>48</v>
      </c>
      <c r="AV11" s="159" t="n"/>
      <c r="AW11" s="244" t="inlineStr">
        <is>
          <t>4x12 vertical manager</t>
        </is>
      </c>
      <c r="AX11" s="255" t="inlineStr">
        <is>
          <t>4x12 vertical manager</t>
        </is>
      </c>
      <c r="AY11" s="158" t="n">
        <v>48</v>
      </c>
      <c r="AZ11" s="159" t="n"/>
      <c r="BA11" s="244" t="inlineStr">
        <is>
          <t>4x12 vertical manager</t>
        </is>
      </c>
      <c r="BB11" s="144" t="n"/>
      <c r="BC11" s="255" t="inlineStr">
        <is>
          <t>4x12 vertical manager</t>
        </is>
      </c>
      <c r="BD11" s="158" t="n">
        <v>48</v>
      </c>
      <c r="BE11" s="166" t="inlineStr">
        <is>
          <t>Storage BE OOB ToR #1</t>
        </is>
      </c>
      <c r="BF11" s="244" t="inlineStr">
        <is>
          <t>4x12 vertical manager</t>
        </is>
      </c>
      <c r="BG11" s="255" t="inlineStr">
        <is>
          <t>4x12 vertical manager</t>
        </is>
      </c>
      <c r="BH11" s="158" t="n">
        <v>48</v>
      </c>
      <c r="BI11" s="166" t="inlineStr">
        <is>
          <t>Storage BE OOB ToR #1</t>
        </is>
      </c>
      <c r="BJ11" s="244" t="inlineStr">
        <is>
          <t>4x12 vertical manager</t>
        </is>
      </c>
      <c r="BK11" s="144" t="n"/>
      <c r="BL11" s="144" t="n"/>
      <c r="BM11" s="161" t="n"/>
      <c r="BN11" s="158" t="n">
        <v>48</v>
      </c>
      <c r="BO11" s="159" t="n"/>
      <c r="BP11" s="244" t="inlineStr">
        <is>
          <t>4x12 vertical manager</t>
        </is>
      </c>
      <c r="BQ11" s="144" t="n"/>
    </row>
    <row r="12">
      <c r="A12" s="144" t="n"/>
      <c r="B12" s="144" t="n"/>
      <c r="C12" s="144" t="n"/>
      <c r="D12" s="144" t="n"/>
      <c r="E12" s="138" t="n">
        <v>47</v>
      </c>
      <c r="F12" s="162" t="n"/>
      <c r="G12" s="138" t="n">
        <v>47</v>
      </c>
      <c r="H12" s="162" t="n"/>
      <c r="I12" s="138" t="n">
        <v>47</v>
      </c>
      <c r="J12" s="162" t="n"/>
      <c r="K12" s="138" t="n">
        <v>47</v>
      </c>
      <c r="L12" s="163" t="n"/>
      <c r="M12" s="144" t="n"/>
      <c r="N12" s="144" t="n"/>
      <c r="O12" s="144" t="n"/>
      <c r="P12" s="144" t="n"/>
      <c r="Q12" s="138" t="n">
        <v>47</v>
      </c>
      <c r="R12" s="164" t="n"/>
      <c r="S12" s="144" t="n"/>
      <c r="T12" s="144" t="n"/>
      <c r="U12" s="144" t="n"/>
      <c r="V12" s="256" t="n"/>
      <c r="W12" s="165" t="n">
        <v>47</v>
      </c>
      <c r="X12" s="257" t="inlineStr">
        <is>
          <t>4x100G Breakout PP Corning</t>
        </is>
      </c>
      <c r="Y12" s="243" t="n"/>
      <c r="Z12" s="157" t="n"/>
      <c r="AA12" s="256" t="n"/>
      <c r="AB12" s="165" t="n">
        <v>47</v>
      </c>
      <c r="AC12" s="162" t="n"/>
      <c r="AD12" s="206" t="n"/>
      <c r="AE12" s="256" t="n"/>
      <c r="AF12" s="165" t="n">
        <v>47</v>
      </c>
      <c r="AG12" s="162" t="n"/>
      <c r="AH12" s="243" t="n"/>
      <c r="AI12" s="157" t="n"/>
      <c r="AJ12" s="157" t="n"/>
      <c r="AK12" s="144" t="n"/>
      <c r="AL12" s="256" t="n"/>
      <c r="AM12" s="165" t="n">
        <v>47</v>
      </c>
      <c r="AN12" s="166" t="inlineStr">
        <is>
          <t>OOB ToR #1</t>
        </is>
      </c>
      <c r="AO12" s="243" t="n"/>
      <c r="AP12" s="256" t="n"/>
      <c r="AQ12" s="165" t="n">
        <v>47</v>
      </c>
      <c r="AR12" s="162" t="n"/>
      <c r="AS12" s="243" t="n"/>
      <c r="AT12" s="256" t="n"/>
      <c r="AU12" s="165" t="n">
        <v>47</v>
      </c>
      <c r="AV12" s="166" t="inlineStr">
        <is>
          <t>OOB ToR #1</t>
        </is>
      </c>
      <c r="AW12" s="243" t="n"/>
      <c r="AX12" s="256" t="n"/>
      <c r="AY12" s="165" t="n">
        <v>47</v>
      </c>
      <c r="AZ12" s="259" t="inlineStr">
        <is>
          <t>CTRL Leaf #1</t>
        </is>
      </c>
      <c r="BA12" s="243" t="n"/>
      <c r="BB12" s="144" t="n"/>
      <c r="BC12" s="256" t="n"/>
      <c r="BD12" s="165" t="n">
        <v>47</v>
      </c>
      <c r="BE12" s="166" t="inlineStr">
        <is>
          <t>Storage BE OOB ToR #2</t>
        </is>
      </c>
      <c r="BF12" s="243" t="n"/>
      <c r="BG12" s="256" t="n"/>
      <c r="BH12" s="165" t="n">
        <v>47</v>
      </c>
      <c r="BI12" s="166" t="inlineStr">
        <is>
          <t>Storage BE OOB ToR #2</t>
        </is>
      </c>
      <c r="BJ12" s="243" t="n"/>
      <c r="BK12" s="144" t="n"/>
      <c r="BL12" s="144" t="n"/>
      <c r="BM12" s="167" t="n"/>
      <c r="BN12" s="165" t="n">
        <v>47</v>
      </c>
      <c r="BO12" s="166" t="inlineStr">
        <is>
          <t>OOB ToR #1</t>
        </is>
      </c>
      <c r="BP12" s="243" t="n"/>
      <c r="BQ12" s="144" t="n"/>
    </row>
    <row r="13">
      <c r="A13" s="144" t="n"/>
      <c r="B13" s="144" t="n"/>
      <c r="C13" s="144" t="n"/>
      <c r="D13" s="144" t="n"/>
      <c r="E13" s="138" t="n">
        <v>46</v>
      </c>
      <c r="F13" s="252" t="inlineStr">
        <is>
          <t>27 4x4 Shuffle Cassette [2U Panel]</t>
        </is>
      </c>
      <c r="G13" s="138" t="n">
        <v>46</v>
      </c>
      <c r="H13" s="252" t="inlineStr">
        <is>
          <t>27 4x4 Shuffle Cassette [2U Panel]</t>
        </is>
      </c>
      <c r="I13" s="138" t="n">
        <v>46</v>
      </c>
      <c r="J13" s="252" t="inlineStr">
        <is>
          <t>27 4x4 Shuffle Cassette [2U Panel]</t>
        </is>
      </c>
      <c r="K13" s="138" t="n">
        <v>46</v>
      </c>
      <c r="L13" s="252" t="inlineStr">
        <is>
          <t>27 4x4 Shuffle Cassette [2U Panel]</t>
        </is>
      </c>
      <c r="M13" s="150" t="n"/>
      <c r="N13" s="150" t="n"/>
      <c r="O13" s="144" t="n"/>
      <c r="P13" s="144" t="n"/>
      <c r="Q13" s="138" t="n">
        <v>46</v>
      </c>
      <c r="R13" s="164" t="n"/>
      <c r="S13" s="144" t="n"/>
      <c r="T13" s="144" t="n"/>
      <c r="U13" s="144" t="n"/>
      <c r="V13" s="256" t="n"/>
      <c r="W13" s="165" t="n">
        <v>46</v>
      </c>
      <c r="X13" s="248" t="n"/>
      <c r="Y13" s="243" t="n"/>
      <c r="Z13" s="157" t="n"/>
      <c r="AA13" s="256" t="n"/>
      <c r="AB13" s="165" t="n">
        <v>46</v>
      </c>
      <c r="AC13" s="162" t="n"/>
      <c r="AD13" s="206" t="n"/>
      <c r="AE13" s="256" t="n"/>
      <c r="AF13" s="165" t="n">
        <v>46</v>
      </c>
      <c r="AG13" s="157" t="n"/>
      <c r="AH13" s="243" t="n"/>
      <c r="AI13" s="157" t="n"/>
      <c r="AJ13" s="157" t="n"/>
      <c r="AK13" s="144" t="n"/>
      <c r="AL13" s="256" t="n"/>
      <c r="AM13" s="165" t="n">
        <v>46</v>
      </c>
      <c r="AN13" s="257" t="inlineStr">
        <is>
          <t>4x100G Breakout PP</t>
        </is>
      </c>
      <c r="AO13" s="243" t="n"/>
      <c r="AP13" s="256" t="n"/>
      <c r="AQ13" s="165" t="n">
        <v>46</v>
      </c>
      <c r="AR13" s="162" t="n"/>
      <c r="AS13" s="243" t="n"/>
      <c r="AT13" s="256" t="n"/>
      <c r="AU13" s="165" t="n">
        <v>46</v>
      </c>
      <c r="AV13" s="162" t="n"/>
      <c r="AW13" s="243" t="n"/>
      <c r="AX13" s="256" t="n"/>
      <c r="AY13" s="165" t="n">
        <v>46</v>
      </c>
      <c r="AZ13" s="251" t="n"/>
      <c r="BA13" s="243" t="n"/>
      <c r="BB13" s="144" t="n"/>
      <c r="BC13" s="256" t="n"/>
      <c r="BD13" s="165" t="n">
        <v>46</v>
      </c>
      <c r="BE13" s="166" t="inlineStr">
        <is>
          <t>Storage BE OOB ToR #3</t>
        </is>
      </c>
      <c r="BF13" s="243" t="n"/>
      <c r="BG13" s="256" t="n"/>
      <c r="BH13" s="165" t="n">
        <v>46</v>
      </c>
      <c r="BI13" s="166" t="inlineStr">
        <is>
          <t>Storage BE OOB ToR #3</t>
        </is>
      </c>
      <c r="BJ13" s="243" t="n"/>
      <c r="BK13" s="144" t="n"/>
      <c r="BL13" s="144" t="n"/>
      <c r="BM13" s="167" t="n"/>
      <c r="BN13" s="165" t="n">
        <v>46</v>
      </c>
      <c r="BO13" s="162" t="n"/>
      <c r="BP13" s="243" t="n"/>
      <c r="BQ13" s="144" t="n"/>
    </row>
    <row r="14">
      <c r="A14" s="144" t="n"/>
      <c r="B14" s="144" t="n"/>
      <c r="C14" s="144" t="n"/>
      <c r="D14" s="144" t="n"/>
      <c r="E14" s="138" t="n">
        <v>45</v>
      </c>
      <c r="F14" s="246" t="n"/>
      <c r="G14" s="138" t="n">
        <v>45</v>
      </c>
      <c r="H14" s="246" t="n"/>
      <c r="I14" s="138" t="n">
        <v>45</v>
      </c>
      <c r="J14" s="246" t="n"/>
      <c r="K14" s="138" t="n">
        <v>45</v>
      </c>
      <c r="L14" s="246" t="n"/>
      <c r="M14" s="144" t="n"/>
      <c r="N14" s="144" t="n"/>
      <c r="O14" s="144" t="n"/>
      <c r="P14" s="144" t="n"/>
      <c r="Q14" s="138" t="n">
        <v>45</v>
      </c>
      <c r="R14" s="164" t="n"/>
      <c r="S14" s="144" t="n"/>
      <c r="T14" s="144" t="n"/>
      <c r="U14" s="144" t="n"/>
      <c r="V14" s="256" t="n"/>
      <c r="W14" s="165" t="n">
        <v>45</v>
      </c>
      <c r="X14" s="162" t="n"/>
      <c r="Y14" s="243" t="n"/>
      <c r="Z14" s="157" t="n"/>
      <c r="AA14" s="256" t="n"/>
      <c r="AB14" s="165" t="n">
        <v>45</v>
      </c>
      <c r="AC14" s="162" t="n"/>
      <c r="AD14" s="206" t="n"/>
      <c r="AE14" s="256" t="n"/>
      <c r="AF14" s="165" t="n">
        <v>45</v>
      </c>
      <c r="AG14" s="166" t="inlineStr">
        <is>
          <t>OOB ToR #2</t>
        </is>
      </c>
      <c r="AH14" s="243" t="n"/>
      <c r="AI14" s="157" t="n"/>
      <c r="AJ14" s="157" t="n"/>
      <c r="AK14" s="144" t="n"/>
      <c r="AL14" s="256" t="n"/>
      <c r="AM14" s="165" t="n">
        <v>45</v>
      </c>
      <c r="AN14" s="248" t="n"/>
      <c r="AO14" s="243" t="n"/>
      <c r="AP14" s="256" t="n"/>
      <c r="AQ14" s="165" t="n">
        <v>45</v>
      </c>
      <c r="AR14" s="162" t="n"/>
      <c r="AS14" s="243" t="n"/>
      <c r="AT14" s="256" t="n"/>
      <c r="AU14" s="165" t="n">
        <v>45</v>
      </c>
      <c r="AV14" s="162" t="n"/>
      <c r="AW14" s="243" t="n"/>
      <c r="AX14" s="256" t="n"/>
      <c r="AY14" s="165" t="n">
        <v>45</v>
      </c>
      <c r="AZ14" s="162" t="n"/>
      <c r="BA14" s="243" t="n"/>
      <c r="BB14" s="144" t="n"/>
      <c r="BC14" s="256" t="n"/>
      <c r="BD14" s="165" t="n">
        <v>45</v>
      </c>
      <c r="BE14" s="166" t="inlineStr">
        <is>
          <t>Storage BE OOB ToR #4</t>
        </is>
      </c>
      <c r="BF14" s="243" t="n"/>
      <c r="BG14" s="256" t="n"/>
      <c r="BH14" s="165" t="n">
        <v>45</v>
      </c>
      <c r="BI14" s="166" t="inlineStr">
        <is>
          <t>Storage BE OOB ToR #4</t>
        </is>
      </c>
      <c r="BJ14" s="243" t="n"/>
      <c r="BK14" s="144" t="n"/>
      <c r="BL14" s="144" t="n"/>
      <c r="BM14" s="167" t="n"/>
      <c r="BN14" s="165" t="n">
        <v>45</v>
      </c>
      <c r="BP14" s="243" t="n"/>
      <c r="BQ14" s="144" t="n"/>
    </row>
    <row r="15">
      <c r="A15" s="144" t="n"/>
      <c r="B15" s="144" t="n"/>
      <c r="C15" s="144" t="n"/>
      <c r="D15" s="144" t="n"/>
      <c r="E15" s="138" t="n">
        <v>44</v>
      </c>
      <c r="F15" s="252" t="inlineStr">
        <is>
          <t>36 4x4 Shuffle Cassette [2U Panel]</t>
        </is>
      </c>
      <c r="G15" s="138" t="n">
        <v>44</v>
      </c>
      <c r="H15" s="252" t="inlineStr">
        <is>
          <t>36 4x4 Shuffle Cassette [2U Panel]</t>
        </is>
      </c>
      <c r="I15" s="138" t="n">
        <v>44</v>
      </c>
      <c r="J15" s="252" t="inlineStr">
        <is>
          <t>36 4x4 Shuffle Cassette [2U Panel]</t>
        </is>
      </c>
      <c r="K15" s="138" t="n">
        <v>44</v>
      </c>
      <c r="L15" s="252" t="inlineStr">
        <is>
          <t>36 4x4 Shuffle Cassette [2U Panel]</t>
        </is>
      </c>
      <c r="M15" s="144" t="n"/>
      <c r="N15" s="144" t="n"/>
      <c r="O15" s="144" t="n"/>
      <c r="P15" s="144" t="n"/>
      <c r="Q15" s="138" t="n">
        <v>44</v>
      </c>
      <c r="R15" s="164" t="n"/>
      <c r="S15" s="144" t="n"/>
      <c r="T15" s="144" t="n"/>
      <c r="U15" s="144" t="n"/>
      <c r="V15" s="256" t="n"/>
      <c r="W15" s="165" t="n">
        <v>44</v>
      </c>
      <c r="X15" s="166" t="inlineStr">
        <is>
          <t>OOB ToR #1</t>
        </is>
      </c>
      <c r="Y15" s="243" t="n"/>
      <c r="Z15" s="157" t="n"/>
      <c r="AA15" s="256" t="n"/>
      <c r="AB15" s="165" t="n">
        <v>44</v>
      </c>
      <c r="AC15" s="166" t="inlineStr">
        <is>
          <t>OOB ToR #1</t>
        </is>
      </c>
      <c r="AD15" s="206" t="n"/>
      <c r="AE15" s="256" t="n"/>
      <c r="AF15" s="165" t="n">
        <v>44</v>
      </c>
      <c r="AG15" s="166" t="inlineStr">
        <is>
          <t>OOB ToR #4</t>
        </is>
      </c>
      <c r="AH15" s="243" t="n"/>
      <c r="AI15" s="157" t="n"/>
      <c r="AJ15" s="157" t="n"/>
      <c r="AK15" s="144" t="n"/>
      <c r="AL15" s="256" t="n"/>
      <c r="AM15" s="165" t="n">
        <v>44</v>
      </c>
      <c r="AN15" s="241" t="n"/>
      <c r="AO15" s="243" t="n"/>
      <c r="AP15" s="256" t="n"/>
      <c r="AQ15" s="165" t="n">
        <v>44</v>
      </c>
      <c r="AR15" s="241" t="n"/>
      <c r="AS15" s="243" t="n"/>
      <c r="AT15" s="256" t="n"/>
      <c r="AU15" s="165" t="n">
        <v>44</v>
      </c>
      <c r="AV15" s="241" t="n"/>
      <c r="AW15" s="243" t="n"/>
      <c r="AX15" s="256" t="n"/>
      <c r="AY15" s="165" t="n">
        <v>44</v>
      </c>
      <c r="AZ15" s="241" t="n"/>
      <c r="BA15" s="243" t="n"/>
      <c r="BB15" s="144" t="n"/>
      <c r="BC15" s="256" t="n"/>
      <c r="BD15" s="165" t="n">
        <v>44</v>
      </c>
      <c r="BE15" s="166" t="inlineStr">
        <is>
          <t>Storage BE OOB ToR #5</t>
        </is>
      </c>
      <c r="BF15" s="243" t="n"/>
      <c r="BG15" s="256" t="n"/>
      <c r="BH15" s="165" t="n">
        <v>44</v>
      </c>
      <c r="BI15" s="166" t="inlineStr">
        <is>
          <t>Storage BE OOB ToR #5</t>
        </is>
      </c>
      <c r="BJ15" s="243" t="n"/>
      <c r="BK15" s="144" t="n"/>
      <c r="BL15" s="144" t="n"/>
      <c r="BM15" s="167" t="n"/>
      <c r="BN15" s="165" t="n">
        <v>44</v>
      </c>
      <c r="BP15" s="243" t="n"/>
      <c r="BQ15" s="144" t="n"/>
    </row>
    <row r="16">
      <c r="A16" s="144" t="n"/>
      <c r="B16" s="144" t="n"/>
      <c r="C16" s="144" t="n"/>
      <c r="D16" s="144" t="n"/>
      <c r="E16" s="138" t="n">
        <v>43</v>
      </c>
      <c r="F16" s="246" t="n"/>
      <c r="G16" s="138" t="n">
        <v>43</v>
      </c>
      <c r="H16" s="246" t="n"/>
      <c r="I16" s="138" t="n">
        <v>43</v>
      </c>
      <c r="J16" s="246" t="n"/>
      <c r="K16" s="138" t="n">
        <v>43</v>
      </c>
      <c r="L16" s="246" t="n"/>
      <c r="M16" s="144" t="n"/>
      <c r="N16" s="144" t="n"/>
      <c r="O16" s="144" t="n"/>
      <c r="P16" s="144" t="n"/>
      <c r="Q16" s="138" t="n">
        <v>43</v>
      </c>
      <c r="R16" s="164" t="n"/>
      <c r="S16" s="144" t="n"/>
      <c r="T16" s="144" t="n"/>
      <c r="U16" s="144" t="n"/>
      <c r="V16" s="256" t="n"/>
      <c r="W16" s="165" t="n">
        <v>43</v>
      </c>
      <c r="X16" s="166" t="inlineStr">
        <is>
          <t>IREN OOB ToR #3</t>
        </is>
      </c>
      <c r="Y16" s="243" t="n"/>
      <c r="Z16" s="157" t="n"/>
      <c r="AA16" s="256" t="n"/>
      <c r="AB16" s="165" t="n">
        <v>43</v>
      </c>
      <c r="AC16" s="166" t="inlineStr">
        <is>
          <t>IREN OOB ToR #3</t>
        </is>
      </c>
      <c r="AD16" s="206" t="n"/>
      <c r="AE16" s="256" t="n"/>
      <c r="AF16" s="165" t="n">
        <v>43</v>
      </c>
      <c r="AG16" s="166" t="inlineStr">
        <is>
          <t xml:space="preserve">IREN OOB FOOB ToR #5 </t>
        </is>
      </c>
      <c r="AH16" s="243" t="n"/>
      <c r="AI16" s="157" t="n"/>
      <c r="AJ16" s="157" t="n"/>
      <c r="AK16" s="144" t="n"/>
      <c r="AL16" s="256" t="n"/>
      <c r="AM16" s="165" t="n">
        <v>43</v>
      </c>
      <c r="AN16" s="257" t="inlineStr">
        <is>
          <t>4x100G Breakout PP</t>
        </is>
      </c>
      <c r="AO16" s="243" t="n"/>
      <c r="AP16" s="256" t="n"/>
      <c r="AQ16" s="165" t="n">
        <v>43</v>
      </c>
      <c r="AR16" s="241" t="n"/>
      <c r="AS16" s="243" t="n"/>
      <c r="AT16" s="256" t="n"/>
      <c r="AU16" s="165" t="n">
        <v>43</v>
      </c>
      <c r="AV16" s="241" t="n"/>
      <c r="AW16" s="243" t="n"/>
      <c r="AX16" s="256" t="n"/>
      <c r="AY16" s="165" t="n">
        <v>43</v>
      </c>
      <c r="AZ16" s="241" t="n"/>
      <c r="BA16" s="243" t="n"/>
      <c r="BB16" s="144" t="n"/>
      <c r="BC16" s="256" t="n"/>
      <c r="BD16" s="165" t="n">
        <v>43</v>
      </c>
      <c r="BE16" s="166" t="inlineStr">
        <is>
          <t>Storage BE OOB ToR #6</t>
        </is>
      </c>
      <c r="BF16" s="243" t="n"/>
      <c r="BG16" s="256" t="n"/>
      <c r="BH16" s="165" t="n">
        <v>43</v>
      </c>
      <c r="BI16" s="166" t="inlineStr">
        <is>
          <t>Storage BE OOB ToR #6</t>
        </is>
      </c>
      <c r="BJ16" s="243" t="n"/>
      <c r="BK16" s="144" t="n"/>
      <c r="BL16" s="144" t="n"/>
      <c r="BM16" s="167" t="n"/>
      <c r="BN16" s="165" t="n">
        <v>43</v>
      </c>
      <c r="BO16" s="241" t="n"/>
      <c r="BP16" s="243" t="n"/>
      <c r="BQ16" s="144" t="n"/>
    </row>
    <row r="17">
      <c r="A17" s="144" t="n"/>
      <c r="B17" s="144" t="n"/>
      <c r="C17" s="144" t="n"/>
      <c r="D17" s="144" t="n"/>
      <c r="E17" s="138" t="n">
        <v>42</v>
      </c>
      <c r="F17" s="144" t="n"/>
      <c r="G17" s="138" t="n">
        <v>42</v>
      </c>
      <c r="H17" s="144" t="n"/>
      <c r="I17" s="138" t="n">
        <v>42</v>
      </c>
      <c r="J17" s="144" t="n"/>
      <c r="K17" s="138" t="n">
        <v>42</v>
      </c>
      <c r="L17" s="144" t="n"/>
      <c r="M17" s="144" t="n"/>
      <c r="N17" s="144" t="n"/>
      <c r="O17" s="144" t="n"/>
      <c r="P17" s="144" t="n"/>
      <c r="Q17" s="138" t="n">
        <v>42</v>
      </c>
      <c r="R17" s="164" t="n"/>
      <c r="S17" s="144" t="n"/>
      <c r="T17" s="144" t="n"/>
      <c r="U17" s="144" t="n"/>
      <c r="V17" s="256" t="n"/>
      <c r="W17" s="165" t="n">
        <v>42</v>
      </c>
      <c r="X17" s="169" t="inlineStr">
        <is>
          <t>1RU POWER SHELF</t>
        </is>
      </c>
      <c r="Y17" s="243" t="n"/>
      <c r="Z17" s="157" t="n"/>
      <c r="AA17" s="256" t="n"/>
      <c r="AB17" s="165" t="n">
        <v>42</v>
      </c>
      <c r="AC17" s="169" t="inlineStr">
        <is>
          <t>1RU POWER SHELF</t>
        </is>
      </c>
      <c r="AD17" s="206" t="n"/>
      <c r="AE17" s="256" t="n"/>
      <c r="AF17" s="165" t="n">
        <v>42</v>
      </c>
      <c r="AG17" s="169" t="inlineStr">
        <is>
          <t>1RU POWER SHELF</t>
        </is>
      </c>
      <c r="AH17" s="243" t="n"/>
      <c r="AI17" s="157" t="n"/>
      <c r="AJ17" s="157" t="n"/>
      <c r="AK17" s="144" t="n"/>
      <c r="AL17" s="256" t="n"/>
      <c r="AM17" s="165" t="n">
        <v>42</v>
      </c>
      <c r="AN17" s="248" t="n"/>
      <c r="AO17" s="243" t="n"/>
      <c r="AP17" s="256" t="n"/>
      <c r="AQ17" s="165" t="n">
        <v>42</v>
      </c>
      <c r="AR17" s="162" t="n"/>
      <c r="AS17" s="243" t="n"/>
      <c r="AT17" s="256" t="n"/>
      <c r="AU17" s="165" t="n">
        <v>42</v>
      </c>
      <c r="AV17" s="162" t="n"/>
      <c r="AW17" s="243" t="n"/>
      <c r="AX17" s="256" t="n"/>
      <c r="AY17" s="165" t="n">
        <v>42</v>
      </c>
      <c r="AZ17" s="162" t="n"/>
      <c r="BA17" s="243" t="n"/>
      <c r="BB17" s="144" t="n"/>
      <c r="BC17" s="256" t="n"/>
      <c r="BD17" s="165" t="n">
        <v>42</v>
      </c>
      <c r="BE17" s="169" t="inlineStr">
        <is>
          <t>1RU POWER SHELF</t>
        </is>
      </c>
      <c r="BF17" s="243" t="n"/>
      <c r="BG17" s="256" t="n"/>
      <c r="BH17" s="165" t="n">
        <v>42</v>
      </c>
      <c r="BI17" s="169" t="inlineStr">
        <is>
          <t>1RU POWER SHELF</t>
        </is>
      </c>
      <c r="BJ17" s="243" t="n"/>
      <c r="BK17" s="144" t="n"/>
      <c r="BL17" s="144" t="n"/>
      <c r="BM17" s="167" t="n"/>
      <c r="BN17" s="165" t="n">
        <v>42</v>
      </c>
      <c r="BP17" s="243" t="n"/>
      <c r="BQ17" s="144" t="n"/>
    </row>
    <row r="18">
      <c r="A18" s="144" t="n"/>
      <c r="B18" s="144" t="n"/>
      <c r="C18" s="144" t="n"/>
      <c r="D18" s="144" t="n"/>
      <c r="E18" s="139" t="n">
        <v>41</v>
      </c>
      <c r="F18" s="168" t="inlineStr">
        <is>
          <t>1RU POWER SHELF</t>
        </is>
      </c>
      <c r="G18" s="139" t="n">
        <v>41</v>
      </c>
      <c r="H18" s="168" t="inlineStr">
        <is>
          <t>1RU POWER SHELF</t>
        </is>
      </c>
      <c r="I18" s="139" t="n">
        <v>41</v>
      </c>
      <c r="J18" s="168" t="inlineStr">
        <is>
          <t>1RU POWER SHELF</t>
        </is>
      </c>
      <c r="K18" s="139" t="n">
        <v>41</v>
      </c>
      <c r="L18" s="169" t="inlineStr">
        <is>
          <t>1RU POWER SHELF</t>
        </is>
      </c>
      <c r="M18" s="144" t="n"/>
      <c r="N18" s="144" t="n"/>
      <c r="O18" s="144" t="n"/>
      <c r="P18" s="144" t="n"/>
      <c r="Q18" s="139" t="n">
        <v>41</v>
      </c>
      <c r="R18" s="169" t="inlineStr">
        <is>
          <t>1RU POWER SHELF</t>
        </is>
      </c>
      <c r="S18" s="144" t="n"/>
      <c r="T18" s="144" t="n"/>
      <c r="U18" s="144" t="n"/>
      <c r="V18" s="256" t="n"/>
      <c r="W18" s="121" t="n">
        <v>41</v>
      </c>
      <c r="X18" s="144" t="n"/>
      <c r="Y18" s="243" t="n"/>
      <c r="Z18" s="157" t="n"/>
      <c r="AA18" s="256" t="n"/>
      <c r="AB18" s="121" t="n">
        <v>41</v>
      </c>
      <c r="AC18" s="144" t="n"/>
      <c r="AD18" s="206" t="n"/>
      <c r="AE18" s="256" t="n"/>
      <c r="AF18" s="121" t="n">
        <v>41</v>
      </c>
      <c r="AG18" s="157" t="n"/>
      <c r="AH18" s="243" t="n"/>
      <c r="AI18" s="157" t="n"/>
      <c r="AJ18" s="157" t="n"/>
      <c r="AK18" s="144" t="n"/>
      <c r="AL18" s="256" t="n"/>
      <c r="AM18" s="121" t="n">
        <v>41</v>
      </c>
      <c r="AN18" s="169" t="inlineStr">
        <is>
          <t>1RU POWER SHELF</t>
        </is>
      </c>
      <c r="AO18" s="243" t="n"/>
      <c r="AP18" s="256" t="n"/>
      <c r="AQ18" s="121" t="n">
        <v>41</v>
      </c>
      <c r="AR18" s="169" t="inlineStr">
        <is>
          <t>1RU POWER SHELF</t>
        </is>
      </c>
      <c r="AS18" s="243" t="n"/>
      <c r="AT18" s="256" t="n"/>
      <c r="AU18" s="121" t="n">
        <v>41</v>
      </c>
      <c r="AV18" s="169" t="inlineStr">
        <is>
          <t>1RU POWER SHELF</t>
        </is>
      </c>
      <c r="AW18" s="243" t="n"/>
      <c r="AX18" s="256" t="n"/>
      <c r="AY18" s="121" t="n">
        <v>41</v>
      </c>
      <c r="AZ18" s="169" t="inlineStr">
        <is>
          <t>1RU POWER SHELF</t>
        </is>
      </c>
      <c r="BA18" s="243" t="n"/>
      <c r="BB18" s="144" t="n"/>
      <c r="BC18" s="256" t="n"/>
      <c r="BD18" s="121" t="n">
        <v>41</v>
      </c>
      <c r="BE18" s="247" t="inlineStr">
        <is>
          <t>Backend STORAGE leaf  #2</t>
        </is>
      </c>
      <c r="BF18" s="243" t="n"/>
      <c r="BG18" s="256" t="n"/>
      <c r="BH18" s="121" t="n">
        <v>41</v>
      </c>
      <c r="BI18" s="247" t="inlineStr">
        <is>
          <t>STORAGE SPINE #4</t>
        </is>
      </c>
      <c r="BJ18" s="243" t="n"/>
      <c r="BK18" s="144" t="n"/>
      <c r="BL18" s="144" t="n"/>
      <c r="BM18" s="167" t="n"/>
      <c r="BN18" s="121" t="n">
        <v>41</v>
      </c>
      <c r="BP18" s="243" t="n"/>
      <c r="BQ18" s="144" t="n"/>
    </row>
    <row r="19">
      <c r="A19" s="144" t="n"/>
      <c r="B19" s="144" t="n"/>
      <c r="C19" s="144" t="n"/>
      <c r="D19" s="144" t="n"/>
      <c r="E19" s="139" t="n">
        <v>40</v>
      </c>
      <c r="F19" s="170" t="inlineStr">
        <is>
          <t>Dell IRC</t>
        </is>
      </c>
      <c r="G19" s="139" t="n">
        <v>40</v>
      </c>
      <c r="H19" s="170" t="inlineStr">
        <is>
          <t>Dell IRC</t>
        </is>
      </c>
      <c r="I19" s="139" t="n">
        <v>40</v>
      </c>
      <c r="J19" s="170" t="inlineStr">
        <is>
          <t>Dell IRC</t>
        </is>
      </c>
      <c r="K19" s="139" t="n">
        <v>40</v>
      </c>
      <c r="L19" s="171" t="inlineStr">
        <is>
          <t>Dell IRC</t>
        </is>
      </c>
      <c r="M19" s="144" t="n"/>
      <c r="N19" s="144" t="n"/>
      <c r="O19" s="144" t="n"/>
      <c r="P19" s="144" t="n"/>
      <c r="Q19" s="139" t="n">
        <v>40</v>
      </c>
      <c r="R19" s="171" t="inlineStr">
        <is>
          <t>Dell IRC</t>
        </is>
      </c>
      <c r="S19" s="144" t="n"/>
      <c r="T19" s="144" t="n"/>
      <c r="U19" s="144" t="n"/>
      <c r="V19" s="256" t="n"/>
      <c r="W19" s="121" t="n">
        <v>40</v>
      </c>
      <c r="X19" s="257" t="inlineStr">
        <is>
          <t>4x100G Breakout PP Corning</t>
        </is>
      </c>
      <c r="Y19" s="243" t="n"/>
      <c r="Z19" s="157" t="n"/>
      <c r="AA19" s="256" t="n"/>
      <c r="AB19" s="121" t="n">
        <v>40</v>
      </c>
      <c r="AC19" s="121" t="n"/>
      <c r="AD19" s="206" t="n"/>
      <c r="AE19" s="256" t="n"/>
      <c r="AF19" s="121" t="n">
        <v>40</v>
      </c>
      <c r="AG19" s="121" t="n"/>
      <c r="AH19" s="243" t="n"/>
      <c r="AI19" s="157" t="n"/>
      <c r="AJ19" s="157" t="n"/>
      <c r="AK19" s="144" t="n"/>
      <c r="AL19" s="256" t="n"/>
      <c r="AM19" s="121" t="n">
        <v>40</v>
      </c>
      <c r="AN19" s="258" t="inlineStr">
        <is>
          <t>OOB AGG # 1</t>
        </is>
      </c>
      <c r="AO19" s="243" t="n"/>
      <c r="AP19" s="256" t="n"/>
      <c r="AQ19" s="121" t="n">
        <v>40</v>
      </c>
      <c r="AR19" s="121" t="n"/>
      <c r="AS19" s="243" t="n"/>
      <c r="AT19" s="256" t="n"/>
      <c r="AU19" s="121" t="n">
        <v>40</v>
      </c>
      <c r="AV19" s="121" t="n"/>
      <c r="AW19" s="243" t="n"/>
      <c r="AX19" s="256" t="n"/>
      <c r="AY19" s="121" t="n">
        <v>40</v>
      </c>
      <c r="AZ19" s="121" t="n"/>
      <c r="BA19" s="243" t="n"/>
      <c r="BB19" s="144" t="n"/>
      <c r="BC19" s="256" t="n"/>
      <c r="BD19" s="121" t="n">
        <v>40</v>
      </c>
      <c r="BE19" s="248" t="n"/>
      <c r="BF19" s="243" t="n"/>
      <c r="BG19" s="256" t="n"/>
      <c r="BH19" s="121" t="n">
        <v>40</v>
      </c>
      <c r="BI19" s="248" t="n"/>
      <c r="BJ19" s="243" t="n"/>
      <c r="BK19" s="144" t="n"/>
      <c r="BL19" s="144" t="n"/>
      <c r="BM19" s="167" t="n"/>
      <c r="BN19" s="121" t="n">
        <v>40</v>
      </c>
      <c r="BO19" s="169" t="inlineStr">
        <is>
          <t>1RU POWER SHELF</t>
        </is>
      </c>
      <c r="BP19" s="243" t="n"/>
      <c r="BQ19" s="144" t="n"/>
    </row>
    <row r="20">
      <c r="A20" s="144" t="n"/>
      <c r="B20" s="144" t="n"/>
      <c r="C20" s="144" t="n"/>
      <c r="D20" s="144" t="n"/>
      <c r="E20" s="139" t="n">
        <v>39</v>
      </c>
      <c r="F20" s="172" t="inlineStr">
        <is>
          <t>Cross-Brace</t>
        </is>
      </c>
      <c r="G20" s="139" t="n">
        <v>39</v>
      </c>
      <c r="H20" s="172" t="inlineStr">
        <is>
          <t>Cross-Brace</t>
        </is>
      </c>
      <c r="I20" s="139" t="n">
        <v>39</v>
      </c>
      <c r="J20" s="172" t="inlineStr">
        <is>
          <t>Cross-Brace</t>
        </is>
      </c>
      <c r="K20" s="139" t="n">
        <v>39</v>
      </c>
      <c r="L20" s="173" t="inlineStr">
        <is>
          <t>Cross-Brace</t>
        </is>
      </c>
      <c r="M20" s="144" t="n"/>
      <c r="N20" s="144" t="n"/>
      <c r="O20" s="144" t="n"/>
      <c r="P20" s="144" t="n"/>
      <c r="Q20" s="139" t="n">
        <v>39</v>
      </c>
      <c r="R20" s="173" t="inlineStr">
        <is>
          <t>Cross-Brace</t>
        </is>
      </c>
      <c r="S20" s="144" t="n"/>
      <c r="T20" s="144" t="n"/>
      <c r="U20" s="144" t="n"/>
      <c r="V20" s="256" t="n"/>
      <c r="W20" s="121" t="n">
        <v>39</v>
      </c>
      <c r="X20" s="248" t="n"/>
      <c r="Y20" s="243" t="n"/>
      <c r="Z20" s="157" t="n"/>
      <c r="AA20" s="256" t="n"/>
      <c r="AB20" s="121" t="n">
        <v>39</v>
      </c>
      <c r="AC20" s="121" t="n"/>
      <c r="AD20" s="206" t="n"/>
      <c r="AE20" s="256" t="n"/>
      <c r="AF20" s="121" t="n">
        <v>39</v>
      </c>
      <c r="AG20" s="121" t="n"/>
      <c r="AH20" s="243" t="n"/>
      <c r="AI20" s="157" t="n"/>
      <c r="AJ20" s="157" t="n"/>
      <c r="AK20" s="144" t="n"/>
      <c r="AL20" s="256" t="n"/>
      <c r="AM20" s="121" t="n">
        <v>39</v>
      </c>
      <c r="AN20" s="248" t="n"/>
      <c r="AO20" s="243" t="n"/>
      <c r="AP20" s="256" t="n"/>
      <c r="AQ20" s="121" t="n">
        <v>39</v>
      </c>
      <c r="AR20" s="121" t="n"/>
      <c r="AS20" s="243" t="n"/>
      <c r="AT20" s="256" t="n"/>
      <c r="AU20" s="121" t="n">
        <v>39</v>
      </c>
      <c r="AV20" s="121" t="n"/>
      <c r="AW20" s="243" t="n"/>
      <c r="AX20" s="256" t="n"/>
      <c r="AY20" s="121" t="n">
        <v>39</v>
      </c>
      <c r="AZ20" s="121" t="n"/>
      <c r="BA20" s="243" t="n"/>
      <c r="BB20" s="144" t="n"/>
      <c r="BC20" s="256" t="n"/>
      <c r="BD20" s="121" t="n">
        <v>39</v>
      </c>
      <c r="BE20" s="121" t="n"/>
      <c r="BF20" s="243" t="n"/>
      <c r="BG20" s="256" t="n"/>
      <c r="BH20" s="121" t="n">
        <v>39</v>
      </c>
      <c r="BI20" s="174" t="n"/>
      <c r="BJ20" s="243" t="n"/>
      <c r="BK20" s="144" t="n"/>
      <c r="BL20" s="144" t="n"/>
      <c r="BM20" s="167" t="n"/>
      <c r="BN20" s="121" t="n">
        <v>39</v>
      </c>
      <c r="BO20" s="144" t="n"/>
      <c r="BP20" s="243" t="n"/>
      <c r="BQ20" s="144" t="n"/>
    </row>
    <row r="21">
      <c r="A21" s="144" t="n"/>
      <c r="B21" s="144" t="n"/>
      <c r="C21" s="144" t="n"/>
      <c r="D21" s="144" t="n"/>
      <c r="E21" s="139" t="n">
        <v>38</v>
      </c>
      <c r="F21" s="245" t="inlineStr">
        <is>
          <t>E-W Leaf #2.A SN6600-LD Plane4</t>
        </is>
      </c>
      <c r="G21" s="139" t="n">
        <v>38</v>
      </c>
      <c r="H21" s="245" t="inlineStr">
        <is>
          <t>E-W Leaf #2.B SN6600-LD Plane8</t>
        </is>
      </c>
      <c r="I21" s="139" t="n">
        <v>38</v>
      </c>
      <c r="J21" s="245" t="inlineStr">
        <is>
          <t>E-W Leaf #4.A SN6600-LD Plane4</t>
        </is>
      </c>
      <c r="K21" s="139" t="n">
        <v>38</v>
      </c>
      <c r="L21" s="245" t="inlineStr">
        <is>
          <t>E-W Leaf #4.B SN6600-LD Plane8</t>
        </is>
      </c>
      <c r="M21" s="144" t="n"/>
      <c r="N21" s="144" t="n"/>
      <c r="O21" s="144" t="n"/>
      <c r="P21" s="144" t="n"/>
      <c r="Q21" s="139" t="n">
        <v>38</v>
      </c>
      <c r="R21" s="245" t="inlineStr">
        <is>
          <t>E-W Spine #8 SN6600-LD</t>
        </is>
      </c>
      <c r="S21" s="144" t="n"/>
      <c r="T21" s="144" t="n"/>
      <c r="U21" s="144" t="n"/>
      <c r="V21" s="256" t="n"/>
      <c r="W21" s="121" t="n">
        <v>38</v>
      </c>
      <c r="X21" s="162" t="n"/>
      <c r="Y21" s="243" t="n"/>
      <c r="Z21" s="157" t="n"/>
      <c r="AA21" s="256" t="n"/>
      <c r="AB21" s="121" t="n">
        <v>38</v>
      </c>
      <c r="AC21" s="162" t="n"/>
      <c r="AD21" s="206" t="n"/>
      <c r="AE21" s="256" t="n"/>
      <c r="AF21" s="121" t="n">
        <v>38</v>
      </c>
      <c r="AG21" s="162" t="n"/>
      <c r="AH21" s="243" t="n"/>
      <c r="AI21" s="157" t="n"/>
      <c r="AJ21" s="157" t="n"/>
      <c r="AK21" s="144" t="n"/>
      <c r="AL21" s="256" t="n"/>
      <c r="AM21" s="121" t="n">
        <v>38</v>
      </c>
      <c r="AN21" s="162" t="n"/>
      <c r="AO21" s="243" t="n"/>
      <c r="AP21" s="256" t="n"/>
      <c r="AQ21" s="121" t="n">
        <v>38</v>
      </c>
      <c r="AR21" s="162" t="n"/>
      <c r="AS21" s="243" t="n"/>
      <c r="AT21" s="256" t="n"/>
      <c r="AU21" s="121" t="n">
        <v>38</v>
      </c>
      <c r="AV21" s="162" t="n"/>
      <c r="AW21" s="243" t="n"/>
      <c r="AX21" s="256" t="n"/>
      <c r="AY21" s="121" t="n">
        <v>38</v>
      </c>
      <c r="AZ21" s="162" t="n"/>
      <c r="BA21" s="243" t="n"/>
      <c r="BB21" s="144" t="n"/>
      <c r="BC21" s="256" t="n"/>
      <c r="BD21" s="121" t="n">
        <v>38</v>
      </c>
      <c r="BE21" s="247" t="inlineStr">
        <is>
          <t>Backend STORAGE leaf  #1</t>
        </is>
      </c>
      <c r="BF21" s="243" t="n"/>
      <c r="BG21" s="256" t="n"/>
      <c r="BH21" s="121" t="n">
        <v>38</v>
      </c>
      <c r="BI21" s="247" t="inlineStr">
        <is>
          <t>STORAGE SPINE #3</t>
        </is>
      </c>
      <c r="BJ21" s="243" t="n"/>
      <c r="BK21" s="144" t="n"/>
      <c r="BL21" s="144" t="n"/>
      <c r="BM21" s="167" t="n"/>
      <c r="BN21" s="121" t="n">
        <v>38</v>
      </c>
      <c r="BO21" s="162" t="n"/>
      <c r="BP21" s="243" t="n"/>
      <c r="BQ21" s="144" t="n"/>
    </row>
    <row r="22">
      <c r="A22" s="144" t="n"/>
      <c r="B22" s="144" t="n"/>
      <c r="C22" s="144" t="n"/>
      <c r="D22" s="144" t="n"/>
      <c r="E22" s="139" t="n">
        <v>37</v>
      </c>
      <c r="F22" s="246" t="n"/>
      <c r="G22" s="139" t="n">
        <v>37</v>
      </c>
      <c r="H22" s="246" t="n"/>
      <c r="I22" s="139" t="n">
        <v>37</v>
      </c>
      <c r="J22" s="246" t="n"/>
      <c r="K22" s="139" t="n">
        <v>37</v>
      </c>
      <c r="L22" s="246" t="n"/>
      <c r="M22" s="144" t="n"/>
      <c r="N22" s="144" t="n"/>
      <c r="O22" s="144" t="n"/>
      <c r="P22" s="144" t="n"/>
      <c r="Q22" s="139" t="n">
        <v>37</v>
      </c>
      <c r="R22" s="246" t="n"/>
      <c r="S22" s="144" t="n"/>
      <c r="T22" s="144" t="n"/>
      <c r="U22" s="144" t="n"/>
      <c r="V22" s="256" t="n"/>
      <c r="W22" s="121" t="n">
        <v>37</v>
      </c>
      <c r="X22" s="258" t="inlineStr">
        <is>
          <t>OOB AGG # 1</t>
        </is>
      </c>
      <c r="Y22" s="243" t="n"/>
      <c r="Z22" s="157" t="n"/>
      <c r="AA22" s="256" t="n"/>
      <c r="AB22" s="121" t="n">
        <v>37</v>
      </c>
      <c r="AC22" s="157" t="n"/>
      <c r="AD22" s="206" t="n"/>
      <c r="AE22" s="256" t="n"/>
      <c r="AF22" s="121" t="n">
        <v>37</v>
      </c>
      <c r="AG22" s="162" t="n"/>
      <c r="AH22" s="243" t="n"/>
      <c r="AI22" s="157" t="n"/>
      <c r="AJ22" s="157" t="n"/>
      <c r="AK22" s="144" t="n"/>
      <c r="AL22" s="256" t="n"/>
      <c r="AM22" s="121" t="n">
        <v>37</v>
      </c>
      <c r="AN22" s="250" t="inlineStr">
        <is>
          <t>4x100G Breakout PP</t>
        </is>
      </c>
      <c r="AO22" s="243" t="n"/>
      <c r="AP22" s="256" t="n"/>
      <c r="AQ22" s="121" t="n">
        <v>37</v>
      </c>
      <c r="AR22" s="250" t="inlineStr">
        <is>
          <t>OOB CORE # 1</t>
        </is>
      </c>
      <c r="AS22" s="243" t="n"/>
      <c r="AT22" s="256" t="n"/>
      <c r="AU22" s="121" t="n">
        <v>37</v>
      </c>
      <c r="AV22" s="241" t="n"/>
      <c r="AW22" s="243" t="n"/>
      <c r="AX22" s="256" t="n"/>
      <c r="AY22" s="121" t="n">
        <v>37</v>
      </c>
      <c r="AZ22" s="241" t="n"/>
      <c r="BA22" s="243" t="n"/>
      <c r="BB22" s="144" t="n"/>
      <c r="BC22" s="256" t="n"/>
      <c r="BD22" s="121" t="n">
        <v>37</v>
      </c>
      <c r="BE22" s="248" t="n"/>
      <c r="BF22" s="243" t="n"/>
      <c r="BG22" s="256" t="n"/>
      <c r="BH22" s="121" t="n">
        <v>37</v>
      </c>
      <c r="BI22" s="248" t="n"/>
      <c r="BJ22" s="243" t="n"/>
      <c r="BK22" s="144" t="n"/>
      <c r="BL22" s="144" t="n"/>
      <c r="BM22" s="167" t="n"/>
      <c r="BN22" s="121" t="n">
        <v>37</v>
      </c>
      <c r="BO22" s="144" t="n"/>
      <c r="BP22" s="243" t="n"/>
      <c r="BQ22" s="144" t="n"/>
    </row>
    <row r="23">
      <c r="A23" s="144" t="n"/>
      <c r="B23" s="144" t="n"/>
      <c r="C23" s="144" t="n"/>
      <c r="D23" s="144" t="n"/>
      <c r="E23" s="139" t="n">
        <v>36</v>
      </c>
      <c r="F23" s="162" t="n"/>
      <c r="G23" s="139" t="n">
        <v>36</v>
      </c>
      <c r="H23" s="162" t="n"/>
      <c r="I23" s="139" t="n">
        <v>36</v>
      </c>
      <c r="J23" s="162" t="n"/>
      <c r="K23" s="139" t="n">
        <v>36</v>
      </c>
      <c r="L23" s="163" t="n"/>
      <c r="M23" s="144" t="n"/>
      <c r="N23" s="144" t="n"/>
      <c r="O23" s="144" t="n"/>
      <c r="P23" s="144" t="n"/>
      <c r="Q23" s="139" t="n">
        <v>36</v>
      </c>
      <c r="R23" s="163" t="n"/>
      <c r="S23" s="144" t="n"/>
      <c r="T23" s="144" t="n"/>
      <c r="U23" s="144" t="n"/>
      <c r="V23" s="256" t="n"/>
      <c r="W23" s="121" t="n">
        <v>36</v>
      </c>
      <c r="X23" s="248" t="n"/>
      <c r="Y23" s="243" t="n"/>
      <c r="Z23" s="157" t="n"/>
      <c r="AA23" s="256" t="n"/>
      <c r="AB23" s="121" t="n">
        <v>36</v>
      </c>
      <c r="AC23" s="162" t="n"/>
      <c r="AD23" s="206" t="n"/>
      <c r="AE23" s="256" t="n"/>
      <c r="AF23" s="121" t="n">
        <v>36</v>
      </c>
      <c r="AG23" s="162" t="n"/>
      <c r="AH23" s="243" t="n"/>
      <c r="AI23" s="157" t="n"/>
      <c r="AJ23" s="157" t="n"/>
      <c r="AK23" s="144" t="n"/>
      <c r="AL23" s="256" t="n"/>
      <c r="AM23" s="121" t="n">
        <v>36</v>
      </c>
      <c r="AN23" s="251" t="n"/>
      <c r="AO23" s="243" t="n"/>
      <c r="AP23" s="256" t="n"/>
      <c r="AQ23" s="121" t="n">
        <v>36</v>
      </c>
      <c r="AR23" s="251" t="n"/>
      <c r="AS23" s="243" t="n"/>
      <c r="AT23" s="256" t="n"/>
      <c r="AU23" s="121" t="n">
        <v>36</v>
      </c>
      <c r="AV23" s="241" t="n"/>
      <c r="AW23" s="243" t="n"/>
      <c r="AX23" s="256" t="n"/>
      <c r="AY23" s="121" t="n">
        <v>36</v>
      </c>
      <c r="AZ23" s="241" t="n"/>
      <c r="BA23" s="243" t="n"/>
      <c r="BB23" s="144" t="n"/>
      <c r="BC23" s="256" t="n"/>
      <c r="BD23" s="121" t="n">
        <v>36</v>
      </c>
      <c r="BE23" s="174" t="n"/>
      <c r="BF23" s="243" t="n"/>
      <c r="BG23" s="256" t="n"/>
      <c r="BH23" s="121" t="n">
        <v>36</v>
      </c>
      <c r="BI23" s="174" t="n"/>
      <c r="BJ23" s="243" t="n"/>
      <c r="BK23" s="144" t="n"/>
      <c r="BL23" s="144" t="n"/>
      <c r="BM23" s="167" t="n"/>
      <c r="BN23" s="121" t="n">
        <v>36</v>
      </c>
      <c r="BO23" s="144" t="n"/>
      <c r="BP23" s="243" t="n"/>
      <c r="BQ23" s="144" t="n"/>
    </row>
    <row r="24">
      <c r="A24" s="144" t="n"/>
      <c r="B24" s="144" t="n"/>
      <c r="C24" s="144" t="n"/>
      <c r="D24" s="144" t="n"/>
      <c r="E24" s="139" t="n">
        <v>35</v>
      </c>
      <c r="F24" s="245" t="inlineStr">
        <is>
          <t>E-W Leaf #2.A SN6600-LD Plane3</t>
        </is>
      </c>
      <c r="G24" s="139" t="n">
        <v>35</v>
      </c>
      <c r="H24" s="245" t="inlineStr">
        <is>
          <t>E-W Leaf #2.B SN6600-LD Plane7</t>
        </is>
      </c>
      <c r="I24" s="139" t="n">
        <v>35</v>
      </c>
      <c r="J24" s="245" t="inlineStr">
        <is>
          <t>E-W Leaf #4.A SN6600-LD Plane3</t>
        </is>
      </c>
      <c r="K24" s="139" t="n">
        <v>35</v>
      </c>
      <c r="L24" s="245" t="inlineStr">
        <is>
          <t>E-W Leaf #4.B SN6600-LD Plane7</t>
        </is>
      </c>
      <c r="M24" s="144" t="n"/>
      <c r="N24" s="144" t="n"/>
      <c r="O24" s="144" t="n"/>
      <c r="P24" s="144" t="n"/>
      <c r="Q24" s="139" t="n">
        <v>35</v>
      </c>
      <c r="R24" s="242" t="inlineStr">
        <is>
          <t>E-W Spine #7 SN6600-LD</t>
        </is>
      </c>
      <c r="S24" s="144" t="n"/>
      <c r="T24" s="144" t="n"/>
      <c r="U24" s="144" t="n"/>
      <c r="V24" s="256" t="n"/>
      <c r="W24" s="121" t="n">
        <v>35</v>
      </c>
      <c r="X24" s="162" t="n"/>
      <c r="Y24" s="243" t="n"/>
      <c r="Z24" s="157" t="n"/>
      <c r="AA24" s="256" t="n"/>
      <c r="AB24" s="121" t="n">
        <v>35</v>
      </c>
      <c r="AC24" s="162" t="n"/>
      <c r="AD24" s="206" t="n"/>
      <c r="AE24" s="256" t="n"/>
      <c r="AF24" s="121" t="n">
        <v>35</v>
      </c>
      <c r="AG24" s="162" t="n"/>
      <c r="AH24" s="243" t="n"/>
      <c r="AI24" s="157" t="n"/>
      <c r="AJ24" s="157" t="n"/>
      <c r="AK24" s="144" t="n"/>
      <c r="AL24" s="256" t="n"/>
      <c r="AM24" s="121" t="n">
        <v>35</v>
      </c>
      <c r="AN24" s="144" t="n"/>
      <c r="AO24" s="243" t="n"/>
      <c r="AP24" s="256" t="n"/>
      <c r="AQ24" s="121" t="n">
        <v>35</v>
      </c>
      <c r="AR24" s="144" t="n"/>
      <c r="AS24" s="243" t="n"/>
      <c r="AT24" s="256" t="n"/>
      <c r="AU24" s="121" t="n">
        <v>35</v>
      </c>
      <c r="AV24" s="144" t="n"/>
      <c r="AW24" s="243" t="n"/>
      <c r="AX24" s="256" t="n"/>
      <c r="AY24" s="121" t="n">
        <v>35</v>
      </c>
      <c r="AZ24" s="144" t="n"/>
      <c r="BA24" s="243" t="n"/>
      <c r="BB24" s="144" t="n"/>
      <c r="BC24" s="256" t="n"/>
      <c r="BD24" s="121" t="n">
        <v>35</v>
      </c>
      <c r="BE24" s="247" t="inlineStr">
        <is>
          <t>STORAGE SPINE #4</t>
        </is>
      </c>
      <c r="BF24" s="243" t="n"/>
      <c r="BG24" s="256" t="n"/>
      <c r="BH24" s="121" t="n">
        <v>35</v>
      </c>
      <c r="BI24" s="247" t="inlineStr">
        <is>
          <t>STORAGE SPINE #2</t>
        </is>
      </c>
      <c r="BJ24" s="243" t="n"/>
      <c r="BK24" s="144" t="n"/>
      <c r="BL24" s="144" t="n"/>
      <c r="BM24" s="167" t="n"/>
      <c r="BN24" s="121" t="n">
        <v>35</v>
      </c>
      <c r="BO24" s="144" t="n"/>
      <c r="BP24" s="243" t="n"/>
      <c r="BQ24" s="144" t="n"/>
    </row>
    <row r="25">
      <c r="A25" s="144" t="n"/>
      <c r="B25" s="144" t="n"/>
      <c r="C25" s="144" t="n"/>
      <c r="D25" s="144" t="n"/>
      <c r="E25" s="139" t="n">
        <v>34</v>
      </c>
      <c r="F25" s="246" t="n"/>
      <c r="G25" s="139" t="n">
        <v>34</v>
      </c>
      <c r="H25" s="246" t="n"/>
      <c r="I25" s="139" t="n">
        <v>34</v>
      </c>
      <c r="J25" s="246" t="n"/>
      <c r="K25" s="139" t="n">
        <v>34</v>
      </c>
      <c r="L25" s="246" t="n"/>
      <c r="M25" s="144" t="n"/>
      <c r="N25" s="144" t="n"/>
      <c r="O25" s="144" t="n"/>
      <c r="P25" s="144" t="n"/>
      <c r="Q25" s="139" t="n">
        <v>34</v>
      </c>
      <c r="R25" s="243" t="n"/>
      <c r="S25" s="144" t="n"/>
      <c r="T25" s="144" t="n"/>
      <c r="U25" s="144" t="n"/>
      <c r="V25" s="256" t="n"/>
      <c r="W25" s="121" t="n">
        <v>34</v>
      </c>
      <c r="X25" s="257" t="inlineStr">
        <is>
          <t>4x100G Breakout PP Corning</t>
        </is>
      </c>
      <c r="Y25" s="243" t="n"/>
      <c r="Z25" s="157" t="n"/>
      <c r="AA25" s="256" t="n"/>
      <c r="AB25" s="121" t="n">
        <v>34</v>
      </c>
      <c r="AC25" s="162" t="n"/>
      <c r="AD25" s="206" t="n"/>
      <c r="AE25" s="256" t="n"/>
      <c r="AF25" s="121" t="n">
        <v>34</v>
      </c>
      <c r="AG25" s="162" t="n"/>
      <c r="AH25" s="243" t="n"/>
      <c r="AI25" s="157" t="n"/>
      <c r="AJ25" s="157" t="n"/>
      <c r="AK25" s="144" t="n"/>
      <c r="AL25" s="256" t="n"/>
      <c r="AM25" s="121" t="n">
        <v>34</v>
      </c>
      <c r="AN25" s="174" t="n"/>
      <c r="AO25" s="243" t="n"/>
      <c r="AP25" s="256" t="n"/>
      <c r="AQ25" s="121" t="n">
        <v>34</v>
      </c>
      <c r="AR25" s="174" t="n"/>
      <c r="AS25" s="243" t="n"/>
      <c r="AT25" s="256" t="n"/>
      <c r="AU25" s="121" t="n">
        <v>34</v>
      </c>
      <c r="AV25" s="174" t="n"/>
      <c r="AW25" s="243" t="n"/>
      <c r="AX25" s="256" t="n"/>
      <c r="AY25" s="121" t="n">
        <v>34</v>
      </c>
      <c r="AZ25" s="174" t="n"/>
      <c r="BA25" s="243" t="n"/>
      <c r="BB25" s="144" t="n"/>
      <c r="BC25" s="256" t="n"/>
      <c r="BD25" s="121" t="n">
        <v>34</v>
      </c>
      <c r="BE25" s="248" t="n"/>
      <c r="BF25" s="243" t="n"/>
      <c r="BG25" s="256" t="n"/>
      <c r="BH25" s="121" t="n">
        <v>34</v>
      </c>
      <c r="BI25" s="248" t="n"/>
      <c r="BJ25" s="243" t="n"/>
      <c r="BK25" s="144" t="n"/>
      <c r="BL25" s="144" t="n"/>
      <c r="BM25" s="167" t="n"/>
      <c r="BN25" s="121" t="n">
        <v>34</v>
      </c>
      <c r="BO25" s="144" t="n"/>
      <c r="BP25" s="243" t="n"/>
      <c r="BQ25" s="144" t="n"/>
    </row>
    <row r="26">
      <c r="A26" s="144" t="n"/>
      <c r="B26" s="144" t="n"/>
      <c r="C26" s="144" t="n"/>
      <c r="D26" s="144" t="n"/>
      <c r="E26" s="139" t="n">
        <v>33</v>
      </c>
      <c r="F26" s="162" t="n"/>
      <c r="G26" s="139" t="n">
        <v>33</v>
      </c>
      <c r="H26" s="162" t="n"/>
      <c r="I26" s="139" t="n">
        <v>33</v>
      </c>
      <c r="J26" s="162" t="n"/>
      <c r="K26" s="139" t="n">
        <v>33</v>
      </c>
      <c r="L26" s="163" t="n"/>
      <c r="M26" s="144" t="n"/>
      <c r="N26" s="144" t="n"/>
      <c r="O26" s="144" t="n"/>
      <c r="P26" s="144" t="n"/>
      <c r="Q26" s="139" t="n">
        <v>33</v>
      </c>
      <c r="R26" s="144" t="n"/>
      <c r="S26" s="144" t="n"/>
      <c r="T26" s="144" t="n"/>
      <c r="U26" s="144" t="n"/>
      <c r="V26" s="256" t="n"/>
      <c r="W26" s="121" t="n">
        <v>33</v>
      </c>
      <c r="X26" s="248" t="n"/>
      <c r="Y26" s="243" t="n"/>
      <c r="Z26" s="157" t="n"/>
      <c r="AA26" s="256" t="n"/>
      <c r="AB26" s="121" t="n">
        <v>33</v>
      </c>
      <c r="AC26" s="162" t="n"/>
      <c r="AD26" s="206" t="n"/>
      <c r="AE26" s="256" t="n"/>
      <c r="AF26" s="121" t="n">
        <v>33</v>
      </c>
      <c r="AG26" s="162" t="n"/>
      <c r="AH26" s="243" t="n"/>
      <c r="AI26" s="157" t="n"/>
      <c r="AJ26" s="157" t="n"/>
      <c r="AK26" s="144" t="n"/>
      <c r="AL26" s="256" t="n"/>
      <c r="AM26" s="121" t="n">
        <v>33</v>
      </c>
      <c r="AN26" s="247" t="inlineStr">
        <is>
          <t>CTRL SPINE #1</t>
        </is>
      </c>
      <c r="AO26" s="243" t="n"/>
      <c r="AP26" s="256" t="n"/>
      <c r="AQ26" s="121" t="n">
        <v>33</v>
      </c>
      <c r="AR26" s="247" t="inlineStr">
        <is>
          <t>CTRL SPINE #1</t>
        </is>
      </c>
      <c r="AS26" s="243" t="n"/>
      <c r="AT26" s="256" t="n"/>
      <c r="AU26" s="121" t="n">
        <v>33</v>
      </c>
      <c r="AV26" s="174" t="n"/>
      <c r="AW26" s="243" t="n"/>
      <c r="AX26" s="256" t="n"/>
      <c r="AY26" s="121" t="n">
        <v>33</v>
      </c>
      <c r="AZ26" s="174" t="n"/>
      <c r="BA26" s="243" t="n"/>
      <c r="BB26" s="144" t="n"/>
      <c r="BC26" s="256" t="n"/>
      <c r="BD26" s="121" t="n">
        <v>33</v>
      </c>
      <c r="BE26" s="174" t="n"/>
      <c r="BF26" s="243" t="n"/>
      <c r="BG26" s="256" t="n"/>
      <c r="BH26" s="121" t="n">
        <v>33</v>
      </c>
      <c r="BI26" s="174" t="n"/>
      <c r="BJ26" s="243" t="n"/>
      <c r="BK26" s="144" t="n"/>
      <c r="BL26" s="144" t="n"/>
      <c r="BM26" s="167" t="n"/>
      <c r="BN26" s="121" t="n">
        <v>33</v>
      </c>
      <c r="BO26" s="144" t="n"/>
      <c r="BP26" s="243" t="n"/>
      <c r="BQ26" s="144" t="n"/>
    </row>
    <row r="27">
      <c r="A27" s="144" t="n"/>
      <c r="B27" s="144" t="n"/>
      <c r="C27" s="144" t="n"/>
      <c r="D27" s="144" t="n"/>
      <c r="E27" s="139" t="n">
        <v>32</v>
      </c>
      <c r="F27" s="245" t="inlineStr">
        <is>
          <t>E-W Leaf #2.A SN6600-LD Plane2</t>
        </is>
      </c>
      <c r="G27" s="139" t="n">
        <v>32</v>
      </c>
      <c r="H27" s="245" t="inlineStr">
        <is>
          <t>E-W Leaf #2.B SN6600-LD Plane6</t>
        </is>
      </c>
      <c r="I27" s="139" t="n">
        <v>32</v>
      </c>
      <c r="J27" s="245" t="inlineStr">
        <is>
          <t>E-W Leaf #4.A SN6600-LD Plane2</t>
        </is>
      </c>
      <c r="K27" s="139" t="n">
        <v>32</v>
      </c>
      <c r="L27" s="245" t="inlineStr">
        <is>
          <t>E-W Leaf #4.B SN6600-LD Plane6</t>
        </is>
      </c>
      <c r="M27" s="144" t="n"/>
      <c r="N27" s="144" t="n"/>
      <c r="O27" s="144" t="n"/>
      <c r="P27" s="144" t="n"/>
      <c r="Q27" s="139" t="n">
        <v>32</v>
      </c>
      <c r="R27" s="242" t="inlineStr">
        <is>
          <t>E-W Spine #6 SN6600-LD</t>
        </is>
      </c>
      <c r="S27" s="144" t="n"/>
      <c r="T27" s="144" t="n"/>
      <c r="U27" s="144" t="n"/>
      <c r="V27" s="256" t="n"/>
      <c r="W27" s="121" t="n">
        <v>32</v>
      </c>
      <c r="X27" s="247" t="inlineStr">
        <is>
          <t>N-S Spine #3</t>
        </is>
      </c>
      <c r="Y27" s="243" t="n"/>
      <c r="Z27" s="157" t="n"/>
      <c r="AA27" s="256" t="n"/>
      <c r="AB27" s="121" t="n">
        <v>32</v>
      </c>
      <c r="AC27" s="247" t="inlineStr">
        <is>
          <t>N-S Spine #3</t>
        </is>
      </c>
      <c r="AD27" s="206" t="n"/>
      <c r="AE27" s="256" t="n"/>
      <c r="AF27" s="121" t="n">
        <v>32</v>
      </c>
      <c r="AG27" s="247" t="inlineStr">
        <is>
          <t>N-S Spine #4</t>
        </is>
      </c>
      <c r="AH27" s="243" t="n"/>
      <c r="AI27" s="157" t="n"/>
      <c r="AJ27" s="157" t="n"/>
      <c r="AK27" s="144" t="n"/>
      <c r="AL27" s="256" t="n"/>
      <c r="AM27" s="121" t="n">
        <v>32</v>
      </c>
      <c r="AN27" s="248" t="n"/>
      <c r="AO27" s="243" t="n"/>
      <c r="AP27" s="256" t="n"/>
      <c r="AQ27" s="121" t="n">
        <v>32</v>
      </c>
      <c r="AR27" s="248" t="n"/>
      <c r="AS27" s="243" t="n"/>
      <c r="AT27" s="256" t="n"/>
      <c r="AU27" s="121" t="n">
        <v>32</v>
      </c>
      <c r="AV27" s="174" t="n"/>
      <c r="AW27" s="243" t="n"/>
      <c r="AX27" s="256" t="n"/>
      <c r="AY27" s="121" t="n">
        <v>32</v>
      </c>
      <c r="AZ27" s="174" t="n"/>
      <c r="BA27" s="243" t="n"/>
      <c r="BB27" s="144" t="n"/>
      <c r="BC27" s="256" t="n"/>
      <c r="BD27" s="121" t="n">
        <v>32</v>
      </c>
      <c r="BE27" s="247" t="inlineStr">
        <is>
          <t>STORAGE SPINE #3</t>
        </is>
      </c>
      <c r="BF27" s="243" t="n"/>
      <c r="BG27" s="256" t="n"/>
      <c r="BH27" s="121" t="n">
        <v>32</v>
      </c>
      <c r="BI27" s="247" t="inlineStr">
        <is>
          <t>STORAGE SPINE #1</t>
        </is>
      </c>
      <c r="BJ27" s="243" t="n"/>
      <c r="BK27" s="144" t="n"/>
      <c r="BL27" s="144" t="n"/>
      <c r="BM27" s="167" t="n"/>
      <c r="BN27" s="121" t="n">
        <v>32</v>
      </c>
      <c r="BO27" s="144" t="n"/>
      <c r="BP27" s="243" t="n"/>
      <c r="BQ27" s="144" t="n"/>
    </row>
    <row r="28">
      <c r="A28" s="144" t="n"/>
      <c r="B28" s="144" t="n"/>
      <c r="C28" s="144" t="n"/>
      <c r="D28" s="144" t="n"/>
      <c r="E28" s="139" t="n">
        <v>31</v>
      </c>
      <c r="F28" s="246" t="n"/>
      <c r="G28" s="139" t="n">
        <v>31</v>
      </c>
      <c r="H28" s="246" t="n"/>
      <c r="I28" s="139" t="n">
        <v>31</v>
      </c>
      <c r="J28" s="246" t="n"/>
      <c r="K28" s="139" t="n">
        <v>31</v>
      </c>
      <c r="L28" s="246" t="n"/>
      <c r="M28" s="144" t="n"/>
      <c r="N28" s="144" t="n"/>
      <c r="O28" s="144" t="n"/>
      <c r="P28" s="144" t="n"/>
      <c r="Q28" s="139" t="n">
        <v>31</v>
      </c>
      <c r="R28" s="243" t="n"/>
      <c r="S28" s="144" t="n"/>
      <c r="T28" s="144" t="n"/>
      <c r="U28" s="144" t="n"/>
      <c r="V28" s="256" t="n"/>
      <c r="W28" s="121" t="n">
        <v>31</v>
      </c>
      <c r="X28" s="248" t="n"/>
      <c r="Y28" s="243" t="n"/>
      <c r="Z28" s="157" t="n"/>
      <c r="AA28" s="256" t="n"/>
      <c r="AB28" s="121" t="n">
        <v>31</v>
      </c>
      <c r="AC28" s="248" t="n"/>
      <c r="AD28" s="206" t="n"/>
      <c r="AE28" s="256" t="n"/>
      <c r="AF28" s="121" t="n">
        <v>31</v>
      </c>
      <c r="AG28" s="248" t="n"/>
      <c r="AH28" s="243" t="n"/>
      <c r="AI28" s="157" t="n"/>
      <c r="AJ28" s="157" t="n"/>
      <c r="AK28" s="144" t="n"/>
      <c r="AL28" s="256" t="n"/>
      <c r="AM28" s="121" t="n">
        <v>31</v>
      </c>
      <c r="AN28" s="174" t="n"/>
      <c r="AO28" s="243" t="n"/>
      <c r="AP28" s="256" t="n"/>
      <c r="AQ28" s="121" t="n">
        <v>31</v>
      </c>
      <c r="AR28" s="174" t="n"/>
      <c r="AS28" s="243" t="n"/>
      <c r="AT28" s="256" t="n"/>
      <c r="AU28" s="121" t="n">
        <v>31</v>
      </c>
      <c r="AV28" s="174" t="n"/>
      <c r="AW28" s="243" t="n"/>
      <c r="AX28" s="256" t="n"/>
      <c r="AY28" s="121" t="n">
        <v>31</v>
      </c>
      <c r="AZ28" s="174" t="n"/>
      <c r="BA28" s="243" t="n"/>
      <c r="BB28" s="144" t="n"/>
      <c r="BC28" s="256" t="n"/>
      <c r="BD28" s="121" t="n">
        <v>31</v>
      </c>
      <c r="BE28" s="248" t="n"/>
      <c r="BF28" s="243" t="n"/>
      <c r="BG28" s="256" t="n"/>
      <c r="BH28" s="121" t="n">
        <v>31</v>
      </c>
      <c r="BI28" s="248" t="n"/>
      <c r="BJ28" s="243" t="n"/>
      <c r="BK28" s="144" t="n"/>
      <c r="BL28" s="144" t="n"/>
      <c r="BM28" s="167" t="n"/>
      <c r="BN28" s="121" t="n">
        <v>31</v>
      </c>
      <c r="BO28" s="144" t="n"/>
      <c r="BP28" s="243" t="n"/>
      <c r="BQ28" s="144" t="n"/>
    </row>
    <row r="29">
      <c r="A29" s="144" t="n"/>
      <c r="B29" s="144" t="n"/>
      <c r="C29" s="144" t="n"/>
      <c r="D29" s="144" t="n"/>
      <c r="E29" s="139" t="n">
        <v>30</v>
      </c>
      <c r="F29" s="162" t="n"/>
      <c r="G29" s="139" t="n">
        <v>30</v>
      </c>
      <c r="H29" s="162" t="n"/>
      <c r="I29" s="139" t="n">
        <v>30</v>
      </c>
      <c r="J29" s="162" t="n"/>
      <c r="K29" s="139" t="n">
        <v>30</v>
      </c>
      <c r="L29" s="163" t="n"/>
      <c r="M29" s="144" t="n"/>
      <c r="N29" s="144" t="n"/>
      <c r="O29" s="144" t="n"/>
      <c r="P29" s="144" t="n"/>
      <c r="Q29" s="139" t="n">
        <v>30</v>
      </c>
      <c r="R29" s="144" t="n"/>
      <c r="S29" s="144" t="n"/>
      <c r="T29" s="144" t="n"/>
      <c r="U29" s="144" t="n"/>
      <c r="V29" s="256" t="n"/>
      <c r="W29" s="121" t="n">
        <v>30</v>
      </c>
      <c r="X29" s="162" t="n"/>
      <c r="Y29" s="243" t="n"/>
      <c r="Z29" s="157" t="n"/>
      <c r="AA29" s="256" t="n"/>
      <c r="AB29" s="121" t="n">
        <v>30</v>
      </c>
      <c r="AC29" s="162" t="n"/>
      <c r="AD29" s="206" t="n"/>
      <c r="AE29" s="256" t="n"/>
      <c r="AF29" s="121" t="n">
        <v>30</v>
      </c>
      <c r="AG29" s="162" t="n"/>
      <c r="AH29" s="243" t="n"/>
      <c r="AI29" s="157" t="n"/>
      <c r="AJ29" s="157" t="n"/>
      <c r="AK29" s="144" t="n"/>
      <c r="AL29" s="256" t="n"/>
      <c r="AM29" s="121" t="n">
        <v>30</v>
      </c>
      <c r="AN29" s="174" t="n"/>
      <c r="AO29" s="243" t="n"/>
      <c r="AP29" s="256" t="n"/>
      <c r="AQ29" s="121" t="n">
        <v>30</v>
      </c>
      <c r="AR29" s="174" t="n"/>
      <c r="AS29" s="243" t="n"/>
      <c r="AT29" s="256" t="n"/>
      <c r="AU29" s="121" t="n">
        <v>30</v>
      </c>
      <c r="AV29" s="174" t="n"/>
      <c r="AW29" s="243" t="n"/>
      <c r="AX29" s="256" t="n"/>
      <c r="AY29" s="121" t="n">
        <v>30</v>
      </c>
      <c r="AZ29" s="174" t="n"/>
      <c r="BA29" s="243" t="n"/>
      <c r="BB29" s="144" t="n"/>
      <c r="BC29" s="256" t="n"/>
      <c r="BD29" s="121" t="n">
        <v>30</v>
      </c>
      <c r="BE29" s="174" t="n"/>
      <c r="BF29" s="243" t="n"/>
      <c r="BG29" s="256" t="n"/>
      <c r="BH29" s="121" t="n">
        <v>30</v>
      </c>
      <c r="BI29" s="174" t="n"/>
      <c r="BJ29" s="243" t="n"/>
      <c r="BK29" s="144" t="n"/>
      <c r="BL29" s="144" t="n"/>
      <c r="BM29" s="167" t="n"/>
      <c r="BN29" s="121" t="n">
        <v>30</v>
      </c>
      <c r="BO29" s="144" t="n"/>
      <c r="BP29" s="243" t="n"/>
      <c r="BQ29" s="144" t="n"/>
    </row>
    <row r="30">
      <c r="A30" s="144" t="n"/>
      <c r="B30" s="144" t="n"/>
      <c r="C30" s="144" t="n"/>
      <c r="D30" s="144" t="n"/>
      <c r="E30" s="139" t="n">
        <v>29</v>
      </c>
      <c r="F30" s="245" t="inlineStr">
        <is>
          <t>E-W Leaf #2.A SN6600-LD Plane1</t>
        </is>
      </c>
      <c r="G30" s="139" t="n">
        <v>29</v>
      </c>
      <c r="H30" s="245" t="inlineStr">
        <is>
          <t>E-W Leaf #2.B SN6600-LD Plane5</t>
        </is>
      </c>
      <c r="I30" s="139" t="n">
        <v>29</v>
      </c>
      <c r="J30" s="245" t="inlineStr">
        <is>
          <t>E-W Leaf #4.A SN6600-LD Plane1</t>
        </is>
      </c>
      <c r="K30" s="139" t="n">
        <v>29</v>
      </c>
      <c r="L30" s="245" t="inlineStr">
        <is>
          <t>E-W Leaf #4.B SN6600-LD Plane5</t>
        </is>
      </c>
      <c r="M30" s="144" t="n"/>
      <c r="N30" s="144" t="n"/>
      <c r="O30" s="144" t="n"/>
      <c r="P30" s="144" t="n"/>
      <c r="Q30" s="139" t="n">
        <v>29</v>
      </c>
      <c r="R30" s="242" t="inlineStr">
        <is>
          <t>E-W Spine #5 SN6600-LD</t>
        </is>
      </c>
      <c r="S30" s="144" t="n"/>
      <c r="T30" s="144" t="n"/>
      <c r="U30" s="144" t="n"/>
      <c r="V30" s="256" t="n"/>
      <c r="W30" s="121" t="n">
        <v>29</v>
      </c>
      <c r="X30" s="247" t="inlineStr">
        <is>
          <t>N-S Spine #1</t>
        </is>
      </c>
      <c r="Y30" s="243" t="n"/>
      <c r="Z30" s="157" t="n"/>
      <c r="AA30" s="256" t="n"/>
      <c r="AB30" s="121" t="n">
        <v>29</v>
      </c>
      <c r="AC30" s="247" t="inlineStr">
        <is>
          <t>N-S Spine #1</t>
        </is>
      </c>
      <c r="AD30" s="206" t="n"/>
      <c r="AE30" s="256" t="n"/>
      <c r="AF30" s="121" t="n">
        <v>29</v>
      </c>
      <c r="AG30" s="247" t="inlineStr">
        <is>
          <t>N-S Spine #2</t>
        </is>
      </c>
      <c r="AH30" s="243" t="n"/>
      <c r="AI30" s="157" t="n"/>
      <c r="AJ30" s="157" t="n"/>
      <c r="AK30" s="144" t="n"/>
      <c r="AL30" s="256" t="n"/>
      <c r="AM30" s="121" t="n">
        <v>29</v>
      </c>
      <c r="AN30" s="247" t="inlineStr">
        <is>
          <t>N-S Core #6(Group 1)</t>
        </is>
      </c>
      <c r="AO30" s="243" t="n"/>
      <c r="AP30" s="256" t="n"/>
      <c r="AQ30" s="121" t="n">
        <v>29</v>
      </c>
      <c r="AR30" s="247" t="inlineStr">
        <is>
          <t>N-S Core #6(Group 2)</t>
        </is>
      </c>
      <c r="AS30" s="243" t="n"/>
      <c r="AT30" s="256" t="n"/>
      <c r="AU30" s="121" t="n">
        <v>29</v>
      </c>
      <c r="AV30" s="247" t="inlineStr">
        <is>
          <t>N-S Core #6(Group 3)</t>
        </is>
      </c>
      <c r="AW30" s="243" t="n"/>
      <c r="AX30" s="256" t="n"/>
      <c r="AY30" s="121" t="n">
        <v>29</v>
      </c>
      <c r="AZ30" s="247" t="inlineStr">
        <is>
          <t>N-S Core #6(Group 4)</t>
        </is>
      </c>
      <c r="BA30" s="243" t="n"/>
      <c r="BB30" s="144" t="n"/>
      <c r="BC30" s="256" t="n"/>
      <c r="BD30" s="121" t="n">
        <v>29</v>
      </c>
      <c r="BE30" s="247" t="inlineStr">
        <is>
          <t>STORAGE SPINE #2</t>
        </is>
      </c>
      <c r="BF30" s="243" t="n"/>
      <c r="BG30" s="256" t="n"/>
      <c r="BH30" s="121" t="n">
        <v>29</v>
      </c>
      <c r="BI30" s="247" t="inlineStr">
        <is>
          <t>STORAGE LEAF #6</t>
        </is>
      </c>
      <c r="BJ30" s="243" t="n"/>
      <c r="BK30" s="144" t="n"/>
      <c r="BL30" s="144" t="n"/>
      <c r="BM30" s="167" t="n"/>
      <c r="BN30" s="121" t="n">
        <v>29</v>
      </c>
      <c r="BO30" s="144" t="n"/>
      <c r="BP30" s="243" t="n"/>
      <c r="BQ30" s="144" t="n"/>
    </row>
    <row r="31">
      <c r="A31" s="144" t="n"/>
      <c r="B31" s="144" t="n"/>
      <c r="C31" s="144" t="n"/>
      <c r="D31" s="144" t="n"/>
      <c r="E31" s="139" t="n">
        <v>28</v>
      </c>
      <c r="F31" s="246" t="n"/>
      <c r="G31" s="139" t="n">
        <v>28</v>
      </c>
      <c r="H31" s="246" t="n"/>
      <c r="I31" s="139" t="n">
        <v>28</v>
      </c>
      <c r="J31" s="246" t="n"/>
      <c r="K31" s="139" t="n">
        <v>28</v>
      </c>
      <c r="L31" s="246" t="n"/>
      <c r="M31" s="144" t="n"/>
      <c r="N31" s="144" t="n"/>
      <c r="O31" s="144" t="n"/>
      <c r="P31" s="144" t="n"/>
      <c r="Q31" s="139" t="n">
        <v>28</v>
      </c>
      <c r="R31" s="243" t="n"/>
      <c r="S31" s="144" t="n"/>
      <c r="T31" s="144" t="n"/>
      <c r="U31" s="144" t="n"/>
      <c r="V31" s="256" t="n"/>
      <c r="W31" s="121" t="n">
        <v>28</v>
      </c>
      <c r="X31" s="248" t="n"/>
      <c r="Y31" s="243" t="n"/>
      <c r="Z31" s="157" t="n"/>
      <c r="AA31" s="256" t="n"/>
      <c r="AB31" s="121" t="n">
        <v>28</v>
      </c>
      <c r="AC31" s="248" t="n"/>
      <c r="AD31" s="206" t="n"/>
      <c r="AE31" s="256" t="n"/>
      <c r="AF31" s="121" t="n">
        <v>28</v>
      </c>
      <c r="AG31" s="248" t="n"/>
      <c r="AH31" s="243" t="n"/>
      <c r="AI31" s="157" t="n"/>
      <c r="AJ31" s="157" t="n"/>
      <c r="AK31" s="144" t="n"/>
      <c r="AL31" s="256" t="n"/>
      <c r="AM31" s="121" t="n">
        <v>28</v>
      </c>
      <c r="AN31" s="248" t="n"/>
      <c r="AO31" s="243" t="n"/>
      <c r="AP31" s="256" t="n"/>
      <c r="AQ31" s="121" t="n">
        <v>28</v>
      </c>
      <c r="AR31" s="248" t="n"/>
      <c r="AS31" s="243" t="n"/>
      <c r="AT31" s="256" t="n"/>
      <c r="AU31" s="121" t="n">
        <v>28</v>
      </c>
      <c r="AV31" s="248" t="n"/>
      <c r="AW31" s="243" t="n"/>
      <c r="AX31" s="256" t="n"/>
      <c r="AY31" s="121" t="n">
        <v>28</v>
      </c>
      <c r="AZ31" s="248" t="n"/>
      <c r="BA31" s="243" t="n"/>
      <c r="BB31" s="144" t="n"/>
      <c r="BC31" s="256" t="n"/>
      <c r="BD31" s="121" t="n">
        <v>28</v>
      </c>
      <c r="BE31" s="248" t="n"/>
      <c r="BF31" s="243" t="n"/>
      <c r="BG31" s="256" t="n"/>
      <c r="BH31" s="121" t="n">
        <v>28</v>
      </c>
      <c r="BI31" s="248" t="n"/>
      <c r="BJ31" s="243" t="n"/>
      <c r="BK31" s="144" t="n"/>
      <c r="BL31" s="144" t="n"/>
      <c r="BM31" s="167" t="n"/>
      <c r="BN31" s="121" t="n">
        <v>28</v>
      </c>
      <c r="BO31" s="144" t="n"/>
      <c r="BP31" s="243" t="n"/>
      <c r="BQ31" s="144" t="n"/>
    </row>
    <row r="32">
      <c r="A32" s="144" t="n"/>
      <c r="B32" s="144" t="n"/>
      <c r="C32" s="144" t="n"/>
      <c r="D32" s="144" t="n"/>
      <c r="E32" s="139" t="n">
        <v>27</v>
      </c>
      <c r="F32" s="162" t="n"/>
      <c r="G32" s="139" t="n">
        <v>27</v>
      </c>
      <c r="H32" s="162" t="n"/>
      <c r="I32" s="139" t="n">
        <v>27</v>
      </c>
      <c r="J32" s="162" t="n"/>
      <c r="K32" s="139" t="n">
        <v>27</v>
      </c>
      <c r="L32" s="163" t="n"/>
      <c r="M32" s="144" t="n"/>
      <c r="N32" s="144" t="n"/>
      <c r="O32" s="144" t="n"/>
      <c r="P32" s="144" t="n"/>
      <c r="Q32" s="139" t="n">
        <v>27</v>
      </c>
      <c r="R32" s="164" t="n"/>
      <c r="S32" s="144" t="n"/>
      <c r="T32" s="144" t="n"/>
      <c r="U32" s="144" t="n"/>
      <c r="V32" s="256" t="n"/>
      <c r="W32" s="121" t="n">
        <v>27</v>
      </c>
      <c r="X32" s="162" t="n"/>
      <c r="Y32" s="243" t="n"/>
      <c r="Z32" s="157" t="n"/>
      <c r="AA32" s="256" t="n"/>
      <c r="AB32" s="121" t="n">
        <v>27</v>
      </c>
      <c r="AC32" s="162" t="n"/>
      <c r="AD32" s="206" t="n"/>
      <c r="AE32" s="256" t="n"/>
      <c r="AF32" s="121" t="n">
        <v>27</v>
      </c>
      <c r="AG32" s="162" t="n"/>
      <c r="AH32" s="243" t="n"/>
      <c r="AI32" s="157" t="n"/>
      <c r="AJ32" s="157" t="n"/>
      <c r="AK32" s="144" t="n"/>
      <c r="AL32" s="256" t="n"/>
      <c r="AM32" s="121" t="n">
        <v>27</v>
      </c>
      <c r="AN32" s="174" t="n"/>
      <c r="AO32" s="243" t="n"/>
      <c r="AP32" s="256" t="n"/>
      <c r="AQ32" s="121" t="n">
        <v>27</v>
      </c>
      <c r="AR32" s="174" t="n"/>
      <c r="AS32" s="243" t="n"/>
      <c r="AT32" s="256" t="n"/>
      <c r="AU32" s="121" t="n">
        <v>27</v>
      </c>
      <c r="AV32" s="174" t="n"/>
      <c r="AW32" s="243" t="n"/>
      <c r="AX32" s="256" t="n"/>
      <c r="AY32" s="121" t="n">
        <v>27</v>
      </c>
      <c r="AZ32" s="174" t="n"/>
      <c r="BA32" s="243" t="n"/>
      <c r="BB32" s="144" t="n"/>
      <c r="BC32" s="256" t="n"/>
      <c r="BD32" s="121" t="n">
        <v>27</v>
      </c>
      <c r="BE32" s="174" t="n"/>
      <c r="BF32" s="243" t="n"/>
      <c r="BG32" s="256" t="n"/>
      <c r="BH32" s="121" t="n">
        <v>27</v>
      </c>
      <c r="BI32" s="174" t="n"/>
      <c r="BJ32" s="243" t="n"/>
      <c r="BK32" s="144" t="n"/>
      <c r="BL32" s="144" t="n"/>
      <c r="BM32" s="167" t="n"/>
      <c r="BN32" s="121" t="n">
        <v>27</v>
      </c>
      <c r="BO32" s="144" t="n"/>
      <c r="BP32" s="243" t="n"/>
      <c r="BQ32" s="144" t="n"/>
    </row>
    <row r="33">
      <c r="A33" s="144" t="n"/>
      <c r="B33" s="144" t="n"/>
      <c r="C33" s="144" t="n"/>
      <c r="D33" s="144" t="n"/>
      <c r="E33" s="139" t="n">
        <v>26</v>
      </c>
      <c r="F33" s="252" t="inlineStr">
        <is>
          <t>27 4x4 Shuffle Cassette [2U Panel]</t>
        </is>
      </c>
      <c r="G33" s="139" t="n">
        <v>26</v>
      </c>
      <c r="H33" s="252" t="inlineStr">
        <is>
          <t>27 4x4 Shuffle Cassette [2U Panel]</t>
        </is>
      </c>
      <c r="I33" s="139" t="n">
        <v>26</v>
      </c>
      <c r="J33" s="252" t="inlineStr">
        <is>
          <t>27 4x4 Shuffle Cassette [2U Panel]</t>
        </is>
      </c>
      <c r="K33" s="139" t="n">
        <v>26</v>
      </c>
      <c r="L33" s="252" t="inlineStr">
        <is>
          <t>27 4x4 Shuffle Cassette [2U Panel]</t>
        </is>
      </c>
      <c r="M33" s="144" t="n"/>
      <c r="N33" s="144" t="n"/>
      <c r="O33" s="144" t="n"/>
      <c r="P33" s="144" t="n"/>
      <c r="Q33" s="139" t="n">
        <v>26</v>
      </c>
      <c r="R33" s="164" t="n"/>
      <c r="S33" s="144" t="n"/>
      <c r="T33" s="144" t="n"/>
      <c r="U33" s="144" t="n"/>
      <c r="V33" s="256" t="n"/>
      <c r="W33" s="121" t="n">
        <v>26</v>
      </c>
      <c r="X33" s="247" t="inlineStr">
        <is>
          <t>CTRL Leaf #1</t>
        </is>
      </c>
      <c r="Y33" s="243" t="n"/>
      <c r="Z33" s="157" t="n"/>
      <c r="AA33" s="256" t="n"/>
      <c r="AB33" s="121" t="n">
        <v>26</v>
      </c>
      <c r="AC33" s="247" t="inlineStr">
        <is>
          <t>CTRL Leaf #1</t>
        </is>
      </c>
      <c r="AD33" s="206" t="n"/>
      <c r="AE33" s="256" t="n"/>
      <c r="AF33" s="121" t="n">
        <v>26</v>
      </c>
      <c r="AG33" s="247" t="inlineStr">
        <is>
          <t>CTRL Leaf # 2</t>
        </is>
      </c>
      <c r="AH33" s="243" t="n"/>
      <c r="AI33" s="157" t="n"/>
      <c r="AJ33" s="157" t="n"/>
      <c r="AK33" s="144" t="n"/>
      <c r="AL33" s="256" t="n"/>
      <c r="AM33" s="121" t="n">
        <v>26</v>
      </c>
      <c r="AN33" s="247" t="inlineStr">
        <is>
          <t>N-S Core #5(Group 1)</t>
        </is>
      </c>
      <c r="AO33" s="243" t="n"/>
      <c r="AP33" s="256" t="n"/>
      <c r="AQ33" s="121" t="n">
        <v>26</v>
      </c>
      <c r="AR33" s="247" t="inlineStr">
        <is>
          <t>N-S Core #5(Group 2)</t>
        </is>
      </c>
      <c r="AS33" s="243" t="n"/>
      <c r="AT33" s="256" t="n"/>
      <c r="AU33" s="121" t="n">
        <v>26</v>
      </c>
      <c r="AV33" s="247" t="inlineStr">
        <is>
          <t>N-S Core #5(Group 3)</t>
        </is>
      </c>
      <c r="AW33" s="243" t="n"/>
      <c r="AX33" s="256" t="n"/>
      <c r="AY33" s="121" t="n">
        <v>26</v>
      </c>
      <c r="AZ33" s="247" t="inlineStr">
        <is>
          <t>N-S Core #5(Group 4)</t>
        </is>
      </c>
      <c r="BA33" s="243" t="n"/>
      <c r="BB33" s="144" t="n"/>
      <c r="BC33" s="256" t="n"/>
      <c r="BD33" s="121" t="n">
        <v>26</v>
      </c>
      <c r="BE33" s="247" t="inlineStr">
        <is>
          <t>STORAGE SPINE #1</t>
        </is>
      </c>
      <c r="BF33" s="243" t="n"/>
      <c r="BG33" s="256" t="n"/>
      <c r="BH33" s="121" t="n">
        <v>26</v>
      </c>
      <c r="BI33" s="247" t="inlineStr">
        <is>
          <t>STORAGE LEAF #5</t>
        </is>
      </c>
      <c r="BJ33" s="243" t="n"/>
      <c r="BK33" s="144" t="n"/>
      <c r="BL33" s="144" t="n"/>
      <c r="BM33" s="167" t="n"/>
      <c r="BN33" s="121" t="n">
        <v>26</v>
      </c>
      <c r="BO33" s="144" t="n"/>
      <c r="BP33" s="243" t="n"/>
      <c r="BQ33" s="144" t="n"/>
    </row>
    <row r="34">
      <c r="A34" s="144" t="n"/>
      <c r="B34" s="144" t="n"/>
      <c r="C34" s="144" t="n"/>
      <c r="D34" s="144" t="n"/>
      <c r="E34" s="139" t="n">
        <v>25</v>
      </c>
      <c r="F34" s="246" t="n"/>
      <c r="G34" s="139" t="n">
        <v>25</v>
      </c>
      <c r="H34" s="246" t="n"/>
      <c r="I34" s="139" t="n">
        <v>25</v>
      </c>
      <c r="J34" s="246" t="n"/>
      <c r="K34" s="139" t="n">
        <v>25</v>
      </c>
      <c r="L34" s="246" t="n"/>
      <c r="M34" s="144" t="n"/>
      <c r="N34" s="144" t="n"/>
      <c r="O34" s="144" t="n"/>
      <c r="P34" s="144" t="n"/>
      <c r="Q34" s="139" t="n">
        <v>25</v>
      </c>
      <c r="R34" s="164" t="n"/>
      <c r="S34" s="144" t="n"/>
      <c r="T34" s="144" t="n"/>
      <c r="U34" s="144" t="n"/>
      <c r="V34" s="256" t="n"/>
      <c r="W34" s="121" t="n">
        <v>25</v>
      </c>
      <c r="X34" s="248" t="n"/>
      <c r="Y34" s="243" t="n"/>
      <c r="Z34" s="157" t="n"/>
      <c r="AA34" s="256" t="n"/>
      <c r="AB34" s="121" t="n">
        <v>25</v>
      </c>
      <c r="AC34" s="248" t="n"/>
      <c r="AD34" s="206" t="n"/>
      <c r="AE34" s="256" t="n"/>
      <c r="AF34" s="121" t="n">
        <v>25</v>
      </c>
      <c r="AG34" s="248" t="n"/>
      <c r="AH34" s="243" t="n"/>
      <c r="AI34" s="157" t="n"/>
      <c r="AJ34" s="157" t="n"/>
      <c r="AK34" s="144" t="n"/>
      <c r="AL34" s="256" t="n"/>
      <c r="AM34" s="121" t="n">
        <v>25</v>
      </c>
      <c r="AN34" s="248" t="n"/>
      <c r="AO34" s="243" t="n"/>
      <c r="AP34" s="256" t="n"/>
      <c r="AQ34" s="121" t="n">
        <v>25</v>
      </c>
      <c r="AR34" s="248" t="n"/>
      <c r="AS34" s="243" t="n"/>
      <c r="AT34" s="256" t="n"/>
      <c r="AU34" s="121" t="n">
        <v>25</v>
      </c>
      <c r="AV34" s="248" t="n"/>
      <c r="AW34" s="243" t="n"/>
      <c r="AX34" s="256" t="n"/>
      <c r="AY34" s="121" t="n">
        <v>25</v>
      </c>
      <c r="AZ34" s="248" t="n"/>
      <c r="BA34" s="243" t="n"/>
      <c r="BB34" s="144" t="n"/>
      <c r="BC34" s="256" t="n"/>
      <c r="BD34" s="121" t="n">
        <v>25</v>
      </c>
      <c r="BE34" s="248" t="n"/>
      <c r="BF34" s="243" t="n"/>
      <c r="BG34" s="256" t="n"/>
      <c r="BH34" s="121" t="n">
        <v>25</v>
      </c>
      <c r="BI34" s="248" t="n"/>
      <c r="BJ34" s="243" t="n"/>
      <c r="BK34" s="144" t="n"/>
      <c r="BL34" s="144" t="n"/>
      <c r="BM34" s="167" t="n"/>
      <c r="BN34" s="121" t="n">
        <v>25</v>
      </c>
      <c r="BO34" s="144" t="n"/>
      <c r="BP34" s="243" t="n"/>
      <c r="BQ34" s="144" t="n"/>
    </row>
    <row r="35">
      <c r="A35" s="144" t="n"/>
      <c r="B35" s="144" t="n"/>
      <c r="C35" s="144" t="n"/>
      <c r="D35" s="144" t="n"/>
      <c r="E35" s="139" t="n">
        <v>24</v>
      </c>
      <c r="F35" s="252" t="inlineStr">
        <is>
          <t>36 4x4 Shuffle Cassette [2U Panel]</t>
        </is>
      </c>
      <c r="G35" s="139" t="n">
        <v>24</v>
      </c>
      <c r="H35" s="252" t="inlineStr">
        <is>
          <t>36 4x4 Shuffle Cassette [2U Panel]</t>
        </is>
      </c>
      <c r="I35" s="139" t="n">
        <v>24</v>
      </c>
      <c r="J35" s="252" t="inlineStr">
        <is>
          <t>36 4x4 Shuffle Cassette [2U Panel]</t>
        </is>
      </c>
      <c r="K35" s="139" t="n">
        <v>24</v>
      </c>
      <c r="L35" s="252" t="inlineStr">
        <is>
          <t>36 4x4 Shuffle Cassette [2U Panel]</t>
        </is>
      </c>
      <c r="M35" s="144" t="n"/>
      <c r="N35" s="144" t="n"/>
      <c r="O35" s="144" t="n"/>
      <c r="P35" s="144" t="n"/>
      <c r="Q35" s="139" t="n">
        <v>24</v>
      </c>
      <c r="R35" s="164" t="n"/>
      <c r="S35" s="144" t="n"/>
      <c r="T35" s="144" t="n"/>
      <c r="U35" s="144" t="n"/>
      <c r="V35" s="256" t="n"/>
      <c r="W35" s="121" t="n">
        <v>24</v>
      </c>
      <c r="X35" s="162" t="n"/>
      <c r="Y35" s="243" t="n"/>
      <c r="Z35" s="157" t="n"/>
      <c r="AA35" s="256" t="n"/>
      <c r="AB35" s="121" t="n">
        <v>24</v>
      </c>
      <c r="AC35" s="162" t="n"/>
      <c r="AD35" s="206" t="n"/>
      <c r="AE35" s="256" t="n"/>
      <c r="AF35" s="121" t="n">
        <v>24</v>
      </c>
      <c r="AG35" s="162" t="n"/>
      <c r="AH35" s="243" t="n"/>
      <c r="AI35" s="157" t="n"/>
      <c r="AJ35" s="157" t="n"/>
      <c r="AK35" s="144" t="n"/>
      <c r="AL35" s="256" t="n"/>
      <c r="AM35" s="121" t="n">
        <v>24</v>
      </c>
      <c r="AN35" s="174" t="n"/>
      <c r="AO35" s="243" t="n"/>
      <c r="AP35" s="256" t="n"/>
      <c r="AQ35" s="121" t="n">
        <v>24</v>
      </c>
      <c r="AR35" s="174" t="n"/>
      <c r="AS35" s="243" t="n"/>
      <c r="AT35" s="256" t="n"/>
      <c r="AU35" s="121" t="n">
        <v>24</v>
      </c>
      <c r="AV35" s="174" t="n"/>
      <c r="AW35" s="243" t="n"/>
      <c r="AX35" s="256" t="n"/>
      <c r="AY35" s="121" t="n">
        <v>24</v>
      </c>
      <c r="AZ35" s="174" t="n"/>
      <c r="BA35" s="243" t="n"/>
      <c r="BB35" s="144" t="n"/>
      <c r="BC35" s="256" t="n"/>
      <c r="BD35" s="121" t="n">
        <v>24</v>
      </c>
      <c r="BE35" s="174" t="n"/>
      <c r="BF35" s="243" t="n"/>
      <c r="BG35" s="256" t="n"/>
      <c r="BH35" s="121" t="n">
        <v>24</v>
      </c>
      <c r="BI35" s="174" t="n"/>
      <c r="BJ35" s="243" t="n"/>
      <c r="BK35" s="144" t="n"/>
      <c r="BL35" s="144" t="n"/>
      <c r="BM35" s="167" t="n"/>
      <c r="BN35" s="121" t="n">
        <v>24</v>
      </c>
      <c r="BO35" s="144" t="n"/>
      <c r="BP35" s="243" t="n"/>
      <c r="BQ35" s="144" t="n"/>
    </row>
    <row r="36">
      <c r="A36" s="144" t="n"/>
      <c r="B36" s="144" t="n"/>
      <c r="C36" s="144" t="n"/>
      <c r="D36" s="144" t="n"/>
      <c r="E36" s="139" t="n">
        <v>23</v>
      </c>
      <c r="F36" s="246" t="n"/>
      <c r="G36" s="139" t="n">
        <v>23</v>
      </c>
      <c r="H36" s="246" t="n"/>
      <c r="I36" s="139" t="n">
        <v>23</v>
      </c>
      <c r="J36" s="246" t="n"/>
      <c r="K36" s="139" t="n">
        <v>23</v>
      </c>
      <c r="L36" s="246" t="n"/>
      <c r="M36" s="144" t="n"/>
      <c r="N36" s="144" t="n"/>
      <c r="O36" s="144" t="n"/>
      <c r="P36" s="144" t="n"/>
      <c r="Q36" s="139" t="n">
        <v>23</v>
      </c>
      <c r="R36" s="164" t="n"/>
      <c r="S36" s="144" t="n"/>
      <c r="T36" s="144" t="n"/>
      <c r="U36" s="144" t="n"/>
      <c r="V36" s="256" t="n"/>
      <c r="W36" s="121" t="n">
        <v>23</v>
      </c>
      <c r="X36" s="247" t="inlineStr">
        <is>
          <t>N-S Leaf #7</t>
        </is>
      </c>
      <c r="Y36" s="243" t="n"/>
      <c r="Z36" s="157" t="n"/>
      <c r="AA36" s="256" t="n"/>
      <c r="AB36" s="121" t="n">
        <v>23</v>
      </c>
      <c r="AC36" s="247" t="inlineStr">
        <is>
          <t>N-S Leaf #7</t>
        </is>
      </c>
      <c r="AD36" s="206" t="n"/>
      <c r="AE36" s="256" t="n"/>
      <c r="AF36" s="121" t="n">
        <v>23</v>
      </c>
      <c r="AG36" s="247" t="inlineStr">
        <is>
          <t>N-S Leaf #8</t>
        </is>
      </c>
      <c r="AH36" s="243" t="n"/>
      <c r="AI36" s="157" t="n"/>
      <c r="AJ36" s="157" t="n"/>
      <c r="AK36" s="144" t="n"/>
      <c r="AL36" s="256" t="n"/>
      <c r="AM36" s="121" t="n">
        <v>23</v>
      </c>
      <c r="AN36" s="247" t="inlineStr">
        <is>
          <t>N-S Core #4(Group 1)</t>
        </is>
      </c>
      <c r="AO36" s="243" t="n"/>
      <c r="AP36" s="256" t="n"/>
      <c r="AQ36" s="121" t="n">
        <v>23</v>
      </c>
      <c r="AR36" s="247" t="inlineStr">
        <is>
          <t>N-S Core #4(Group 2)</t>
        </is>
      </c>
      <c r="AS36" s="243" t="n"/>
      <c r="AT36" s="256" t="n"/>
      <c r="AU36" s="121" t="n">
        <v>23</v>
      </c>
      <c r="AV36" s="247" t="inlineStr">
        <is>
          <t>N-S Core #4(Group 3)</t>
        </is>
      </c>
      <c r="AW36" s="243" t="n"/>
      <c r="AX36" s="256" t="n"/>
      <c r="AY36" s="121" t="n">
        <v>23</v>
      </c>
      <c r="AZ36" s="247" t="inlineStr">
        <is>
          <t>N-S Core #4(Group 4)</t>
        </is>
      </c>
      <c r="BA36" s="243" t="n"/>
      <c r="BB36" s="144" t="n"/>
      <c r="BC36" s="256" t="n"/>
      <c r="BD36" s="121" t="n">
        <v>23</v>
      </c>
      <c r="BE36" s="247" t="inlineStr">
        <is>
          <t>STORAGE LEAF #4</t>
        </is>
      </c>
      <c r="BF36" s="243" t="n"/>
      <c r="BG36" s="256" t="n"/>
      <c r="BH36" s="121" t="n">
        <v>23</v>
      </c>
      <c r="BI36" s="247" t="inlineStr">
        <is>
          <t>STORAGE LEAF #4</t>
        </is>
      </c>
      <c r="BJ36" s="243" t="n"/>
      <c r="BK36" s="144" t="n"/>
      <c r="BL36" s="144" t="n"/>
      <c r="BM36" s="167" t="n"/>
      <c r="BN36" s="121" t="n">
        <v>23</v>
      </c>
      <c r="BO36" s="144" t="n"/>
      <c r="BP36" s="243" t="n"/>
      <c r="BQ36" s="144" t="n"/>
    </row>
    <row r="37">
      <c r="A37" s="144" t="n"/>
      <c r="B37" s="144" t="n"/>
      <c r="C37" s="144" t="n"/>
      <c r="D37" s="144" t="n"/>
      <c r="E37" s="139" t="n">
        <v>22</v>
      </c>
      <c r="F37" s="245" t="inlineStr">
        <is>
          <t>E-W Leaf #1.A SN6600-LD Plane4</t>
        </is>
      </c>
      <c r="G37" s="139" t="n">
        <v>22</v>
      </c>
      <c r="H37" s="245" t="inlineStr">
        <is>
          <t>E-W Leaf #1.B SN6600-LD Plane8</t>
        </is>
      </c>
      <c r="I37" s="139" t="n">
        <v>22</v>
      </c>
      <c r="J37" s="245" t="inlineStr">
        <is>
          <t>E-W Leaf #3.A SN6600-LD Plane4</t>
        </is>
      </c>
      <c r="K37" s="139" t="n">
        <v>22</v>
      </c>
      <c r="L37" s="245" t="inlineStr">
        <is>
          <t>E-W Leaf #3.B SN6600-LD Plane8</t>
        </is>
      </c>
      <c r="M37" s="144" t="n"/>
      <c r="N37" s="144" t="n"/>
      <c r="O37" s="144" t="n"/>
      <c r="P37" s="144" t="n"/>
      <c r="Q37" s="139" t="n">
        <v>22</v>
      </c>
      <c r="R37" s="245" t="inlineStr">
        <is>
          <t>E-W Spine #4 SN6600-LD</t>
        </is>
      </c>
      <c r="S37" s="144" t="n"/>
      <c r="T37" s="144" t="n"/>
      <c r="U37" s="144" t="n"/>
      <c r="V37" s="256" t="n"/>
      <c r="W37" s="121" t="n">
        <v>22</v>
      </c>
      <c r="X37" s="248" t="n"/>
      <c r="Y37" s="243" t="n"/>
      <c r="Z37" s="157" t="n"/>
      <c r="AA37" s="256" t="n"/>
      <c r="AB37" s="121" t="n">
        <v>22</v>
      </c>
      <c r="AC37" s="248" t="n"/>
      <c r="AD37" s="206" t="n"/>
      <c r="AE37" s="256" t="n"/>
      <c r="AF37" s="121" t="n">
        <v>22</v>
      </c>
      <c r="AG37" s="248" t="n"/>
      <c r="AH37" s="243" t="n"/>
      <c r="AI37" s="157" t="n"/>
      <c r="AJ37" s="157" t="n"/>
      <c r="AK37" s="144" t="n"/>
      <c r="AL37" s="256" t="n"/>
      <c r="AM37" s="121" t="n">
        <v>22</v>
      </c>
      <c r="AN37" s="248" t="n"/>
      <c r="AO37" s="243" t="n"/>
      <c r="AP37" s="256" t="n"/>
      <c r="AQ37" s="121" t="n">
        <v>22</v>
      </c>
      <c r="AR37" s="248" t="n"/>
      <c r="AS37" s="243" t="n"/>
      <c r="AT37" s="256" t="n"/>
      <c r="AU37" s="121" t="n">
        <v>22</v>
      </c>
      <c r="AV37" s="248" t="n"/>
      <c r="AW37" s="243" t="n"/>
      <c r="AX37" s="256" t="n"/>
      <c r="AY37" s="121" t="n">
        <v>22</v>
      </c>
      <c r="AZ37" s="248" t="n"/>
      <c r="BA37" s="243" t="n"/>
      <c r="BB37" s="144" t="n"/>
      <c r="BC37" s="256" t="n"/>
      <c r="BD37" s="121" t="n">
        <v>22</v>
      </c>
      <c r="BE37" s="248" t="n"/>
      <c r="BF37" s="243" t="n"/>
      <c r="BG37" s="256" t="n"/>
      <c r="BH37" s="121" t="n">
        <v>22</v>
      </c>
      <c r="BI37" s="248" t="n"/>
      <c r="BJ37" s="243" t="n"/>
      <c r="BK37" s="144" t="n"/>
      <c r="BL37" s="144" t="n"/>
      <c r="BM37" s="167" t="n"/>
      <c r="BN37" s="121" t="n">
        <v>22</v>
      </c>
      <c r="BO37" s="144" t="n"/>
      <c r="BP37" s="243" t="n"/>
      <c r="BQ37" s="144" t="n"/>
    </row>
    <row r="38">
      <c r="A38" s="144" t="n"/>
      <c r="B38" s="144" t="n"/>
      <c r="C38" s="144" t="n"/>
      <c r="D38" s="144" t="n"/>
      <c r="E38" s="139" t="n">
        <v>21</v>
      </c>
      <c r="F38" s="246" t="n"/>
      <c r="G38" s="139" t="n">
        <v>21</v>
      </c>
      <c r="H38" s="246" t="n"/>
      <c r="I38" s="139" t="n">
        <v>21</v>
      </c>
      <c r="J38" s="246" t="n"/>
      <c r="K38" s="139" t="n">
        <v>21</v>
      </c>
      <c r="L38" s="246" t="n"/>
      <c r="M38" s="144" t="n"/>
      <c r="N38" s="144" t="n"/>
      <c r="O38" s="144" t="n"/>
      <c r="P38" s="144" t="n"/>
      <c r="Q38" s="139" t="n">
        <v>21</v>
      </c>
      <c r="R38" s="246" t="n"/>
      <c r="S38" s="144" t="n"/>
      <c r="T38" s="144" t="n"/>
      <c r="U38" s="144" t="n"/>
      <c r="V38" s="256" t="n"/>
      <c r="W38" s="121" t="n">
        <v>21</v>
      </c>
      <c r="X38" s="162" t="n"/>
      <c r="Y38" s="243" t="n"/>
      <c r="Z38" s="157" t="n"/>
      <c r="AA38" s="256" t="n"/>
      <c r="AB38" s="121" t="n">
        <v>21</v>
      </c>
      <c r="AC38" s="162" t="n"/>
      <c r="AD38" s="206" t="n"/>
      <c r="AE38" s="256" t="n"/>
      <c r="AF38" s="121" t="n">
        <v>21</v>
      </c>
      <c r="AG38" s="162" t="n"/>
      <c r="AH38" s="243" t="n"/>
      <c r="AI38" s="157" t="n"/>
      <c r="AJ38" s="157" t="n"/>
      <c r="AK38" s="144" t="n"/>
      <c r="AL38" s="256" t="n"/>
      <c r="AM38" s="121" t="n">
        <v>21</v>
      </c>
      <c r="AN38" s="162" t="n"/>
      <c r="AO38" s="243" t="n"/>
      <c r="AP38" s="256" t="n"/>
      <c r="AQ38" s="121" t="n">
        <v>21</v>
      </c>
      <c r="AR38" s="162" t="n"/>
      <c r="AS38" s="243" t="n"/>
      <c r="AT38" s="256" t="n"/>
      <c r="AU38" s="121" t="n">
        <v>21</v>
      </c>
      <c r="AV38" s="162" t="n"/>
      <c r="AW38" s="243" t="n"/>
      <c r="AX38" s="256" t="n"/>
      <c r="AY38" s="121" t="n">
        <v>21</v>
      </c>
      <c r="AZ38" s="162" t="n"/>
      <c r="BA38" s="243" t="n"/>
      <c r="BB38" s="144" t="n"/>
      <c r="BC38" s="256" t="n"/>
      <c r="BD38" s="121" t="n">
        <v>21</v>
      </c>
      <c r="BE38" s="162" t="n"/>
      <c r="BF38" s="243" t="n"/>
      <c r="BG38" s="256" t="n"/>
      <c r="BH38" s="121" t="n">
        <v>21</v>
      </c>
      <c r="BI38" s="162" t="n"/>
      <c r="BJ38" s="243" t="n"/>
      <c r="BK38" s="144" t="n"/>
      <c r="BL38" s="144" t="n"/>
      <c r="BM38" s="167" t="n"/>
      <c r="BN38" s="121" t="n">
        <v>21</v>
      </c>
      <c r="BO38" s="162" t="n"/>
      <c r="BP38" s="243" t="n"/>
      <c r="BQ38" s="144" t="n"/>
    </row>
    <row r="39">
      <c r="A39" s="144" t="n"/>
      <c r="B39" s="144" t="n"/>
      <c r="C39" s="144" t="n"/>
      <c r="D39" s="144" t="n"/>
      <c r="E39" s="139" t="n">
        <v>20</v>
      </c>
      <c r="F39" s="162" t="n"/>
      <c r="G39" s="139" t="n">
        <v>20</v>
      </c>
      <c r="H39" s="162" t="n"/>
      <c r="I39" s="139" t="n">
        <v>20</v>
      </c>
      <c r="J39" s="162" t="n"/>
      <c r="K39" s="139" t="n">
        <v>20</v>
      </c>
      <c r="L39" s="163" t="n"/>
      <c r="M39" s="144" t="n"/>
      <c r="N39" s="144" t="n"/>
      <c r="O39" s="144" t="n"/>
      <c r="P39" s="144" t="n"/>
      <c r="Q39" s="139" t="n">
        <v>20</v>
      </c>
      <c r="R39" s="163" t="n"/>
      <c r="S39" s="144" t="n"/>
      <c r="T39" s="144" t="n"/>
      <c r="U39" s="144" t="n"/>
      <c r="V39" s="256" t="n"/>
      <c r="W39" s="121" t="n">
        <v>20</v>
      </c>
      <c r="X39" s="247" t="inlineStr">
        <is>
          <t>N-S Leaf #5</t>
        </is>
      </c>
      <c r="Y39" s="243" t="n"/>
      <c r="Z39" s="157" t="n"/>
      <c r="AA39" s="256" t="n"/>
      <c r="AB39" s="121" t="n">
        <v>20</v>
      </c>
      <c r="AC39" s="247" t="inlineStr">
        <is>
          <t>N-S Leaf #5</t>
        </is>
      </c>
      <c r="AD39" s="206" t="n"/>
      <c r="AE39" s="256" t="n"/>
      <c r="AF39" s="121" t="n">
        <v>20</v>
      </c>
      <c r="AG39" s="247" t="inlineStr">
        <is>
          <t>N-S Leaf #6</t>
        </is>
      </c>
      <c r="AH39" s="243" t="n"/>
      <c r="AI39" s="157" t="n"/>
      <c r="AJ39" s="157" t="n"/>
      <c r="AK39" s="144" t="n"/>
      <c r="AL39" s="256" t="n"/>
      <c r="AM39" s="121" t="n">
        <v>20</v>
      </c>
      <c r="AN39" s="247" t="inlineStr">
        <is>
          <t>N-S Core #3(Group 1)</t>
        </is>
      </c>
      <c r="AO39" s="243" t="n"/>
      <c r="AP39" s="256" t="n"/>
      <c r="AQ39" s="121" t="n">
        <v>20</v>
      </c>
      <c r="AR39" s="247" t="inlineStr">
        <is>
          <t>N-S Core #3(Group 2)</t>
        </is>
      </c>
      <c r="AS39" s="243" t="n"/>
      <c r="AT39" s="256" t="n"/>
      <c r="AU39" s="121" t="n">
        <v>20</v>
      </c>
      <c r="AV39" s="247" t="inlineStr">
        <is>
          <t>N-S Core #3(Group 3)</t>
        </is>
      </c>
      <c r="AW39" s="243" t="n"/>
      <c r="AX39" s="256" t="n"/>
      <c r="AY39" s="121" t="n">
        <v>20</v>
      </c>
      <c r="AZ39" s="247" t="inlineStr">
        <is>
          <t>N-S Core #3(Group 4)</t>
        </is>
      </c>
      <c r="BA39" s="243" t="n"/>
      <c r="BB39" s="144" t="n"/>
      <c r="BC39" s="256" t="n"/>
      <c r="BD39" s="121" t="n">
        <v>20</v>
      </c>
      <c r="BE39" s="247" t="inlineStr">
        <is>
          <t>STORAGE LEAF  #3</t>
        </is>
      </c>
      <c r="BF39" s="243" t="n"/>
      <c r="BG39" s="256" t="n"/>
      <c r="BH39" s="121" t="n">
        <v>20</v>
      </c>
      <c r="BI39" s="247" t="inlineStr">
        <is>
          <t>STORAGE LEAF  #3</t>
        </is>
      </c>
      <c r="BJ39" s="243" t="n"/>
      <c r="BK39" s="144" t="n"/>
      <c r="BL39" s="144" t="n"/>
      <c r="BM39" s="167" t="n"/>
      <c r="BN39" s="121" t="n">
        <v>20</v>
      </c>
      <c r="BO39" s="176" t="inlineStr">
        <is>
          <t>Compute M9825 # 1</t>
        </is>
      </c>
      <c r="BP39" s="243" t="n"/>
      <c r="BQ39" s="144" t="n"/>
    </row>
    <row r="40">
      <c r="A40" s="144" t="n"/>
      <c r="B40" s="144" t="n"/>
      <c r="C40" s="144" t="n"/>
      <c r="D40" s="144" t="n"/>
      <c r="E40" s="139" t="n">
        <v>19</v>
      </c>
      <c r="F40" s="245" t="inlineStr">
        <is>
          <t>E-W Leaf #1.A SN6600-LD Plane3</t>
        </is>
      </c>
      <c r="G40" s="139" t="n">
        <v>19</v>
      </c>
      <c r="H40" s="245" t="inlineStr">
        <is>
          <t>E-W Leaf #1.B SN6600-LD Plane7</t>
        </is>
      </c>
      <c r="I40" s="139" t="n">
        <v>19</v>
      </c>
      <c r="J40" s="245" t="inlineStr">
        <is>
          <t>E-W Leaf #3.A SN6600-LD Plane3</t>
        </is>
      </c>
      <c r="K40" s="139" t="n">
        <v>19</v>
      </c>
      <c r="L40" s="245" t="inlineStr">
        <is>
          <t>E-W Leaf #3.B SN6600-LD Plane7</t>
        </is>
      </c>
      <c r="M40" s="144" t="n"/>
      <c r="N40" s="144" t="n"/>
      <c r="O40" s="144" t="n"/>
      <c r="P40" s="144" t="n"/>
      <c r="Q40" s="139" t="n">
        <v>19</v>
      </c>
      <c r="R40" s="245" t="inlineStr">
        <is>
          <t>E-W Spine #3 SN6600-LD</t>
        </is>
      </c>
      <c r="S40" s="144" t="n"/>
      <c r="T40" s="144" t="n"/>
      <c r="U40" s="144" t="n"/>
      <c r="V40" s="256" t="n"/>
      <c r="W40" s="121" t="n">
        <v>19</v>
      </c>
      <c r="X40" s="248" t="n"/>
      <c r="Y40" s="243" t="n"/>
      <c r="Z40" s="157" t="n"/>
      <c r="AA40" s="256" t="n"/>
      <c r="AB40" s="121" t="n">
        <v>19</v>
      </c>
      <c r="AC40" s="248" t="n"/>
      <c r="AD40" s="206" t="n"/>
      <c r="AE40" s="256" t="n"/>
      <c r="AF40" s="121" t="n">
        <v>19</v>
      </c>
      <c r="AG40" s="248" t="n"/>
      <c r="AH40" s="243" t="n"/>
      <c r="AI40" s="157" t="n"/>
      <c r="AJ40" s="157" t="n"/>
      <c r="AK40" s="144" t="n"/>
      <c r="AL40" s="256" t="n"/>
      <c r="AM40" s="121" t="n">
        <v>19</v>
      </c>
      <c r="AN40" s="248" t="n"/>
      <c r="AO40" s="243" t="n"/>
      <c r="AP40" s="256" t="n"/>
      <c r="AQ40" s="121" t="n">
        <v>19</v>
      </c>
      <c r="AR40" s="248" t="n"/>
      <c r="AS40" s="243" t="n"/>
      <c r="AT40" s="256" t="n"/>
      <c r="AU40" s="121" t="n">
        <v>19</v>
      </c>
      <c r="AV40" s="248" t="n"/>
      <c r="AW40" s="243" t="n"/>
      <c r="AX40" s="256" t="n"/>
      <c r="AY40" s="121" t="n">
        <v>19</v>
      </c>
      <c r="AZ40" s="248" t="n"/>
      <c r="BA40" s="243" t="n"/>
      <c r="BB40" s="144" t="n"/>
      <c r="BC40" s="256" t="n"/>
      <c r="BD40" s="121" t="n">
        <v>19</v>
      </c>
      <c r="BE40" s="248" t="n"/>
      <c r="BF40" s="243" t="n"/>
      <c r="BG40" s="256" t="n"/>
      <c r="BH40" s="121" t="n">
        <v>19</v>
      </c>
      <c r="BI40" s="248" t="n"/>
      <c r="BJ40" s="243" t="n"/>
      <c r="BK40" s="144" t="n"/>
      <c r="BL40" s="144" t="n"/>
      <c r="BM40" s="167" t="n"/>
      <c r="BN40" s="121" t="n">
        <v>19</v>
      </c>
      <c r="BO40" s="176" t="inlineStr">
        <is>
          <t>Compute M9825 # 2</t>
        </is>
      </c>
      <c r="BP40" s="243" t="n"/>
      <c r="BQ40" s="144" t="n"/>
    </row>
    <row r="41">
      <c r="A41" s="144" t="n"/>
      <c r="B41" s="144" t="n"/>
      <c r="C41" s="144" t="n"/>
      <c r="D41" s="144" t="n"/>
      <c r="E41" s="139" t="n">
        <v>18</v>
      </c>
      <c r="F41" s="246" t="n"/>
      <c r="G41" s="139" t="n">
        <v>18</v>
      </c>
      <c r="H41" s="246" t="n"/>
      <c r="I41" s="139" t="n">
        <v>18</v>
      </c>
      <c r="J41" s="246" t="n"/>
      <c r="K41" s="139" t="n">
        <v>18</v>
      </c>
      <c r="L41" s="246" t="n"/>
      <c r="M41" s="144" t="n"/>
      <c r="N41" s="144" t="n"/>
      <c r="O41" s="144" t="n"/>
      <c r="P41" s="144" t="n"/>
      <c r="Q41" s="139" t="n">
        <v>18</v>
      </c>
      <c r="R41" s="246" t="n"/>
      <c r="S41" s="144" t="n"/>
      <c r="T41" s="144" t="n"/>
      <c r="U41" s="144" t="n"/>
      <c r="V41" s="256" t="n"/>
      <c r="W41" s="121" t="n">
        <v>18</v>
      </c>
      <c r="X41" s="162" t="n"/>
      <c r="Y41" s="243" t="n"/>
      <c r="Z41" s="157" t="n"/>
      <c r="AA41" s="256" t="n"/>
      <c r="AB41" s="121" t="n">
        <v>18</v>
      </c>
      <c r="AC41" s="162" t="n"/>
      <c r="AD41" s="206" t="n"/>
      <c r="AE41" s="256" t="n"/>
      <c r="AF41" s="121" t="n">
        <v>18</v>
      </c>
      <c r="AG41" s="162" t="n"/>
      <c r="AH41" s="243" t="n"/>
      <c r="AI41" s="157" t="n"/>
      <c r="AJ41" s="157" t="n"/>
      <c r="AK41" s="144" t="n"/>
      <c r="AL41" s="256" t="n"/>
      <c r="AM41" s="121" t="n">
        <v>18</v>
      </c>
      <c r="AN41" s="162" t="n"/>
      <c r="AO41" s="243" t="n"/>
      <c r="AP41" s="256" t="n"/>
      <c r="AQ41" s="121" t="n">
        <v>18</v>
      </c>
      <c r="AR41" s="162" t="n"/>
      <c r="AS41" s="243" t="n"/>
      <c r="AT41" s="256" t="n"/>
      <c r="AU41" s="121" t="n">
        <v>18</v>
      </c>
      <c r="AV41" s="162" t="n"/>
      <c r="AW41" s="243" t="n"/>
      <c r="AX41" s="256" t="n"/>
      <c r="AY41" s="121" t="n">
        <v>18</v>
      </c>
      <c r="AZ41" s="162" t="n"/>
      <c r="BA41" s="243" t="n"/>
      <c r="BB41" s="144" t="n"/>
      <c r="BC41" s="256" t="n"/>
      <c r="BD41" s="121" t="n">
        <v>18</v>
      </c>
      <c r="BE41" s="162" t="n"/>
      <c r="BF41" s="243" t="n"/>
      <c r="BG41" s="256" t="n"/>
      <c r="BH41" s="121" t="n">
        <v>18</v>
      </c>
      <c r="BI41" s="162" t="n"/>
      <c r="BJ41" s="243" t="n"/>
      <c r="BK41" s="144" t="n"/>
      <c r="BL41" s="144" t="n"/>
      <c r="BM41" s="167" t="n"/>
      <c r="BN41" s="121" t="n">
        <v>18</v>
      </c>
      <c r="BO41" s="176" t="inlineStr">
        <is>
          <t>Compute M9825 # 3</t>
        </is>
      </c>
      <c r="BP41" s="243" t="n"/>
      <c r="BQ41" s="144" t="n"/>
    </row>
    <row r="42">
      <c r="A42" s="144" t="n"/>
      <c r="B42" s="144" t="n"/>
      <c r="C42" s="144" t="n"/>
      <c r="D42" s="144" t="n"/>
      <c r="E42" s="139" t="n">
        <v>17</v>
      </c>
      <c r="F42" s="162" t="n"/>
      <c r="G42" s="139" t="n">
        <v>17</v>
      </c>
      <c r="H42" s="162" t="n"/>
      <c r="I42" s="139" t="n">
        <v>17</v>
      </c>
      <c r="J42" s="162" t="n"/>
      <c r="K42" s="139" t="n">
        <v>17</v>
      </c>
      <c r="L42" s="163" t="n"/>
      <c r="M42" s="144" t="n"/>
      <c r="N42" s="144" t="n"/>
      <c r="O42" s="144" t="n"/>
      <c r="P42" s="144" t="n"/>
      <c r="Q42" s="139" t="n">
        <v>17</v>
      </c>
      <c r="R42" s="163" t="n"/>
      <c r="S42" s="144" t="n"/>
      <c r="T42" s="144" t="n"/>
      <c r="U42" s="144" t="n"/>
      <c r="V42" s="256" t="n"/>
      <c r="W42" s="121" t="n">
        <v>17</v>
      </c>
      <c r="X42" s="247" t="inlineStr">
        <is>
          <t>N-S Leaf #3</t>
        </is>
      </c>
      <c r="Y42" s="243" t="n"/>
      <c r="Z42" s="157" t="n"/>
      <c r="AA42" s="256" t="n"/>
      <c r="AB42" s="121" t="n">
        <v>17</v>
      </c>
      <c r="AC42" s="247" t="inlineStr">
        <is>
          <t>N-S Leaf #3</t>
        </is>
      </c>
      <c r="AD42" s="206" t="n"/>
      <c r="AE42" s="256" t="n"/>
      <c r="AF42" s="121" t="n">
        <v>17</v>
      </c>
      <c r="AG42" s="247" t="inlineStr">
        <is>
          <t>N-S Leaf #4</t>
        </is>
      </c>
      <c r="AH42" s="243" t="n"/>
      <c r="AI42" s="157" t="n"/>
      <c r="AJ42" s="157" t="n"/>
      <c r="AK42" s="144" t="n"/>
      <c r="AL42" s="256" t="n"/>
      <c r="AM42" s="121" t="n">
        <v>17</v>
      </c>
      <c r="AN42" s="247" t="inlineStr">
        <is>
          <t>N-S Core #2(Group 1)</t>
        </is>
      </c>
      <c r="AO42" s="243" t="n"/>
      <c r="AP42" s="256" t="n"/>
      <c r="AQ42" s="121" t="n">
        <v>17</v>
      </c>
      <c r="AR42" s="247" t="inlineStr">
        <is>
          <t>N-S Core #2(Group 2)</t>
        </is>
      </c>
      <c r="AS42" s="243" t="n"/>
      <c r="AT42" s="256" t="n"/>
      <c r="AU42" s="121" t="n">
        <v>17</v>
      </c>
      <c r="AV42" s="247" t="inlineStr">
        <is>
          <t>N-S Core #2(Group 3)</t>
        </is>
      </c>
      <c r="AW42" s="243" t="n"/>
      <c r="AX42" s="256" t="n"/>
      <c r="AY42" s="121" t="n">
        <v>17</v>
      </c>
      <c r="AZ42" s="247" t="inlineStr">
        <is>
          <t>N-S Core #2(Group 4)</t>
        </is>
      </c>
      <c r="BA42" s="243" t="n"/>
      <c r="BB42" s="144" t="n"/>
      <c r="BC42" s="256" t="n"/>
      <c r="BD42" s="121" t="n">
        <v>17</v>
      </c>
      <c r="BE42" s="247" t="inlineStr">
        <is>
          <t>STORAGE Leaf #2</t>
        </is>
      </c>
      <c r="BF42" s="243" t="n"/>
      <c r="BG42" s="256" t="n"/>
      <c r="BH42" s="121" t="n">
        <v>17</v>
      </c>
      <c r="BI42" s="247" t="inlineStr">
        <is>
          <t>STORAGE Leaf #2</t>
        </is>
      </c>
      <c r="BJ42" s="243" t="n"/>
      <c r="BK42" s="144" t="n"/>
      <c r="BL42" s="144" t="n"/>
      <c r="BM42" s="167" t="n"/>
      <c r="BN42" s="121" t="n">
        <v>17</v>
      </c>
      <c r="BO42" s="176" t="inlineStr">
        <is>
          <t>Compute M9825 # 4</t>
        </is>
      </c>
      <c r="BP42" s="243" t="n"/>
      <c r="BQ42" s="144" t="n"/>
    </row>
    <row r="43">
      <c r="A43" s="144" t="n"/>
      <c r="B43" s="144" t="n"/>
      <c r="C43" s="144" t="n"/>
      <c r="D43" s="144" t="n"/>
      <c r="E43" s="139" t="n">
        <v>16</v>
      </c>
      <c r="F43" s="245" t="inlineStr">
        <is>
          <t>E-W Leaf #1.A SN6600-LD Plane2</t>
        </is>
      </c>
      <c r="G43" s="139" t="n">
        <v>16</v>
      </c>
      <c r="H43" s="245" t="inlineStr">
        <is>
          <t>E-W Leaf #1.B SN6600-LD Plane6</t>
        </is>
      </c>
      <c r="I43" s="139" t="n">
        <v>16</v>
      </c>
      <c r="J43" s="245" t="inlineStr">
        <is>
          <t>E-W Leaf #3.A SN6600-LD Plane2</t>
        </is>
      </c>
      <c r="K43" s="139" t="n">
        <v>16</v>
      </c>
      <c r="L43" s="245" t="inlineStr">
        <is>
          <t>E-W Leaf #3.B SN6600-LD Plane6</t>
        </is>
      </c>
      <c r="M43" s="144" t="n"/>
      <c r="N43" s="144" t="n"/>
      <c r="O43" s="144" t="n"/>
      <c r="P43" s="144" t="n"/>
      <c r="Q43" s="139" t="n">
        <v>16</v>
      </c>
      <c r="R43" s="245" t="inlineStr">
        <is>
          <t>E-W Spine #2 SN6600-LD</t>
        </is>
      </c>
      <c r="S43" s="144" t="n"/>
      <c r="T43" s="144" t="n"/>
      <c r="U43" s="144" t="n"/>
      <c r="V43" s="256" t="n"/>
      <c r="W43" s="121" t="n">
        <v>16</v>
      </c>
      <c r="X43" s="248" t="n"/>
      <c r="Y43" s="243" t="n"/>
      <c r="Z43" s="157" t="n"/>
      <c r="AA43" s="256" t="n"/>
      <c r="AB43" s="121" t="n">
        <v>16</v>
      </c>
      <c r="AC43" s="248" t="n"/>
      <c r="AD43" s="206" t="n"/>
      <c r="AE43" s="256" t="n"/>
      <c r="AF43" s="121" t="n">
        <v>16</v>
      </c>
      <c r="AG43" s="248" t="n"/>
      <c r="AH43" s="243" t="n"/>
      <c r="AI43" s="157" t="n"/>
      <c r="AJ43" s="157" t="n"/>
      <c r="AK43" s="144" t="n"/>
      <c r="AL43" s="256" t="n"/>
      <c r="AM43" s="121" t="n">
        <v>16</v>
      </c>
      <c r="AN43" s="248" t="n"/>
      <c r="AO43" s="243" t="n"/>
      <c r="AP43" s="256" t="n"/>
      <c r="AQ43" s="121" t="n">
        <v>16</v>
      </c>
      <c r="AR43" s="248" t="n"/>
      <c r="AS43" s="243" t="n"/>
      <c r="AT43" s="256" t="n"/>
      <c r="AU43" s="121" t="n">
        <v>16</v>
      </c>
      <c r="AV43" s="248" t="n"/>
      <c r="AW43" s="243" t="n"/>
      <c r="AX43" s="256" t="n"/>
      <c r="AY43" s="121" t="n">
        <v>16</v>
      </c>
      <c r="AZ43" s="248" t="n"/>
      <c r="BA43" s="243" t="n"/>
      <c r="BB43" s="144" t="n"/>
      <c r="BC43" s="256" t="n"/>
      <c r="BD43" s="121" t="n">
        <v>16</v>
      </c>
      <c r="BE43" s="248" t="n"/>
      <c r="BF43" s="243" t="n"/>
      <c r="BG43" s="256" t="n"/>
      <c r="BH43" s="121" t="n">
        <v>16</v>
      </c>
      <c r="BI43" s="248" t="n"/>
      <c r="BJ43" s="243" t="n"/>
      <c r="BK43" s="144" t="n"/>
      <c r="BL43" s="144" t="n"/>
      <c r="BM43" s="167" t="n"/>
      <c r="BN43" s="121" t="n">
        <v>16</v>
      </c>
      <c r="BO43" s="176" t="inlineStr">
        <is>
          <t>Compute M9825 # 5</t>
        </is>
      </c>
      <c r="BP43" s="243" t="n"/>
      <c r="BQ43" s="144" t="n"/>
    </row>
    <row r="44">
      <c r="A44" s="144" t="n"/>
      <c r="B44" s="144" t="n"/>
      <c r="C44" s="144" t="n"/>
      <c r="D44" s="144" t="n"/>
      <c r="E44" s="139" t="n">
        <v>15</v>
      </c>
      <c r="F44" s="246" t="n"/>
      <c r="G44" s="139" t="n">
        <v>15</v>
      </c>
      <c r="H44" s="246" t="n"/>
      <c r="I44" s="139" t="n">
        <v>15</v>
      </c>
      <c r="J44" s="246" t="n"/>
      <c r="K44" s="139" t="n">
        <v>15</v>
      </c>
      <c r="L44" s="246" t="n"/>
      <c r="M44" s="144" t="n"/>
      <c r="N44" s="144" t="n"/>
      <c r="O44" s="144" t="n"/>
      <c r="P44" s="144" t="n"/>
      <c r="Q44" s="139" t="n">
        <v>15</v>
      </c>
      <c r="R44" s="246" t="n"/>
      <c r="S44" s="144" t="n"/>
      <c r="T44" s="144" t="n"/>
      <c r="U44" s="144" t="n"/>
      <c r="V44" s="256" t="n"/>
      <c r="W44" s="121" t="n">
        <v>15</v>
      </c>
      <c r="X44" s="162" t="n"/>
      <c r="Y44" s="243" t="n"/>
      <c r="Z44" s="157" t="n"/>
      <c r="AA44" s="256" t="n"/>
      <c r="AB44" s="121" t="n">
        <v>15</v>
      </c>
      <c r="AC44" s="162" t="n"/>
      <c r="AD44" s="206" t="n"/>
      <c r="AE44" s="256" t="n"/>
      <c r="AF44" s="121" t="n">
        <v>15</v>
      </c>
      <c r="AG44" s="162" t="n"/>
      <c r="AH44" s="243" t="n"/>
      <c r="AI44" s="157" t="n"/>
      <c r="AJ44" s="157" t="n"/>
      <c r="AK44" s="144" t="n"/>
      <c r="AL44" s="256" t="n"/>
      <c r="AM44" s="121" t="n">
        <v>15</v>
      </c>
      <c r="AN44" s="162" t="n"/>
      <c r="AO44" s="243" t="n"/>
      <c r="AP44" s="256" t="n"/>
      <c r="AQ44" s="121" t="n">
        <v>15</v>
      </c>
      <c r="AR44" s="162" t="n"/>
      <c r="AS44" s="243" t="n"/>
      <c r="AT44" s="256" t="n"/>
      <c r="AU44" s="121" t="n">
        <v>15</v>
      </c>
      <c r="AV44" s="162" t="n"/>
      <c r="AW44" s="243" t="n"/>
      <c r="AX44" s="256" t="n"/>
      <c r="AY44" s="121" t="n">
        <v>15</v>
      </c>
      <c r="AZ44" s="162" t="n"/>
      <c r="BA44" s="243" t="n"/>
      <c r="BB44" s="144" t="n"/>
      <c r="BC44" s="256" t="n"/>
      <c r="BD44" s="121" t="n">
        <v>15</v>
      </c>
      <c r="BE44" s="162" t="n"/>
      <c r="BF44" s="243" t="n"/>
      <c r="BG44" s="256" t="n"/>
      <c r="BH44" s="121" t="n">
        <v>15</v>
      </c>
      <c r="BI44" s="162" t="n"/>
      <c r="BJ44" s="243" t="n"/>
      <c r="BK44" s="144" t="n"/>
      <c r="BL44" s="144" t="n"/>
      <c r="BM44" s="167" t="n"/>
      <c r="BN44" s="121" t="n">
        <v>15</v>
      </c>
      <c r="BO44" s="176" t="inlineStr">
        <is>
          <t>Compute M9825 # 6</t>
        </is>
      </c>
      <c r="BP44" s="243" t="n"/>
      <c r="BQ44" s="144" t="n"/>
    </row>
    <row r="45">
      <c r="A45" s="144" t="n"/>
      <c r="B45" s="144" t="n"/>
      <c r="C45" s="144" t="n"/>
      <c r="D45" s="144" t="n"/>
      <c r="E45" s="139" t="n">
        <v>14</v>
      </c>
      <c r="F45" s="162" t="n"/>
      <c r="G45" s="139" t="n">
        <v>14</v>
      </c>
      <c r="H45" s="162" t="n"/>
      <c r="I45" s="139" t="n">
        <v>14</v>
      </c>
      <c r="J45" s="162" t="n"/>
      <c r="K45" s="139" t="n">
        <v>14</v>
      </c>
      <c r="L45" s="163" t="n"/>
      <c r="M45" s="144" t="n"/>
      <c r="N45" s="144" t="n"/>
      <c r="O45" s="144" t="n"/>
      <c r="P45" s="144" t="n"/>
      <c r="Q45" s="139" t="n">
        <v>14</v>
      </c>
      <c r="R45" s="163" t="n"/>
      <c r="S45" s="144" t="n"/>
      <c r="T45" s="144" t="n"/>
      <c r="U45" s="144" t="n"/>
      <c r="V45" s="256" t="n"/>
      <c r="W45" s="121" t="n">
        <v>14</v>
      </c>
      <c r="X45" s="247" t="inlineStr">
        <is>
          <t>N-S Leaf #1</t>
        </is>
      </c>
      <c r="Y45" s="243" t="n"/>
      <c r="Z45" s="157" t="n"/>
      <c r="AA45" s="256" t="n"/>
      <c r="AB45" s="121" t="n">
        <v>14</v>
      </c>
      <c r="AC45" s="247" t="inlineStr">
        <is>
          <t>N-S Leaf #1</t>
        </is>
      </c>
      <c r="AD45" s="206" t="n"/>
      <c r="AE45" s="256" t="n"/>
      <c r="AF45" s="121" t="n">
        <v>14</v>
      </c>
      <c r="AG45" s="247" t="inlineStr">
        <is>
          <t>N-S Leaf #2</t>
        </is>
      </c>
      <c r="AH45" s="243" t="n"/>
      <c r="AI45" s="157" t="n"/>
      <c r="AJ45" s="157" t="n"/>
      <c r="AK45" s="144" t="n"/>
      <c r="AL45" s="256" t="n"/>
      <c r="AM45" s="121" t="n">
        <v>14</v>
      </c>
      <c r="AN45" s="247" t="inlineStr">
        <is>
          <t>N-S Core #1(Group 1)</t>
        </is>
      </c>
      <c r="AO45" s="243" t="n"/>
      <c r="AP45" s="256" t="n"/>
      <c r="AQ45" s="121" t="n">
        <v>14</v>
      </c>
      <c r="AR45" s="247" t="inlineStr">
        <is>
          <t>N-S Core #1(Group 2)</t>
        </is>
      </c>
      <c r="AS45" s="243" t="n"/>
      <c r="AT45" s="256" t="n"/>
      <c r="AU45" s="121" t="n">
        <v>14</v>
      </c>
      <c r="AV45" s="247" t="inlineStr">
        <is>
          <t>N-S Core #1(Group 3)</t>
        </is>
      </c>
      <c r="AW45" s="243" t="n"/>
      <c r="AX45" s="256" t="n"/>
      <c r="AY45" s="121" t="n">
        <v>14</v>
      </c>
      <c r="AZ45" s="247" t="inlineStr">
        <is>
          <t>N-S Core #1(Group 4)</t>
        </is>
      </c>
      <c r="BA45" s="243" t="n"/>
      <c r="BB45" s="144" t="n"/>
      <c r="BC45" s="256" t="n"/>
      <c r="BD45" s="121" t="n">
        <v>14</v>
      </c>
      <c r="BE45" s="247" t="inlineStr">
        <is>
          <t>STORAGE Leaf #1</t>
        </is>
      </c>
      <c r="BF45" s="243" t="n"/>
      <c r="BG45" s="256" t="n"/>
      <c r="BH45" s="121" t="n">
        <v>14</v>
      </c>
      <c r="BI45" s="247" t="inlineStr">
        <is>
          <t>STORAGE Leaf #1</t>
        </is>
      </c>
      <c r="BJ45" s="243" t="n"/>
      <c r="BK45" s="144" t="n"/>
      <c r="BL45" s="144" t="n"/>
      <c r="BM45" s="167" t="n"/>
      <c r="BN45" s="121" t="n">
        <v>14</v>
      </c>
      <c r="BO45" s="176" t="inlineStr">
        <is>
          <t>Compute M9825 # 7</t>
        </is>
      </c>
      <c r="BP45" s="243" t="n"/>
      <c r="BQ45" s="144" t="n"/>
    </row>
    <row r="46">
      <c r="A46" s="144" t="n"/>
      <c r="B46" s="144" t="n"/>
      <c r="C46" s="144" t="n"/>
      <c r="D46" s="144" t="n"/>
      <c r="E46" s="139" t="n">
        <v>13</v>
      </c>
      <c r="F46" s="242" t="inlineStr">
        <is>
          <t>E-W Leaf #1.A SN6600-LD Plane1</t>
        </is>
      </c>
      <c r="G46" s="139" t="n">
        <v>13</v>
      </c>
      <c r="H46" s="242" t="inlineStr">
        <is>
          <t>E-W Leaf #1.B SN6600-LD Plane5</t>
        </is>
      </c>
      <c r="I46" s="139" t="n">
        <v>13</v>
      </c>
      <c r="J46" s="242" t="inlineStr">
        <is>
          <t>E-W Leaf #3.A SN6600-LD Plane1</t>
        </is>
      </c>
      <c r="K46" s="139" t="n">
        <v>13</v>
      </c>
      <c r="L46" s="242" t="inlineStr">
        <is>
          <t>E-W Leaf #3.B SN6600-LD Plane5</t>
        </is>
      </c>
      <c r="M46" s="144" t="n"/>
      <c r="N46" s="144" t="n"/>
      <c r="O46" s="144" t="n"/>
      <c r="P46" s="144" t="n"/>
      <c r="Q46" s="139" t="n">
        <v>13</v>
      </c>
      <c r="R46" s="242" t="inlineStr">
        <is>
          <t>E-W Spine #1 SN6600-LD</t>
        </is>
      </c>
      <c r="S46" s="144" t="n"/>
      <c r="T46" s="144" t="n"/>
      <c r="U46" s="144" t="n"/>
      <c r="V46" s="256" t="n"/>
      <c r="W46" s="121" t="n">
        <v>13</v>
      </c>
      <c r="X46" s="248" t="n"/>
      <c r="Y46" s="243" t="n"/>
      <c r="Z46" s="157" t="n"/>
      <c r="AA46" s="256" t="n"/>
      <c r="AB46" s="121" t="n">
        <v>13</v>
      </c>
      <c r="AC46" s="248" t="n"/>
      <c r="AD46" s="206" t="n"/>
      <c r="AE46" s="256" t="n"/>
      <c r="AF46" s="121" t="n">
        <v>13</v>
      </c>
      <c r="AG46" s="248" t="n"/>
      <c r="AH46" s="243" t="n"/>
      <c r="AI46" s="157" t="n"/>
      <c r="AJ46" s="157" t="n"/>
      <c r="AK46" s="144" t="n"/>
      <c r="AL46" s="256" t="n"/>
      <c r="AM46" s="121" t="n">
        <v>13</v>
      </c>
      <c r="AN46" s="248" t="n"/>
      <c r="AO46" s="243" t="n"/>
      <c r="AP46" s="256" t="n"/>
      <c r="AQ46" s="121" t="n">
        <v>13</v>
      </c>
      <c r="AR46" s="248" t="n"/>
      <c r="AS46" s="243" t="n"/>
      <c r="AT46" s="256" t="n"/>
      <c r="AU46" s="121" t="n">
        <v>13</v>
      </c>
      <c r="AV46" s="248" t="n"/>
      <c r="AW46" s="243" t="n"/>
      <c r="AX46" s="256" t="n"/>
      <c r="AY46" s="121" t="n">
        <v>13</v>
      </c>
      <c r="AZ46" s="248" t="n"/>
      <c r="BA46" s="243" t="n"/>
      <c r="BB46" s="144" t="n"/>
      <c r="BC46" s="256" t="n"/>
      <c r="BD46" s="121" t="n">
        <v>13</v>
      </c>
      <c r="BE46" s="248" t="n"/>
      <c r="BF46" s="243" t="n"/>
      <c r="BG46" s="256" t="n"/>
      <c r="BH46" s="121" t="n">
        <v>13</v>
      </c>
      <c r="BI46" s="248" t="n"/>
      <c r="BJ46" s="243" t="n"/>
      <c r="BK46" s="144" t="n"/>
      <c r="BL46" s="144" t="n"/>
      <c r="BM46" s="167" t="n"/>
      <c r="BN46" s="121" t="n">
        <v>13</v>
      </c>
      <c r="BO46" s="176" t="inlineStr">
        <is>
          <t>Compute M9825 # 8</t>
        </is>
      </c>
      <c r="BP46" s="243" t="n"/>
      <c r="BQ46" s="144" t="n"/>
    </row>
    <row r="47">
      <c r="A47" s="144" t="n"/>
      <c r="B47" s="144" t="n"/>
      <c r="C47" s="144" t="n"/>
      <c r="D47" s="144" t="n"/>
      <c r="E47" s="139" t="n">
        <v>12</v>
      </c>
      <c r="F47" s="243" t="n"/>
      <c r="G47" s="139" t="n">
        <v>12</v>
      </c>
      <c r="H47" s="243" t="n"/>
      <c r="I47" s="139" t="n">
        <v>12</v>
      </c>
      <c r="J47" s="243" t="n"/>
      <c r="K47" s="139" t="n">
        <v>12</v>
      </c>
      <c r="L47" s="243" t="n"/>
      <c r="M47" s="144" t="n"/>
      <c r="N47" s="144" t="n"/>
      <c r="O47" s="144" t="n"/>
      <c r="P47" s="144" t="n"/>
      <c r="Q47" s="139" t="n">
        <v>12</v>
      </c>
      <c r="R47" s="243" t="n"/>
      <c r="S47" s="144" t="n"/>
      <c r="T47" s="144" t="n"/>
      <c r="U47" s="144" t="n"/>
      <c r="V47" s="256" t="n"/>
      <c r="W47" s="121" t="n">
        <v>12</v>
      </c>
      <c r="X47" s="162" t="n"/>
      <c r="Y47" s="243" t="n"/>
      <c r="Z47" s="157" t="n"/>
      <c r="AA47" s="256" t="n"/>
      <c r="AB47" s="121" t="n">
        <v>12</v>
      </c>
      <c r="AC47" s="162" t="n"/>
      <c r="AD47" s="206" t="n"/>
      <c r="AE47" s="256" t="n"/>
      <c r="AF47" s="121" t="n">
        <v>12</v>
      </c>
      <c r="AG47" s="162" t="n"/>
      <c r="AH47" s="243" t="n"/>
      <c r="AI47" s="157" t="n"/>
      <c r="AJ47" s="157" t="n"/>
      <c r="AK47" s="144" t="n"/>
      <c r="AL47" s="256" t="n"/>
      <c r="AM47" s="121" t="n">
        <v>12</v>
      </c>
      <c r="AN47" s="162" t="n"/>
      <c r="AO47" s="243" t="n"/>
      <c r="AP47" s="256" t="n"/>
      <c r="AQ47" s="121" t="n">
        <v>12</v>
      </c>
      <c r="AR47" s="162" t="n"/>
      <c r="AS47" s="243" t="n"/>
      <c r="AT47" s="256" t="n"/>
      <c r="AU47" s="121" t="n">
        <v>12</v>
      </c>
      <c r="AV47" s="162" t="n"/>
      <c r="AW47" s="243" t="n"/>
      <c r="AX47" s="256" t="n"/>
      <c r="AY47" s="121" t="n">
        <v>12</v>
      </c>
      <c r="AZ47" s="162" t="n"/>
      <c r="BA47" s="243" t="n"/>
      <c r="BB47" s="144" t="n"/>
      <c r="BC47" s="256" t="n"/>
      <c r="BD47" s="121" t="n">
        <v>12</v>
      </c>
      <c r="BE47" s="162" t="n"/>
      <c r="BF47" s="243" t="n"/>
      <c r="BG47" s="256" t="n"/>
      <c r="BH47" s="121" t="n">
        <v>12</v>
      </c>
      <c r="BI47" s="162" t="n"/>
      <c r="BJ47" s="243" t="n"/>
      <c r="BK47" s="144" t="n"/>
      <c r="BL47" s="144" t="n"/>
      <c r="BM47" s="167" t="n"/>
      <c r="BN47" s="121" t="n">
        <v>12</v>
      </c>
      <c r="BO47" s="176" t="inlineStr">
        <is>
          <t>Compute M9825 # 9</t>
        </is>
      </c>
      <c r="BP47" s="243" t="n"/>
      <c r="BQ47" s="144" t="n"/>
    </row>
    <row r="48">
      <c r="A48" s="144" t="n"/>
      <c r="B48" s="144" t="n"/>
      <c r="C48" s="144" t="n"/>
      <c r="D48" s="144" t="n"/>
      <c r="E48" s="139" t="n">
        <v>11</v>
      </c>
      <c r="F48" s="172" t="inlineStr">
        <is>
          <t>Cross-Brace &amp; Drip Pan</t>
        </is>
      </c>
      <c r="G48" s="139" t="n">
        <v>11</v>
      </c>
      <c r="H48" s="172" t="inlineStr">
        <is>
          <t>Cross-Brace &amp; Drip Pan</t>
        </is>
      </c>
      <c r="I48" s="139" t="n">
        <v>11</v>
      </c>
      <c r="J48" s="172" t="inlineStr">
        <is>
          <t>Cross-Brace &amp; Drip Pan</t>
        </is>
      </c>
      <c r="K48" s="139" t="n">
        <v>11</v>
      </c>
      <c r="L48" s="173" t="inlineStr">
        <is>
          <t>Cross-Brace &amp; Drip Pan</t>
        </is>
      </c>
      <c r="M48" s="144" t="n"/>
      <c r="N48" s="144" t="n"/>
      <c r="O48" s="144" t="n"/>
      <c r="P48" s="144" t="n"/>
      <c r="Q48" s="139" t="n">
        <v>11</v>
      </c>
      <c r="R48" s="173" t="inlineStr">
        <is>
          <t>Cross-Brace &amp; Drip Pan</t>
        </is>
      </c>
      <c r="S48" s="144" t="n"/>
      <c r="T48" s="144" t="n"/>
      <c r="U48" s="144" t="n"/>
      <c r="V48" s="256" t="n"/>
      <c r="W48" s="121" t="n">
        <v>11</v>
      </c>
      <c r="X48" s="247" t="inlineStr">
        <is>
          <t>CMX Leaf #3</t>
        </is>
      </c>
      <c r="Y48" s="243" t="n"/>
      <c r="Z48" s="157" t="n"/>
      <c r="AA48" s="256" t="n"/>
      <c r="AB48" s="121" t="n">
        <v>11</v>
      </c>
      <c r="AC48" s="247" t="inlineStr">
        <is>
          <t>CMX Leaf #3</t>
        </is>
      </c>
      <c r="AD48" s="206" t="n"/>
      <c r="AE48" s="256" t="n"/>
      <c r="AF48" s="121" t="n">
        <v>11</v>
      </c>
      <c r="AG48" s="247" t="inlineStr">
        <is>
          <t>CMX  Leaf #4</t>
        </is>
      </c>
      <c r="AH48" s="243" t="n"/>
      <c r="AI48" s="157" t="n"/>
      <c r="AJ48" s="157" t="n"/>
      <c r="AK48" s="144" t="n"/>
      <c r="AL48" s="256" t="n"/>
      <c r="AM48" s="121" t="n">
        <v>11</v>
      </c>
      <c r="AN48" s="121" t="n"/>
      <c r="AO48" s="243" t="n"/>
      <c r="AP48" s="256" t="n"/>
      <c r="AQ48" s="121" t="n">
        <v>11</v>
      </c>
      <c r="AR48" s="121" t="n"/>
      <c r="AS48" s="243" t="n"/>
      <c r="AT48" s="256" t="n"/>
      <c r="AU48" s="121" t="n">
        <v>11</v>
      </c>
      <c r="AV48" s="121" t="n"/>
      <c r="AW48" s="243" t="n"/>
      <c r="AX48" s="256" t="n"/>
      <c r="AY48" s="121" t="n">
        <v>11</v>
      </c>
      <c r="AZ48" s="121" t="n"/>
      <c r="BA48" s="243" t="n"/>
      <c r="BB48" s="144" t="n"/>
      <c r="BC48" s="256" t="n"/>
      <c r="BD48" s="121" t="n">
        <v>11</v>
      </c>
      <c r="BE48" s="121" t="n"/>
      <c r="BF48" s="243" t="n"/>
      <c r="BG48" s="256" t="n"/>
      <c r="BH48" s="121" t="n">
        <v>11</v>
      </c>
      <c r="BI48" s="121" t="n"/>
      <c r="BJ48" s="243" t="n"/>
      <c r="BK48" s="144" t="n"/>
      <c r="BL48" s="144" t="n"/>
      <c r="BM48" s="167" t="n"/>
      <c r="BN48" s="121" t="n">
        <v>11</v>
      </c>
      <c r="BO48" s="176" t="inlineStr">
        <is>
          <t>Compute M9825 # 10</t>
        </is>
      </c>
      <c r="BP48" s="243" t="n"/>
      <c r="BQ48" s="144" t="n"/>
    </row>
    <row r="49">
      <c r="A49" s="144" t="n"/>
      <c r="B49" s="144" t="n"/>
      <c r="C49" s="144" t="n"/>
      <c r="D49" s="144" t="n"/>
      <c r="E49" s="139" t="n">
        <v>10</v>
      </c>
      <c r="F49" s="144" t="n"/>
      <c r="G49" s="139" t="n">
        <v>10</v>
      </c>
      <c r="H49" s="144" t="n"/>
      <c r="I49" s="139" t="n">
        <v>10</v>
      </c>
      <c r="J49" s="144" t="n"/>
      <c r="K49" s="139" t="n">
        <v>10</v>
      </c>
      <c r="L49" s="144" t="n"/>
      <c r="M49" s="144" t="n"/>
      <c r="N49" s="144" t="n"/>
      <c r="O49" s="144" t="n"/>
      <c r="P49" s="144" t="n"/>
      <c r="Q49" s="139" t="n">
        <v>10</v>
      </c>
      <c r="R49" s="144" t="n"/>
      <c r="S49" s="144" t="n"/>
      <c r="T49" s="144" t="n"/>
      <c r="U49" s="144" t="n"/>
      <c r="V49" s="256" t="n"/>
      <c r="W49" s="121" t="n">
        <v>10</v>
      </c>
      <c r="X49" s="248" t="n"/>
      <c r="Y49" s="243" t="n"/>
      <c r="Z49" s="157" t="n"/>
      <c r="AA49" s="256" t="n"/>
      <c r="AB49" s="121" t="n">
        <v>10</v>
      </c>
      <c r="AC49" s="248" t="n"/>
      <c r="AD49" s="206" t="n"/>
      <c r="AE49" s="256" t="n"/>
      <c r="AF49" s="121" t="n">
        <v>10</v>
      </c>
      <c r="AG49" s="248" t="n"/>
      <c r="AH49" s="243" t="n"/>
      <c r="AI49" s="157" t="n"/>
      <c r="AJ49" s="157" t="n"/>
      <c r="AK49" s="144" t="n"/>
      <c r="AL49" s="256" t="n"/>
      <c r="AM49" s="121" t="n">
        <v>10</v>
      </c>
      <c r="AN49" s="241" t="n"/>
      <c r="AO49" s="243" t="n"/>
      <c r="AP49" s="256" t="n"/>
      <c r="AQ49" s="121" t="n">
        <v>10</v>
      </c>
      <c r="AR49" s="241" t="n"/>
      <c r="AS49" s="243" t="n"/>
      <c r="AT49" s="256" t="n"/>
      <c r="AU49" s="121" t="n">
        <v>10</v>
      </c>
      <c r="AV49" s="241" t="n"/>
      <c r="AW49" s="243" t="n"/>
      <c r="AX49" s="256" t="n"/>
      <c r="AY49" s="121" t="n">
        <v>10</v>
      </c>
      <c r="AZ49" s="241" t="n"/>
      <c r="BA49" s="243" t="n"/>
      <c r="BB49" s="144" t="n"/>
      <c r="BC49" s="256" t="n"/>
      <c r="BD49" s="121" t="n">
        <v>10</v>
      </c>
      <c r="BE49" s="241" t="n"/>
      <c r="BF49" s="243" t="n"/>
      <c r="BG49" s="256" t="n"/>
      <c r="BH49" s="121" t="n">
        <v>10</v>
      </c>
      <c r="BI49" s="241" t="n"/>
      <c r="BJ49" s="243" t="n"/>
      <c r="BK49" s="144" t="n"/>
      <c r="BL49" s="144" t="n"/>
      <c r="BM49" s="167" t="n"/>
      <c r="BN49" s="121" t="n">
        <v>10</v>
      </c>
      <c r="BO49" s="176" t="inlineStr">
        <is>
          <t>Compute M9825 # 11</t>
        </is>
      </c>
      <c r="BP49" s="243" t="n"/>
      <c r="BQ49" s="144" t="n"/>
    </row>
    <row r="50">
      <c r="A50" s="144" t="n"/>
      <c r="B50" s="144" t="n"/>
      <c r="C50" s="144" t="n"/>
      <c r="D50" s="144" t="n"/>
      <c r="E50" s="139" t="n">
        <v>9</v>
      </c>
      <c r="F50" s="168" t="inlineStr">
        <is>
          <t>1RU POWER SHELF</t>
        </is>
      </c>
      <c r="G50" s="139" t="n">
        <v>9</v>
      </c>
      <c r="H50" s="168" t="inlineStr">
        <is>
          <t>1RU POWER SHELF</t>
        </is>
      </c>
      <c r="I50" s="139" t="n">
        <v>9</v>
      </c>
      <c r="J50" s="168" t="inlineStr">
        <is>
          <t>1RU POWER SHELF</t>
        </is>
      </c>
      <c r="K50" s="139" t="n">
        <v>9</v>
      </c>
      <c r="L50" s="169" t="inlineStr">
        <is>
          <t>1RU POWER SHELF</t>
        </is>
      </c>
      <c r="M50" s="144" t="n"/>
      <c r="N50" s="144" t="n"/>
      <c r="O50" s="144" t="n"/>
      <c r="P50" s="144" t="n"/>
      <c r="Q50" s="139" t="n">
        <v>9</v>
      </c>
      <c r="R50" s="169" t="inlineStr">
        <is>
          <t>1RU POWER SHELF</t>
        </is>
      </c>
      <c r="S50" s="144" t="n"/>
      <c r="T50" s="144" t="n"/>
      <c r="U50" s="144" t="n"/>
      <c r="V50" s="256" t="n"/>
      <c r="W50" s="121" t="n">
        <v>9</v>
      </c>
      <c r="X50" s="162" t="n"/>
      <c r="Y50" s="243" t="n"/>
      <c r="Z50" s="157" t="n"/>
      <c r="AA50" s="256" t="n"/>
      <c r="AB50" s="121" t="n">
        <v>9</v>
      </c>
      <c r="AC50" s="162" t="n"/>
      <c r="AD50" s="206" t="n"/>
      <c r="AE50" s="256" t="n"/>
      <c r="AF50" s="121" t="n">
        <v>9</v>
      </c>
      <c r="AG50" s="162" t="n"/>
      <c r="AH50" s="243" t="n"/>
      <c r="AI50" s="157" t="n"/>
      <c r="AJ50" s="157" t="n"/>
      <c r="AK50" s="144" t="n"/>
      <c r="AL50" s="256" t="n"/>
      <c r="AM50" s="121" t="n">
        <v>9</v>
      </c>
      <c r="AN50" s="162" t="n"/>
      <c r="AO50" s="243" t="n"/>
      <c r="AP50" s="256" t="n"/>
      <c r="AQ50" s="121" t="n">
        <v>9</v>
      </c>
      <c r="AR50" s="162" t="n"/>
      <c r="AS50" s="243" t="n"/>
      <c r="AT50" s="256" t="n"/>
      <c r="AU50" s="121" t="n">
        <v>9</v>
      </c>
      <c r="AV50" s="162" t="n"/>
      <c r="AW50" s="243" t="n"/>
      <c r="AX50" s="256" t="n"/>
      <c r="AY50" s="121" t="n">
        <v>9</v>
      </c>
      <c r="AZ50" s="162" t="n"/>
      <c r="BA50" s="243" t="n"/>
      <c r="BB50" s="144" t="n"/>
      <c r="BC50" s="256" t="n"/>
      <c r="BD50" s="121" t="n">
        <v>9</v>
      </c>
      <c r="BE50" s="162" t="n"/>
      <c r="BF50" s="243" t="n"/>
      <c r="BG50" s="256" t="n"/>
      <c r="BH50" s="121" t="n">
        <v>9</v>
      </c>
      <c r="BI50" s="162" t="n"/>
      <c r="BJ50" s="243" t="n"/>
      <c r="BK50" s="144" t="n"/>
      <c r="BL50" s="144" t="n"/>
      <c r="BM50" s="167" t="n"/>
      <c r="BN50" s="121" t="n">
        <v>9</v>
      </c>
      <c r="BO50" s="176" t="inlineStr">
        <is>
          <t>Compute M9825 # 12</t>
        </is>
      </c>
      <c r="BP50" s="243" t="n"/>
      <c r="BQ50" s="144" t="n"/>
    </row>
    <row r="51">
      <c r="A51" s="144" t="n"/>
      <c r="B51" s="144" t="n"/>
      <c r="C51" s="144" t="n"/>
      <c r="D51" s="144" t="n"/>
      <c r="E51" s="139" t="n">
        <v>8</v>
      </c>
      <c r="F51" s="162" t="n"/>
      <c r="G51" s="139" t="n">
        <v>8</v>
      </c>
      <c r="H51" s="162" t="n"/>
      <c r="I51" s="139" t="n">
        <v>8</v>
      </c>
      <c r="J51" s="162" t="n"/>
      <c r="K51" s="139" t="n">
        <v>8</v>
      </c>
      <c r="L51" s="163" t="n"/>
      <c r="M51" s="144" t="n"/>
      <c r="N51" s="144" t="n"/>
      <c r="O51" s="144" t="n"/>
      <c r="P51" s="144" t="n"/>
      <c r="Q51" s="139" t="n">
        <v>8</v>
      </c>
      <c r="R51" s="163" t="n"/>
      <c r="S51" s="144" t="n"/>
      <c r="T51" s="144" t="n"/>
      <c r="U51" s="144" t="n"/>
      <c r="V51" s="256" t="n"/>
      <c r="W51" s="121" t="n">
        <v>8</v>
      </c>
      <c r="X51" s="247" t="inlineStr">
        <is>
          <t>CMX Leaf #1</t>
        </is>
      </c>
      <c r="Y51" s="243" t="n"/>
      <c r="Z51" s="157" t="n"/>
      <c r="AA51" s="256" t="n"/>
      <c r="AB51" s="121" t="n">
        <v>8</v>
      </c>
      <c r="AC51" s="247" t="inlineStr">
        <is>
          <t>CMX Leaf #1</t>
        </is>
      </c>
      <c r="AD51" s="206" t="n"/>
      <c r="AE51" s="256" t="n"/>
      <c r="AF51" s="121" t="n">
        <v>8</v>
      </c>
      <c r="AG51" s="247" t="inlineStr">
        <is>
          <t>CMX Leaf #2</t>
        </is>
      </c>
      <c r="AH51" s="243" t="n"/>
      <c r="AI51" s="157" t="n"/>
      <c r="AJ51" s="157" t="n"/>
      <c r="AK51" s="144" t="n"/>
      <c r="AL51" s="256" t="n"/>
      <c r="AM51" s="121" t="n">
        <v>8</v>
      </c>
      <c r="AN51" s="241" t="n"/>
      <c r="AO51" s="243" t="n"/>
      <c r="AP51" s="256" t="n"/>
      <c r="AQ51" s="121" t="n">
        <v>8</v>
      </c>
      <c r="AR51" s="241" t="n"/>
      <c r="AS51" s="243" t="n"/>
      <c r="AT51" s="256" t="n"/>
      <c r="AU51" s="121" t="n">
        <v>8</v>
      </c>
      <c r="AV51" s="241" t="n"/>
      <c r="AW51" s="243" t="n"/>
      <c r="AX51" s="256" t="n"/>
      <c r="AY51" s="121" t="n">
        <v>8</v>
      </c>
      <c r="AZ51" s="241" t="n"/>
      <c r="BA51" s="243" t="n"/>
      <c r="BB51" s="144" t="n"/>
      <c r="BC51" s="256" t="n"/>
      <c r="BD51" s="121" t="n">
        <v>8</v>
      </c>
      <c r="BE51" s="241" t="n"/>
      <c r="BF51" s="243" t="n"/>
      <c r="BG51" s="256" t="n"/>
      <c r="BH51" s="121" t="n">
        <v>8</v>
      </c>
      <c r="BI51" s="241" t="n"/>
      <c r="BJ51" s="243" t="n"/>
      <c r="BK51" s="144" t="n"/>
      <c r="BL51" s="144" t="n"/>
      <c r="BM51" s="167" t="n"/>
      <c r="BN51" s="121" t="n">
        <v>8</v>
      </c>
      <c r="BO51" s="176" t="inlineStr">
        <is>
          <t>Compute M9825 # 13</t>
        </is>
      </c>
      <c r="BP51" s="243" t="n"/>
      <c r="BQ51" s="144" t="n"/>
    </row>
    <row r="52">
      <c r="A52" s="144" t="n"/>
      <c r="B52" s="144" t="n"/>
      <c r="C52" s="144" t="n"/>
      <c r="D52" s="144" t="n"/>
      <c r="E52" s="139" t="n">
        <v>7</v>
      </c>
      <c r="F52" s="162" t="n"/>
      <c r="G52" s="139" t="n">
        <v>7</v>
      </c>
      <c r="H52" s="162" t="n"/>
      <c r="I52" s="139" t="n">
        <v>7</v>
      </c>
      <c r="J52" s="162" t="n"/>
      <c r="K52" s="139" t="n">
        <v>7</v>
      </c>
      <c r="L52" s="163" t="n"/>
      <c r="M52" s="144" t="n"/>
      <c r="N52" s="144" t="n"/>
      <c r="O52" s="144" t="n"/>
      <c r="P52" s="144" t="n"/>
      <c r="Q52" s="139" t="n">
        <v>7</v>
      </c>
      <c r="R52" s="163" t="n"/>
      <c r="S52" s="144" t="n"/>
      <c r="T52" s="144" t="n"/>
      <c r="U52" s="144" t="n"/>
      <c r="V52" s="256" t="n"/>
      <c r="W52" s="121" t="n">
        <v>7</v>
      </c>
      <c r="X52" s="248" t="n"/>
      <c r="Y52" s="243" t="n"/>
      <c r="Z52" s="157" t="n"/>
      <c r="AA52" s="256" t="n"/>
      <c r="AB52" s="121" t="n">
        <v>7</v>
      </c>
      <c r="AC52" s="248" t="n"/>
      <c r="AD52" s="206" t="n"/>
      <c r="AE52" s="256" t="n"/>
      <c r="AF52" s="121" t="n">
        <v>7</v>
      </c>
      <c r="AG52" s="248" t="n"/>
      <c r="AH52" s="243" t="n"/>
      <c r="AI52" s="157" t="n"/>
      <c r="AJ52" s="157" t="n"/>
      <c r="AK52" s="144" t="n"/>
      <c r="AL52" s="256" t="n"/>
      <c r="AM52" s="121" t="n">
        <v>7</v>
      </c>
      <c r="AN52" s="162" t="n"/>
      <c r="AO52" s="243" t="n"/>
      <c r="AP52" s="256" t="n"/>
      <c r="AQ52" s="121" t="n">
        <v>7</v>
      </c>
      <c r="AR52" s="162" t="n"/>
      <c r="AS52" s="243" t="n"/>
      <c r="AT52" s="256" t="n"/>
      <c r="AU52" s="121" t="n">
        <v>7</v>
      </c>
      <c r="AV52" s="162" t="n"/>
      <c r="AW52" s="243" t="n"/>
      <c r="AX52" s="256" t="n"/>
      <c r="AY52" s="121" t="n">
        <v>7</v>
      </c>
      <c r="AZ52" s="162" t="n"/>
      <c r="BA52" s="243" t="n"/>
      <c r="BB52" s="144" t="n"/>
      <c r="BC52" s="256" t="n"/>
      <c r="BD52" s="121" t="n">
        <v>7</v>
      </c>
      <c r="BE52" s="162" t="n"/>
      <c r="BF52" s="243" t="n"/>
      <c r="BG52" s="256" t="n"/>
      <c r="BH52" s="121" t="n">
        <v>7</v>
      </c>
      <c r="BI52" s="162" t="n"/>
      <c r="BJ52" s="243" t="n"/>
      <c r="BK52" s="144" t="n"/>
      <c r="BL52" s="144" t="n"/>
      <c r="BM52" s="167" t="n"/>
      <c r="BN52" s="121" t="n">
        <v>7</v>
      </c>
      <c r="BO52" s="176" t="inlineStr">
        <is>
          <t>Compute M9825 # 14</t>
        </is>
      </c>
      <c r="BP52" s="243" t="n"/>
      <c r="BQ52" s="144" t="n"/>
    </row>
    <row r="53">
      <c r="A53" s="144" t="n"/>
      <c r="B53" s="144" t="n"/>
      <c r="C53" s="144" t="n"/>
      <c r="D53" s="144" t="n"/>
      <c r="E53" s="139" t="n">
        <v>6</v>
      </c>
      <c r="F53" s="162" t="n"/>
      <c r="G53" s="139" t="n">
        <v>6</v>
      </c>
      <c r="H53" s="162" t="n"/>
      <c r="I53" s="139" t="n">
        <v>6</v>
      </c>
      <c r="J53" s="162" t="n"/>
      <c r="K53" s="139" t="n">
        <v>6</v>
      </c>
      <c r="L53" s="163" t="n"/>
      <c r="M53" s="144" t="n"/>
      <c r="N53" s="144" t="n"/>
      <c r="O53" s="144" t="n"/>
      <c r="P53" s="144" t="n"/>
      <c r="Q53" s="139" t="n">
        <v>6</v>
      </c>
      <c r="R53" s="163" t="n"/>
      <c r="S53" s="144" t="n"/>
      <c r="T53" s="144" t="n"/>
      <c r="U53" s="144" t="n"/>
      <c r="V53" s="256" t="n"/>
      <c r="W53" s="121" t="n">
        <v>6</v>
      </c>
      <c r="X53" s="169" t="inlineStr">
        <is>
          <t>1RU POWER SHELF</t>
        </is>
      </c>
      <c r="Y53" s="243" t="n"/>
      <c r="Z53" s="157" t="n"/>
      <c r="AA53" s="256" t="n"/>
      <c r="AB53" s="121" t="n">
        <v>6</v>
      </c>
      <c r="AC53" s="169" t="inlineStr">
        <is>
          <t>1RU POWER SHELF</t>
        </is>
      </c>
      <c r="AD53" s="206" t="n"/>
      <c r="AE53" s="256" t="n"/>
      <c r="AF53" s="121" t="n">
        <v>6</v>
      </c>
      <c r="AG53" s="162" t="n"/>
      <c r="AH53" s="243" t="n"/>
      <c r="AI53" s="157" t="n"/>
      <c r="AJ53" s="157" t="n"/>
      <c r="AK53" s="144" t="n"/>
      <c r="AL53" s="256" t="n"/>
      <c r="AM53" s="121" t="n">
        <v>6</v>
      </c>
      <c r="AN53" s="250" t="inlineStr">
        <is>
          <t>4x100G Breakout PP</t>
        </is>
      </c>
      <c r="AO53" s="243" t="n"/>
      <c r="AP53" s="256" t="n"/>
      <c r="AQ53" s="121" t="n">
        <v>6</v>
      </c>
      <c r="AR53" s="162" t="n"/>
      <c r="AS53" s="243" t="n"/>
      <c r="AT53" s="256" t="n"/>
      <c r="AU53" s="121" t="n">
        <v>6</v>
      </c>
      <c r="AV53" s="162" t="n"/>
      <c r="AW53" s="243" t="n"/>
      <c r="AX53" s="256" t="n"/>
      <c r="AY53" s="121" t="n">
        <v>6</v>
      </c>
      <c r="AZ53" s="162" t="n"/>
      <c r="BA53" s="243" t="n"/>
      <c r="BB53" s="144" t="n"/>
      <c r="BC53" s="256" t="n"/>
      <c r="BD53" s="121" t="n">
        <v>6</v>
      </c>
      <c r="BE53" s="162" t="n"/>
      <c r="BF53" s="243" t="n"/>
      <c r="BG53" s="256" t="n"/>
      <c r="BH53" s="121" t="n">
        <v>6</v>
      </c>
      <c r="BI53" s="162" t="n"/>
      <c r="BJ53" s="243" t="n"/>
      <c r="BK53" s="144" t="n"/>
      <c r="BL53" s="144" t="n"/>
      <c r="BM53" s="167" t="n"/>
      <c r="BN53" s="121" t="n">
        <v>6</v>
      </c>
      <c r="BO53" s="176" t="inlineStr">
        <is>
          <t>Compute M9825 # 15</t>
        </is>
      </c>
      <c r="BP53" s="243" t="n"/>
      <c r="BQ53" s="144" t="n"/>
    </row>
    <row r="54">
      <c r="A54" s="144" t="n"/>
      <c r="B54" s="144" t="n"/>
      <c r="C54" s="144" t="n"/>
      <c r="D54" s="144" t="n"/>
      <c r="E54" s="139" t="n">
        <v>5</v>
      </c>
      <c r="F54" s="162" t="n"/>
      <c r="G54" s="139" t="n">
        <v>5</v>
      </c>
      <c r="H54" s="162" t="n"/>
      <c r="I54" s="139" t="n">
        <v>5</v>
      </c>
      <c r="J54" s="162" t="n"/>
      <c r="K54" s="139" t="n">
        <v>5</v>
      </c>
      <c r="L54" s="162" t="n"/>
      <c r="M54" s="144" t="n"/>
      <c r="N54" s="144" t="n"/>
      <c r="O54" s="144" t="n"/>
      <c r="P54" s="144" t="n"/>
      <c r="Q54" s="139" t="n">
        <v>5</v>
      </c>
      <c r="R54" s="163" t="n"/>
      <c r="S54" s="144" t="n"/>
      <c r="T54" s="144" t="n"/>
      <c r="U54" s="144" t="n"/>
      <c r="V54" s="256" t="n"/>
      <c r="W54" s="121" t="n">
        <v>5</v>
      </c>
      <c r="X54" s="257" t="inlineStr">
        <is>
          <t>4x100G Breakout PP Corning</t>
        </is>
      </c>
      <c r="Y54" s="243" t="n"/>
      <c r="Z54" s="157" t="n"/>
      <c r="AA54" s="256" t="n"/>
      <c r="AB54" s="121" t="n">
        <v>5</v>
      </c>
      <c r="AD54" s="206" t="n"/>
      <c r="AE54" s="256" t="n"/>
      <c r="AF54" s="121" t="n">
        <v>5</v>
      </c>
      <c r="AG54" s="169" t="inlineStr">
        <is>
          <t>1RU POWER SHELF</t>
        </is>
      </c>
      <c r="AH54" s="243" t="n"/>
      <c r="AI54" s="157" t="n"/>
      <c r="AJ54" s="157" t="n"/>
      <c r="AK54" s="144" t="n"/>
      <c r="AL54" s="256" t="n"/>
      <c r="AM54" s="121" t="n">
        <v>5</v>
      </c>
      <c r="AN54" s="251" t="n"/>
      <c r="AO54" s="243" t="n"/>
      <c r="AP54" s="256" t="n"/>
      <c r="AQ54" s="121" t="n">
        <v>5</v>
      </c>
      <c r="AR54" s="162" t="n"/>
      <c r="AS54" s="243" t="n"/>
      <c r="AT54" s="256" t="n"/>
      <c r="AU54" s="121" t="n">
        <v>5</v>
      </c>
      <c r="AV54" s="162" t="n"/>
      <c r="AW54" s="243" t="n"/>
      <c r="AX54" s="256" t="n"/>
      <c r="AY54" s="121" t="n">
        <v>5</v>
      </c>
      <c r="AZ54" s="162" t="n"/>
      <c r="BA54" s="243" t="n"/>
      <c r="BB54" s="144" t="n"/>
      <c r="BC54" s="256" t="n"/>
      <c r="BD54" s="121" t="n">
        <v>5</v>
      </c>
      <c r="BE54" s="162" t="n"/>
      <c r="BF54" s="243" t="n"/>
      <c r="BG54" s="256" t="n"/>
      <c r="BH54" s="121" t="n">
        <v>5</v>
      </c>
      <c r="BI54" s="162" t="n"/>
      <c r="BJ54" s="243" t="n"/>
      <c r="BK54" s="144" t="n"/>
      <c r="BL54" s="144" t="n"/>
      <c r="BM54" s="167" t="n"/>
      <c r="BN54" s="121" t="n">
        <v>5</v>
      </c>
      <c r="BO54" s="176" t="inlineStr">
        <is>
          <t>Compute M9825 # 16</t>
        </is>
      </c>
      <c r="BP54" s="243" t="n"/>
      <c r="BQ54" s="144" t="n"/>
    </row>
    <row r="55">
      <c r="A55" s="144" t="n"/>
      <c r="B55" s="144" t="n"/>
      <c r="C55" s="144" t="n"/>
      <c r="D55" s="144" t="n"/>
      <c r="E55" s="139" t="n">
        <v>4</v>
      </c>
      <c r="F55" s="162" t="n"/>
      <c r="G55" s="139" t="n">
        <v>4</v>
      </c>
      <c r="H55" s="162" t="n"/>
      <c r="I55" s="139" t="n">
        <v>4</v>
      </c>
      <c r="J55" s="162" t="n"/>
      <c r="K55" s="139" t="n">
        <v>4</v>
      </c>
      <c r="L55" s="162" t="n"/>
      <c r="M55" s="144" t="n"/>
      <c r="N55" s="144" t="n"/>
      <c r="O55" s="144" t="n"/>
      <c r="P55" s="144" t="n"/>
      <c r="Q55" s="139" t="n">
        <v>4</v>
      </c>
      <c r="R55" s="163" t="n"/>
      <c r="S55" s="144" t="n"/>
      <c r="T55" s="144" t="n"/>
      <c r="U55" s="144" t="n"/>
      <c r="V55" s="256" t="n"/>
      <c r="W55" s="121" t="n">
        <v>4</v>
      </c>
      <c r="X55" s="248" t="n"/>
      <c r="Y55" s="243" t="n"/>
      <c r="Z55" s="157" t="n"/>
      <c r="AA55" s="256" t="n"/>
      <c r="AB55" s="121" t="n">
        <v>4</v>
      </c>
      <c r="AD55" s="206" t="n"/>
      <c r="AE55" s="256" t="n"/>
      <c r="AF55" s="121" t="n">
        <v>4</v>
      </c>
      <c r="AG55" s="162" t="n"/>
      <c r="AH55" s="243" t="n"/>
      <c r="AI55" s="157" t="n"/>
      <c r="AJ55" s="157" t="n"/>
      <c r="AK55" s="144" t="n"/>
      <c r="AL55" s="256" t="n"/>
      <c r="AM55" s="121" t="n">
        <v>4</v>
      </c>
      <c r="AN55" s="169" t="inlineStr">
        <is>
          <t>1RU POWER SHELF</t>
        </is>
      </c>
      <c r="AO55" s="243" t="n"/>
      <c r="AP55" s="256" t="n"/>
      <c r="AQ55" s="121" t="n">
        <v>4</v>
      </c>
      <c r="AR55" s="169" t="inlineStr">
        <is>
          <t>1RU POWER SHELF</t>
        </is>
      </c>
      <c r="AS55" s="243" t="n"/>
      <c r="AT55" s="256" t="n"/>
      <c r="AU55" s="121" t="n">
        <v>4</v>
      </c>
      <c r="AV55" s="169" t="inlineStr">
        <is>
          <t>1RU POWER SHELF</t>
        </is>
      </c>
      <c r="AW55" s="243" t="n"/>
      <c r="AX55" s="256" t="n"/>
      <c r="AY55" s="121" t="n">
        <v>4</v>
      </c>
      <c r="AZ55" s="169" t="inlineStr">
        <is>
          <t>1RU POWER SHELF</t>
        </is>
      </c>
      <c r="BA55" s="243" t="n"/>
      <c r="BB55" s="144" t="n"/>
      <c r="BC55" s="256" t="n"/>
      <c r="BD55" s="121" t="n">
        <v>4</v>
      </c>
      <c r="BE55" s="169" t="inlineStr">
        <is>
          <t>1RU POWER SHELF</t>
        </is>
      </c>
      <c r="BF55" s="243" t="n"/>
      <c r="BG55" s="256" t="n"/>
      <c r="BH55" s="121" t="n">
        <v>4</v>
      </c>
      <c r="BI55" s="169" t="inlineStr">
        <is>
          <t>1RU POWER SHELF</t>
        </is>
      </c>
      <c r="BJ55" s="243" t="n"/>
      <c r="BK55" s="144" t="n"/>
      <c r="BL55" s="144" t="n"/>
      <c r="BM55" s="167" t="n"/>
      <c r="BN55" s="121" t="n">
        <v>4</v>
      </c>
      <c r="BO55" s="169" t="inlineStr">
        <is>
          <t>1RU POWER SHELF</t>
        </is>
      </c>
      <c r="BP55" s="243" t="n"/>
      <c r="BQ55" s="144" t="n"/>
    </row>
    <row r="56">
      <c r="A56" s="144" t="n"/>
      <c r="B56" s="144" t="n"/>
      <c r="C56" s="144" t="n"/>
      <c r="D56" s="144" t="n"/>
      <c r="E56" s="139" t="n">
        <v>3</v>
      </c>
      <c r="F56" s="162" t="n"/>
      <c r="G56" s="139" t="n">
        <v>3</v>
      </c>
      <c r="H56" s="162" t="n"/>
      <c r="I56" s="139" t="n">
        <v>3</v>
      </c>
      <c r="J56" s="162" t="n"/>
      <c r="K56" s="139" t="n">
        <v>3</v>
      </c>
      <c r="L56" s="162" t="n"/>
      <c r="M56" s="144" t="n"/>
      <c r="N56" s="144" t="n"/>
      <c r="O56" s="144" t="n"/>
      <c r="P56" s="144" t="n"/>
      <c r="Q56" s="139" t="n">
        <v>3</v>
      </c>
      <c r="R56" s="163" t="n"/>
      <c r="S56" s="144" t="n"/>
      <c r="T56" s="144" t="n"/>
      <c r="U56" s="144" t="n"/>
      <c r="V56" s="256" t="n"/>
      <c r="W56" s="121" t="n">
        <v>3</v>
      </c>
      <c r="X56" s="162" t="n"/>
      <c r="Y56" s="243" t="n"/>
      <c r="Z56" s="157" t="n"/>
      <c r="AA56" s="256" t="n"/>
      <c r="AB56" s="121" t="n">
        <v>3</v>
      </c>
      <c r="AC56" s="162" t="n"/>
      <c r="AD56" s="206" t="n"/>
      <c r="AE56" s="256" t="n"/>
      <c r="AF56" s="121" t="n">
        <v>3</v>
      </c>
      <c r="AG56" s="162" t="n"/>
      <c r="AH56" s="243" t="n"/>
      <c r="AI56" s="157" t="n"/>
      <c r="AJ56" s="157" t="n"/>
      <c r="AK56" s="144" t="n"/>
      <c r="AL56" s="256" t="n"/>
      <c r="AM56" s="121" t="n">
        <v>3</v>
      </c>
      <c r="AN56" s="162" t="n"/>
      <c r="AO56" s="243" t="n"/>
      <c r="AP56" s="256" t="n"/>
      <c r="AQ56" s="121" t="n">
        <v>3</v>
      </c>
      <c r="AR56" s="162" t="n"/>
      <c r="AS56" s="243" t="n"/>
      <c r="AT56" s="256" t="n"/>
      <c r="AU56" s="121" t="n">
        <v>3</v>
      </c>
      <c r="AV56" s="162" t="n"/>
      <c r="AW56" s="243" t="n"/>
      <c r="AX56" s="256" t="n"/>
      <c r="AY56" s="121" t="n">
        <v>3</v>
      </c>
      <c r="AZ56" s="162" t="n"/>
      <c r="BA56" s="243" t="n"/>
      <c r="BB56" s="144" t="n"/>
      <c r="BC56" s="256" t="n"/>
      <c r="BD56" s="121" t="n">
        <v>3</v>
      </c>
      <c r="BE56" s="162" t="n"/>
      <c r="BF56" s="243" t="n"/>
      <c r="BG56" s="256" t="n"/>
      <c r="BH56" s="121" t="n">
        <v>3</v>
      </c>
      <c r="BI56" s="162" t="n"/>
      <c r="BJ56" s="243" t="n"/>
      <c r="BK56" s="144" t="n"/>
      <c r="BL56" s="144" t="n"/>
      <c r="BM56" s="167" t="n"/>
      <c r="BN56" s="121" t="n">
        <v>3</v>
      </c>
      <c r="BO56" s="162" t="n"/>
      <c r="BP56" s="243" t="n"/>
      <c r="BQ56" s="144" t="n"/>
    </row>
    <row r="57">
      <c r="A57" s="144" t="n"/>
      <c r="B57" s="144" t="n"/>
      <c r="C57" s="144" t="n"/>
      <c r="D57" s="144" t="n"/>
      <c r="E57" s="139" t="n">
        <v>2</v>
      </c>
      <c r="F57" s="162" t="n"/>
      <c r="G57" s="139" t="n">
        <v>2</v>
      </c>
      <c r="H57" s="162" t="n"/>
      <c r="I57" s="139" t="n">
        <v>2</v>
      </c>
      <c r="J57" s="162" t="n"/>
      <c r="K57" s="139" t="n">
        <v>2</v>
      </c>
      <c r="L57" s="162" t="n"/>
      <c r="M57" s="144" t="n"/>
      <c r="N57" s="144" t="n"/>
      <c r="O57" s="144" t="n"/>
      <c r="P57" s="144" t="n"/>
      <c r="Q57" s="139" t="n">
        <v>2</v>
      </c>
      <c r="R57" s="163" t="n"/>
      <c r="S57" s="144" t="n"/>
      <c r="T57" s="144" t="n"/>
      <c r="U57" s="144" t="n"/>
      <c r="V57" s="256" t="n"/>
      <c r="W57" s="121" t="n">
        <v>2</v>
      </c>
      <c r="X57" s="162" t="n"/>
      <c r="Y57" s="243" t="n"/>
      <c r="Z57" s="157" t="n"/>
      <c r="AA57" s="256" t="n"/>
      <c r="AB57" s="121" t="n">
        <v>2</v>
      </c>
      <c r="AC57" s="162" t="n"/>
      <c r="AD57" s="206" t="n"/>
      <c r="AE57" s="256" t="n"/>
      <c r="AF57" s="121" t="n">
        <v>2</v>
      </c>
      <c r="AG57" s="162" t="n"/>
      <c r="AH57" s="243" t="n"/>
      <c r="AI57" s="157" t="n"/>
      <c r="AJ57" s="157" t="n"/>
      <c r="AK57" s="144" t="n"/>
      <c r="AL57" s="256" t="n"/>
      <c r="AM57" s="121" t="n">
        <v>2</v>
      </c>
      <c r="AN57" s="162" t="n"/>
      <c r="AO57" s="243" t="n"/>
      <c r="AP57" s="256" t="n"/>
      <c r="AQ57" s="121" t="n">
        <v>2</v>
      </c>
      <c r="AR57" s="162" t="n"/>
      <c r="AS57" s="243" t="n"/>
      <c r="AT57" s="256" t="n"/>
      <c r="AU57" s="121" t="n">
        <v>2</v>
      </c>
      <c r="AV57" s="162" t="n"/>
      <c r="AW57" s="243" t="n"/>
      <c r="AX57" s="256" t="n"/>
      <c r="AY57" s="121" t="n">
        <v>2</v>
      </c>
      <c r="AZ57" s="162" t="n"/>
      <c r="BA57" s="243" t="n"/>
      <c r="BB57" s="144" t="n"/>
      <c r="BC57" s="256" t="n"/>
      <c r="BD57" s="121" t="n">
        <v>2</v>
      </c>
      <c r="BE57" s="162" t="n"/>
      <c r="BF57" s="243" t="n"/>
      <c r="BG57" s="256" t="n"/>
      <c r="BH57" s="121" t="n">
        <v>2</v>
      </c>
      <c r="BI57" s="162" t="n"/>
      <c r="BJ57" s="243" t="n"/>
      <c r="BK57" s="144" t="n"/>
      <c r="BL57" s="144" t="n"/>
      <c r="BM57" s="167" t="n"/>
      <c r="BN57" s="121" t="n">
        <v>2</v>
      </c>
      <c r="BO57" s="162" t="n"/>
      <c r="BP57" s="243" t="n"/>
      <c r="BQ57" s="144" t="n"/>
    </row>
    <row r="58" ht="15" customHeight="1" s="231" thickBot="1">
      <c r="A58" s="144" t="n"/>
      <c r="B58" s="144" t="n"/>
      <c r="C58" s="144" t="n"/>
      <c r="D58" s="144" t="n"/>
      <c r="E58" s="140" t="n">
        <v>1</v>
      </c>
      <c r="F58" s="162" t="n"/>
      <c r="G58" s="140" t="n">
        <v>1</v>
      </c>
      <c r="H58" s="162" t="n"/>
      <c r="I58" s="140" t="n">
        <v>1</v>
      </c>
      <c r="J58" s="162" t="n"/>
      <c r="K58" s="140" t="n">
        <v>1</v>
      </c>
      <c r="L58" s="162" t="n"/>
      <c r="M58" s="144" t="n"/>
      <c r="N58" s="144" t="n"/>
      <c r="O58" s="144" t="n"/>
      <c r="P58" s="144" t="n"/>
      <c r="Q58" s="140" t="n">
        <v>1</v>
      </c>
      <c r="R58" s="163" t="n"/>
      <c r="S58" s="144" t="n"/>
      <c r="T58" s="144" t="n"/>
      <c r="U58" s="144" t="n"/>
      <c r="V58" s="256" t="n"/>
      <c r="W58" s="177" t="n">
        <v>1</v>
      </c>
      <c r="X58" s="178" t="n"/>
      <c r="Y58" s="243" t="n"/>
      <c r="Z58" s="179" t="n"/>
      <c r="AA58" s="256" t="n"/>
      <c r="AB58" s="177" t="n">
        <v>1</v>
      </c>
      <c r="AC58" s="178" t="n"/>
      <c r="AD58" s="206" t="n"/>
      <c r="AE58" s="256" t="n"/>
      <c r="AF58" s="177" t="n">
        <v>1</v>
      </c>
      <c r="AG58" s="178" t="n"/>
      <c r="AH58" s="243" t="n"/>
      <c r="AI58" s="157" t="n"/>
      <c r="AJ58" s="179" t="n"/>
      <c r="AK58" s="144" t="n"/>
      <c r="AL58" s="256" t="n"/>
      <c r="AM58" s="177" t="n">
        <v>1</v>
      </c>
      <c r="AN58" s="178" t="n"/>
      <c r="AO58" s="243" t="n"/>
      <c r="AP58" s="256" t="n"/>
      <c r="AQ58" s="177" t="n">
        <v>1</v>
      </c>
      <c r="AR58" s="178" t="n"/>
      <c r="AS58" s="243" t="n"/>
      <c r="AT58" s="256" t="n"/>
      <c r="AU58" s="177" t="n">
        <v>1</v>
      </c>
      <c r="AV58" s="178" t="n"/>
      <c r="AW58" s="243" t="n"/>
      <c r="AX58" s="256" t="n"/>
      <c r="AY58" s="177" t="n">
        <v>1</v>
      </c>
      <c r="AZ58" s="178" t="n"/>
      <c r="BA58" s="243" t="n"/>
      <c r="BB58" s="144" t="n"/>
      <c r="BC58" s="256" t="n"/>
      <c r="BD58" s="177" t="n">
        <v>1</v>
      </c>
      <c r="BE58" s="178" t="n"/>
      <c r="BF58" s="243" t="n"/>
      <c r="BG58" s="256" t="n"/>
      <c r="BH58" s="177" t="n">
        <v>1</v>
      </c>
      <c r="BI58" s="178" t="n"/>
      <c r="BJ58" s="243" t="n"/>
      <c r="BK58" s="144" t="n"/>
      <c r="BL58" s="144" t="n"/>
      <c r="BM58" s="180" t="n"/>
      <c r="BN58" s="177" t="n">
        <v>1</v>
      </c>
      <c r="BO58" s="178" t="n"/>
      <c r="BP58" s="243" t="n"/>
      <c r="BQ58" s="144" t="n"/>
    </row>
    <row r="59">
      <c r="A59" s="144" t="n"/>
      <c r="B59" s="144" t="n"/>
      <c r="C59" s="144" t="n"/>
      <c r="D59" s="144" t="n"/>
      <c r="E59" s="241" t="n"/>
      <c r="G59" s="241" t="n"/>
      <c r="I59" s="241" t="n"/>
      <c r="K59" s="241" t="n"/>
      <c r="M59" s="144" t="n"/>
      <c r="N59" s="144" t="n"/>
      <c r="O59" s="144" t="n"/>
      <c r="P59" s="144" t="n"/>
      <c r="Q59" s="241" t="n"/>
      <c r="S59" s="144" t="n"/>
      <c r="T59" s="144" t="n"/>
      <c r="U59" s="144" t="n"/>
      <c r="V59" s="241" t="n"/>
      <c r="W59" s="241" t="inlineStr">
        <is>
          <t>Blank</t>
        </is>
      </c>
      <c r="X59" s="241" t="inlineStr"/>
      <c r="Y59" s="241" t="n"/>
      <c r="AA59" s="241" t="n"/>
      <c r="AB59" s="241" t="inlineStr">
        <is>
          <t>Blank</t>
        </is>
      </c>
      <c r="AC59" s="241" t="inlineStr"/>
      <c r="AD59" s="241" t="n"/>
      <c r="AE59" s="241" t="n"/>
      <c r="AF59" s="241" t="inlineStr">
        <is>
          <t>Blank</t>
        </is>
      </c>
      <c r="AG59" s="241" t="inlineStr"/>
      <c r="AH59" s="241" t="n"/>
      <c r="AI59" s="241" t="n"/>
      <c r="AJ59" s="241" t="n"/>
      <c r="AK59" s="241" t="n"/>
      <c r="AL59" s="241" t="n"/>
      <c r="AM59" s="241" t="inlineStr">
        <is>
          <t>Blank</t>
        </is>
      </c>
      <c r="AN59" s="241" t="inlineStr"/>
      <c r="AO59" s="241" t="n"/>
      <c r="AQ59" s="241" t="inlineStr">
        <is>
          <t>Blank</t>
        </is>
      </c>
      <c r="AR59" s="241" t="inlineStr"/>
      <c r="AS59" s="241" t="n"/>
      <c r="AU59" s="241" t="inlineStr">
        <is>
          <t>Blank</t>
        </is>
      </c>
      <c r="AV59" s="241" t="inlineStr"/>
      <c r="AW59" s="241" t="n"/>
      <c r="AY59" s="241" t="inlineStr">
        <is>
          <t>Blank</t>
        </is>
      </c>
      <c r="AZ59" s="241" t="inlineStr"/>
      <c r="BA59" s="241" t="n"/>
      <c r="BC59" s="241" t="n"/>
      <c r="BD59" s="241" t="inlineStr">
        <is>
          <t>Blank</t>
        </is>
      </c>
      <c r="BE59" s="241" t="inlineStr"/>
      <c r="BF59" s="241" t="n"/>
      <c r="BH59" s="241" t="inlineStr">
        <is>
          <t>Blank</t>
        </is>
      </c>
      <c r="BI59" s="241" t="inlineStr"/>
      <c r="BJ59" s="241" t="n"/>
      <c r="BK59" s="241" t="n"/>
      <c r="BL59" s="241" t="n"/>
      <c r="BM59" s="241" t="n"/>
      <c r="BN59" s="241" t="inlineStr">
        <is>
          <t>Blank</t>
        </is>
      </c>
      <c r="BO59" s="241" t="inlineStr"/>
      <c r="BP59" s="241" t="n"/>
    </row>
    <row r="60">
      <c r="A60" s="144" t="n"/>
      <c r="B60" s="144" t="n"/>
      <c r="C60" s="144" t="n"/>
      <c r="D60" s="144" t="n"/>
      <c r="E60" s="241" t="n"/>
      <c r="G60" s="241" t="n"/>
      <c r="I60" s="241" t="n"/>
      <c r="K60" s="241" t="n"/>
      <c r="M60" s="144" t="n"/>
      <c r="N60" s="144" t="n"/>
      <c r="O60" s="144" t="n"/>
      <c r="P60" s="144" t="n"/>
      <c r="Q60" s="241" t="n"/>
      <c r="S60" s="144" t="n"/>
      <c r="T60" s="144" t="n"/>
      <c r="U60" s="144" t="n"/>
      <c r="V60" s="241" t="n"/>
      <c r="X60" s="241" t="n"/>
      <c r="Y60" s="241" t="n"/>
      <c r="AA60" s="241" t="n"/>
      <c r="AC60" s="241" t="n"/>
      <c r="AD60" s="241" t="n"/>
      <c r="AE60" s="241" t="n"/>
      <c r="AF60" s="241" t="n"/>
      <c r="AH60" s="241" t="n"/>
      <c r="AI60" s="241" t="n"/>
      <c r="AJ60" s="241" t="n"/>
      <c r="AK60" s="241" t="n"/>
      <c r="AL60" s="241" t="n"/>
      <c r="AN60" s="241" t="n"/>
      <c r="AO60" s="241" t="n"/>
      <c r="AQ60" s="241" t="n"/>
      <c r="AS60" s="241" t="n"/>
      <c r="AU60" s="241" t="n"/>
      <c r="AW60" s="241" t="n"/>
      <c r="AY60" s="241" t="n"/>
      <c r="BA60" s="241" t="n"/>
      <c r="BC60" s="241" t="n"/>
      <c r="BE60" s="241" t="n"/>
      <c r="BF60" s="241" t="n"/>
      <c r="BH60" s="241" t="n"/>
      <c r="BI60" s="241" t="n"/>
      <c r="BJ60" s="241" t="n"/>
      <c r="BK60" s="241" t="n"/>
      <c r="BL60" s="241" t="n"/>
      <c r="BM60" s="241" t="n"/>
      <c r="BO60" s="241" t="n"/>
      <c r="BP60" s="241" t="n"/>
    </row>
    <row r="61">
      <c r="A61" s="144" t="n"/>
      <c r="B61" s="144" t="n"/>
      <c r="C61" s="144" t="n"/>
      <c r="D61" s="144" t="n"/>
      <c r="E61" s="241" t="n"/>
      <c r="G61" s="241" t="n"/>
      <c r="I61" s="241" t="n"/>
      <c r="K61" s="241" t="n"/>
      <c r="M61" s="144" t="n"/>
      <c r="N61" s="144" t="n"/>
      <c r="O61" s="144" t="n"/>
      <c r="P61" s="144" t="n"/>
      <c r="Q61" s="241" t="n"/>
      <c r="S61" s="144" t="n"/>
      <c r="T61" s="144" t="n"/>
      <c r="U61" s="144" t="n"/>
      <c r="V61" s="241" t="n"/>
      <c r="X61" s="241" t="n"/>
      <c r="Y61" s="241" t="n"/>
      <c r="AA61" s="241" t="n"/>
      <c r="AC61" s="241" t="n"/>
      <c r="AD61" s="241" t="n"/>
      <c r="AE61" s="241" t="n"/>
      <c r="AF61" s="241" t="n"/>
      <c r="AH61" s="241" t="n"/>
      <c r="AI61" s="241" t="n"/>
      <c r="AJ61" s="241" t="n"/>
      <c r="AK61" s="241" t="n"/>
      <c r="AL61" s="241" t="n"/>
      <c r="AN61" s="241" t="n"/>
      <c r="AO61" s="241" t="n"/>
      <c r="AQ61" s="241" t="n"/>
      <c r="AS61" s="241" t="n"/>
      <c r="AU61" s="241" t="n"/>
      <c r="AW61" s="241" t="n"/>
      <c r="AY61" s="241" t="n"/>
      <c r="BA61" s="241" t="n"/>
      <c r="BC61" s="241" t="n"/>
      <c r="BE61" s="241" t="n"/>
      <c r="BF61" s="241" t="n"/>
      <c r="BH61" s="241" t="n"/>
      <c r="BI61" s="241" t="n"/>
      <c r="BJ61" s="241" t="n"/>
      <c r="BK61" s="241" t="n"/>
      <c r="BL61" s="241" t="n"/>
      <c r="BM61" s="241" t="n"/>
      <c r="BO61" s="241" t="n"/>
      <c r="BP61" s="241" t="n"/>
    </row>
  </sheetData>
  <mergeCells count="382">
    <mergeCell ref="BE36:BE37"/>
    <mergeCell ref="V2:W2"/>
    <mergeCell ref="BE30:BE31"/>
    <mergeCell ref="BC6:BD6"/>
    <mergeCell ref="BM3:BN3"/>
    <mergeCell ref="BA11:BA58"/>
    <mergeCell ref="BC11:BC58"/>
    <mergeCell ref="AN36:AN37"/>
    <mergeCell ref="BM61:BN61"/>
    <mergeCell ref="AW4:AX4"/>
    <mergeCell ref="AQ7:AR7"/>
    <mergeCell ref="AY4:AZ4"/>
    <mergeCell ref="R30:R31"/>
    <mergeCell ref="AG48:AG49"/>
    <mergeCell ref="BP9:BQ9"/>
    <mergeCell ref="BI24:BI25"/>
    <mergeCell ref="F13:F14"/>
    <mergeCell ref="BI18:BI19"/>
    <mergeCell ref="X45:X46"/>
    <mergeCell ref="H13:H14"/>
    <mergeCell ref="AQ2:AR2"/>
    <mergeCell ref="AS8:AT8"/>
    <mergeCell ref="AS2:AT2"/>
    <mergeCell ref="AO10:AP10"/>
    <mergeCell ref="H15:H16"/>
    <mergeCell ref="H30:H31"/>
    <mergeCell ref="AW59:AX59"/>
    <mergeCell ref="BI21:BI22"/>
    <mergeCell ref="BF1:BG1"/>
    <mergeCell ref="E3:F3"/>
    <mergeCell ref="G59:H59"/>
    <mergeCell ref="BI42:BI43"/>
    <mergeCell ref="E5:F5"/>
    <mergeCell ref="G61:H61"/>
    <mergeCell ref="V8:W8"/>
    <mergeCell ref="I61:J61"/>
    <mergeCell ref="X19:X20"/>
    <mergeCell ref="L43:L44"/>
    <mergeCell ref="AN26:AN27"/>
    <mergeCell ref="AC30:AC31"/>
    <mergeCell ref="AA6:AB6"/>
    <mergeCell ref="X33:X34"/>
    <mergeCell ref="AA4:AB4"/>
    <mergeCell ref="BE39:BE40"/>
    <mergeCell ref="X22:X23"/>
    <mergeCell ref="AF2:AG2"/>
    <mergeCell ref="AN42:AN43"/>
    <mergeCell ref="J21:J22"/>
    <mergeCell ref="L21:L22"/>
    <mergeCell ref="AN39:AN40"/>
    <mergeCell ref="AV36:AV37"/>
    <mergeCell ref="AV30:AV31"/>
    <mergeCell ref="AY7:AZ7"/>
    <mergeCell ref="BF59:BG59"/>
    <mergeCell ref="BP59:BQ59"/>
    <mergeCell ref="AG51:AG52"/>
    <mergeCell ref="I59:J59"/>
    <mergeCell ref="BI27:BI28"/>
    <mergeCell ref="AO60:AP60"/>
    <mergeCell ref="Y3:Z3"/>
    <mergeCell ref="BA2:BB2"/>
    <mergeCell ref="AU5:AV5"/>
    <mergeCell ref="BC2:BD2"/>
    <mergeCell ref="AS9:AT9"/>
    <mergeCell ref="J24:J25"/>
    <mergeCell ref="R21:R22"/>
    <mergeCell ref="BI45:BI46"/>
    <mergeCell ref="Q59:R59"/>
    <mergeCell ref="Q61:R61"/>
    <mergeCell ref="AG39:AG40"/>
    <mergeCell ref="AO6:AP6"/>
    <mergeCell ref="G1:H1"/>
    <mergeCell ref="BA59:BB59"/>
    <mergeCell ref="AW11:AW58"/>
    <mergeCell ref="X36:X37"/>
    <mergeCell ref="AO11:AO58"/>
    <mergeCell ref="F15:F16"/>
    <mergeCell ref="AF3:AG3"/>
    <mergeCell ref="AS1:AT1"/>
    <mergeCell ref="J37:J38"/>
    <mergeCell ref="AU1:AV1"/>
    <mergeCell ref="L37:L38"/>
    <mergeCell ref="R24:R25"/>
    <mergeCell ref="AN45:AN46"/>
    <mergeCell ref="AV42:AV43"/>
    <mergeCell ref="L24:L25"/>
    <mergeCell ref="BA8:BB8"/>
    <mergeCell ref="V4:W4"/>
    <mergeCell ref="AL61:AM61"/>
    <mergeCell ref="AC42:AC43"/>
    <mergeCell ref="Y5:Z5"/>
    <mergeCell ref="BA10:BB10"/>
    <mergeCell ref="G6:H6"/>
    <mergeCell ref="BI33:BI34"/>
    <mergeCell ref="X54:X55"/>
    <mergeCell ref="BA3:BB3"/>
    <mergeCell ref="BF4:BG4"/>
    <mergeCell ref="BC3:BD3"/>
    <mergeCell ref="V60:W60"/>
    <mergeCell ref="V11:V58"/>
    <mergeCell ref="Y6:Z6"/>
    <mergeCell ref="AR33:AR34"/>
    <mergeCell ref="BP1:BQ1"/>
    <mergeCell ref="BA5:BB5"/>
    <mergeCell ref="AC27:AC28"/>
    <mergeCell ref="I1:J1"/>
    <mergeCell ref="BF10:BG10"/>
    <mergeCell ref="AW7:AX7"/>
    <mergeCell ref="F30:F31"/>
    <mergeCell ref="Y1:Z1"/>
    <mergeCell ref="AZ12:AZ13"/>
    <mergeCell ref="AR30:AR31"/>
    <mergeCell ref="K2:L2"/>
    <mergeCell ref="R46:R47"/>
    <mergeCell ref="AP11:AP58"/>
    <mergeCell ref="L40:L41"/>
    <mergeCell ref="AV45:AV46"/>
    <mergeCell ref="AW60:AX60"/>
    <mergeCell ref="AY60:AZ60"/>
    <mergeCell ref="AL4:AM4"/>
    <mergeCell ref="AU2:AV2"/>
    <mergeCell ref="BA9:BB9"/>
    <mergeCell ref="BP7:BQ7"/>
    <mergeCell ref="BF7:BG7"/>
    <mergeCell ref="BM6:BN6"/>
    <mergeCell ref="AZ33:AZ34"/>
    <mergeCell ref="J27:J28"/>
    <mergeCell ref="L33:L34"/>
    <mergeCell ref="F33:F34"/>
    <mergeCell ref="BP2:BQ2"/>
    <mergeCell ref="BM1:BN1"/>
    <mergeCell ref="J35:J36"/>
    <mergeCell ref="L35:L36"/>
    <mergeCell ref="BE21:BE22"/>
    <mergeCell ref="Q1:R1"/>
    <mergeCell ref="BA6:BB6"/>
    <mergeCell ref="BG11:BG58"/>
    <mergeCell ref="AW10:AX10"/>
    <mergeCell ref="AC48:AC49"/>
    <mergeCell ref="BA1:BB1"/>
    <mergeCell ref="L46:L47"/>
    <mergeCell ref="AG33:AG34"/>
    <mergeCell ref="BC1:BD1"/>
    <mergeCell ref="BE24:BE25"/>
    <mergeCell ref="F24:F25"/>
    <mergeCell ref="K3:L3"/>
    <mergeCell ref="BE18:BE19"/>
    <mergeCell ref="V61:W61"/>
    <mergeCell ref="AO8:AP8"/>
    <mergeCell ref="AO2:AP2"/>
    <mergeCell ref="K5:L5"/>
    <mergeCell ref="Y9:Z9"/>
    <mergeCell ref="AN16:AN17"/>
    <mergeCell ref="AA9:AB9"/>
    <mergeCell ref="AG36:AG37"/>
    <mergeCell ref="BP4:BQ4"/>
    <mergeCell ref="F21:F22"/>
    <mergeCell ref="BM60:BN60"/>
    <mergeCell ref="AW3:AX3"/>
    <mergeCell ref="AO3:AP3"/>
    <mergeCell ref="AL7:AM7"/>
    <mergeCell ref="AQ3:AR3"/>
    <mergeCell ref="AS59:AT59"/>
    <mergeCell ref="AW5:AX5"/>
    <mergeCell ref="AQ61:AR61"/>
    <mergeCell ref="E59:F59"/>
    <mergeCell ref="BF8:BG8"/>
    <mergeCell ref="AS61:AT61"/>
    <mergeCell ref="BP8:BQ8"/>
    <mergeCell ref="BM9:BN9"/>
    <mergeCell ref="E61:F61"/>
    <mergeCell ref="BP10:BQ10"/>
    <mergeCell ref="J43:J44"/>
    <mergeCell ref="X25:X26"/>
    <mergeCell ref="BM4:BN4"/>
    <mergeCell ref="X12:X13"/>
    <mergeCell ref="AA11:AA58"/>
    <mergeCell ref="AE11:AE58"/>
    <mergeCell ref="AL60:AM60"/>
    <mergeCell ref="V3:W3"/>
    <mergeCell ref="V5:W5"/>
    <mergeCell ref="AA1:AB1"/>
    <mergeCell ref="H21:H22"/>
    <mergeCell ref="AR39:AR40"/>
    <mergeCell ref="AZ36:AZ37"/>
    <mergeCell ref="BF3:BG3"/>
    <mergeCell ref="AX11:AX58"/>
    <mergeCell ref="BE27:BE28"/>
    <mergeCell ref="F27:F28"/>
    <mergeCell ref="H27:H28"/>
    <mergeCell ref="AO5:AP5"/>
    <mergeCell ref="BE42:BE43"/>
    <mergeCell ref="AQ5:AR5"/>
    <mergeCell ref="AY2:AZ2"/>
    <mergeCell ref="AG42:AG43"/>
    <mergeCell ref="AL8:AM8"/>
    <mergeCell ref="AO9:AP9"/>
    <mergeCell ref="G4:H4"/>
    <mergeCell ref="Y61:Z61"/>
    <mergeCell ref="I4:J4"/>
    <mergeCell ref="AN19:AN20"/>
    <mergeCell ref="BE45:BE46"/>
    <mergeCell ref="BF60:BG60"/>
    <mergeCell ref="E1:F1"/>
    <mergeCell ref="BM7:BN7"/>
    <mergeCell ref="Y59:Z59"/>
    <mergeCell ref="X30:X31"/>
    <mergeCell ref="Y7:Z7"/>
    <mergeCell ref="V6:W6"/>
    <mergeCell ref="AA7:AB7"/>
    <mergeCell ref="AO1:AP1"/>
    <mergeCell ref="F37:F38"/>
    <mergeCell ref="AQ1:AR1"/>
    <mergeCell ref="H37:H38"/>
    <mergeCell ref="AR42:AR43"/>
    <mergeCell ref="H24:H25"/>
    <mergeCell ref="AZ39:AZ40"/>
    <mergeCell ref="AF1:AG1"/>
    <mergeCell ref="AA2:AB2"/>
    <mergeCell ref="BE33:BE34"/>
    <mergeCell ref="BP11:BP58"/>
    <mergeCell ref="BF11:BF58"/>
    <mergeCell ref="AY3:AZ3"/>
    <mergeCell ref="H43:H44"/>
    <mergeCell ref="AN33:AN34"/>
    <mergeCell ref="AS4:AT4"/>
    <mergeCell ref="BA61:BB61"/>
    <mergeCell ref="AU4:AV4"/>
    <mergeCell ref="AG45:AG46"/>
    <mergeCell ref="BC61:BD61"/>
    <mergeCell ref="G7:H7"/>
    <mergeCell ref="I7:J7"/>
    <mergeCell ref="AN22:AN23"/>
    <mergeCell ref="X42:X43"/>
    <mergeCell ref="AS7:AT7"/>
    <mergeCell ref="AN13:AN14"/>
    <mergeCell ref="G60:H60"/>
    <mergeCell ref="Y8:Z8"/>
    <mergeCell ref="I60:J60"/>
    <mergeCell ref="AA8:AB8"/>
    <mergeCell ref="X39:X40"/>
    <mergeCell ref="G2:H2"/>
    <mergeCell ref="I2:J2"/>
    <mergeCell ref="AL11:AL58"/>
    <mergeCell ref="R40:R41"/>
    <mergeCell ref="H40:H41"/>
    <mergeCell ref="AS60:AT60"/>
    <mergeCell ref="AF4:AG4"/>
    <mergeCell ref="J40:J41"/>
    <mergeCell ref="AU60:AV60"/>
    <mergeCell ref="R27:R28"/>
    <mergeCell ref="AA5:AB5"/>
    <mergeCell ref="AW9:AX9"/>
    <mergeCell ref="Q4:R4"/>
    <mergeCell ref="BI36:BI37"/>
    <mergeCell ref="BI30:BI31"/>
    <mergeCell ref="AV33:AV34"/>
    <mergeCell ref="BM5:BN5"/>
    <mergeCell ref="AR36:AR37"/>
    <mergeCell ref="BA4:BB4"/>
    <mergeCell ref="BP60:BQ60"/>
    <mergeCell ref="BC4:BD4"/>
    <mergeCell ref="AU7:AV7"/>
    <mergeCell ref="H33:H34"/>
    <mergeCell ref="J33:J34"/>
    <mergeCell ref="AC51:AC52"/>
    <mergeCell ref="BF5:BG5"/>
    <mergeCell ref="BF2:BG2"/>
    <mergeCell ref="X27:X28"/>
    <mergeCell ref="H35:H36"/>
    <mergeCell ref="J13:J14"/>
    <mergeCell ref="L13:L14"/>
    <mergeCell ref="AF61:AG61"/>
    <mergeCell ref="AW8:AX8"/>
    <mergeCell ref="AW2:AX2"/>
    <mergeCell ref="BF6:BG6"/>
    <mergeCell ref="J15:J16"/>
    <mergeCell ref="AS10:AT10"/>
    <mergeCell ref="L15:L16"/>
    <mergeCell ref="J30:J31"/>
    <mergeCell ref="L30:L31"/>
    <mergeCell ref="AC33:AC34"/>
    <mergeCell ref="H46:H47"/>
    <mergeCell ref="R37:R38"/>
    <mergeCell ref="G3:H3"/>
    <mergeCell ref="Y60:Z60"/>
    <mergeCell ref="I3:J3"/>
    <mergeCell ref="Q60:R60"/>
    <mergeCell ref="K59:L59"/>
    <mergeCell ref="G5:H5"/>
    <mergeCell ref="I5:J5"/>
    <mergeCell ref="K61:L61"/>
    <mergeCell ref="AC36:AC37"/>
    <mergeCell ref="R43:R44"/>
    <mergeCell ref="AR26:AR27"/>
    <mergeCell ref="AS3:AT3"/>
    <mergeCell ref="AF7:AG7"/>
    <mergeCell ref="AU3:AV3"/>
    <mergeCell ref="BC60:BD60"/>
    <mergeCell ref="AG30:AG31"/>
    <mergeCell ref="AO59:AP59"/>
    <mergeCell ref="AS5:AT5"/>
    <mergeCell ref="AU61:AV61"/>
    <mergeCell ref="AW61:AX61"/>
    <mergeCell ref="AY61:AZ61"/>
    <mergeCell ref="AO61:AP61"/>
    <mergeCell ref="Y4:Z4"/>
    <mergeCell ref="BI39:BI40"/>
    <mergeCell ref="AL2:AM2"/>
    <mergeCell ref="AZ30:AZ31"/>
    <mergeCell ref="BA7:BB7"/>
    <mergeCell ref="BP3:BQ3"/>
    <mergeCell ref="BC7:BD7"/>
    <mergeCell ref="AA60:AB60"/>
    <mergeCell ref="Y11:Y58"/>
    <mergeCell ref="Y10:Z10"/>
    <mergeCell ref="BP5:BQ5"/>
    <mergeCell ref="BP61:BQ61"/>
    <mergeCell ref="AY5:AZ5"/>
    <mergeCell ref="Q2:R2"/>
    <mergeCell ref="AT11:AT58"/>
    <mergeCell ref="F40:F41"/>
    <mergeCell ref="X48:X49"/>
    <mergeCell ref="I6:J6"/>
    <mergeCell ref="Q3:R3"/>
    <mergeCell ref="E4:F4"/>
    <mergeCell ref="F35:F36"/>
    <mergeCell ref="AC39:AC40"/>
    <mergeCell ref="AS6:AT6"/>
    <mergeCell ref="K1:L1"/>
    <mergeCell ref="AW6:AX6"/>
    <mergeCell ref="V9:W9"/>
    <mergeCell ref="AS11:AS58"/>
    <mergeCell ref="AL3:AM3"/>
    <mergeCell ref="F46:F47"/>
    <mergeCell ref="AW1:AX1"/>
    <mergeCell ref="AY1:AZ1"/>
    <mergeCell ref="AR45:AR46"/>
    <mergeCell ref="AZ42:AZ43"/>
    <mergeCell ref="AL5:AM5"/>
    <mergeCell ref="BC8:BD8"/>
    <mergeCell ref="BF9:BG9"/>
    <mergeCell ref="AN53:AN54"/>
    <mergeCell ref="BP6:BQ6"/>
    <mergeCell ref="K6:L6"/>
    <mergeCell ref="K60:L60"/>
    <mergeCell ref="AV39:AV40"/>
    <mergeCell ref="Q5:R5"/>
    <mergeCell ref="V1:W1"/>
    <mergeCell ref="Y2:Z2"/>
    <mergeCell ref="BJ11:BJ58"/>
    <mergeCell ref="F43:F44"/>
    <mergeCell ref="X51:X52"/>
    <mergeCell ref="Q6:R6"/>
    <mergeCell ref="BC5:BD5"/>
    <mergeCell ref="AO4:AP4"/>
    <mergeCell ref="AQ4:AR4"/>
    <mergeCell ref="AC45:AC46"/>
    <mergeCell ref="AF60:AG60"/>
    <mergeCell ref="K7:L7"/>
    <mergeCell ref="AR22:AR23"/>
    <mergeCell ref="E7:F7"/>
    <mergeCell ref="AG27:AG28"/>
    <mergeCell ref="AN30:AN31"/>
    <mergeCell ref="AO7:AP7"/>
    <mergeCell ref="AL6:AM6"/>
    <mergeCell ref="AZ45:AZ46"/>
    <mergeCell ref="BA60:BB60"/>
    <mergeCell ref="BF61:BG61"/>
    <mergeCell ref="BM8:BN8"/>
    <mergeCell ref="BM2:BN2"/>
    <mergeCell ref="E60:F60"/>
    <mergeCell ref="E2:F2"/>
    <mergeCell ref="J46:J47"/>
    <mergeCell ref="AH11:AH58"/>
    <mergeCell ref="L27:L28"/>
    <mergeCell ref="AQ60:AR60"/>
    <mergeCell ref="V7:W7"/>
    <mergeCell ref="AA3:AB3"/>
    <mergeCell ref="AL1:AM1"/>
    <mergeCell ref="AA61:AB61"/>
    <mergeCell ref="K4:L4"/>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31"/>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43.2" customHeight="1" s="23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31"/>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43.2" customHeight="1" s="23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2026-09-25T15:09:49Z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MSIP_Label_73dd1fcc-24d7-4f55-9dc2-c1518f171327_Enabled" fmtid="{D5CDD505-2E9C-101B-9397-08002B2CF9AE}" pid="2">
    <vt:lpwstr>true</vt:lpwstr>
  </property>
  <property name="MSIP_Label_73dd1fcc-24d7-4f55-9dc2-c1518f171327_SetDate" fmtid="{D5CDD505-2E9C-101B-9397-08002B2CF9AE}" pid="3">
    <vt:lpwstr>2024-12-31T20:00:33Z</vt:lpwstr>
  </property>
  <property name="MSIP_Label_73dd1fcc-24d7-4f55-9dc2-c1518f171327_Method" fmtid="{D5CDD505-2E9C-101B-9397-08002B2CF9AE}" pid="4">
    <vt:lpwstr>Privileged</vt:lpwstr>
  </property>
  <property name="MSIP_Label_73dd1fcc-24d7-4f55-9dc2-c1518f171327_Name" fmtid="{D5CDD505-2E9C-101B-9397-08002B2CF9AE}" pid="5">
    <vt:lpwstr>No Protection (Label Only) - Internal Use</vt:lpwstr>
  </property>
  <property name="MSIP_Label_73dd1fcc-24d7-4f55-9dc2-c1518f171327_SiteId" fmtid="{D5CDD505-2E9C-101B-9397-08002B2CF9AE}" pid="6">
    <vt:lpwstr>945c199a-83a2-4e80-9f8c-5a91be5752dd</vt:lpwstr>
  </property>
  <property name="MSIP_Label_73dd1fcc-24d7-4f55-9dc2-c1518f171327_ActionId" fmtid="{D5CDD505-2E9C-101B-9397-08002B2CF9AE}" pid="7">
    <vt:lpwstr>d71f9a86-0cd7-42ea-8b53-881734af6450</vt:lpwstr>
  </property>
  <property name="MSIP_Label_73dd1fcc-24d7-4f55-9dc2-c1518f171327_ContentBits" fmtid="{D5CDD505-2E9C-101B-9397-08002B2CF9AE}" pid="8">
    <vt:lpwstr>2</vt:lpwstr>
  </property>
  <property name="ContentTypeId" fmtid="{D5CDD505-2E9C-101B-9397-08002B2CF9AE}" pid="9">
    <vt:lpwstr>0x01010013EE865589E31842B4BEFFD6263ECB93</vt:lpwstr>
  </property>
  <property name="MediaServiceImageTags" fmtid="{D5CDD505-2E9C-101B-9397-08002B2CF9AE}" pid="10">
    <vt:lpwstr/>
  </property>
  <property name="Order" fmtid="{D5CDD505-2E9C-101B-9397-08002B2CF9AE}" pid="11">
    <vt:r8>11300</vt:r8>
  </property>
  <property name="xd_Signature" fmtid="{D5CDD505-2E9C-101B-9397-08002B2CF9AE}" pid="12">
    <vt:bool>0</vt:bool>
  </property>
  <property name="xd_ProgID" fmtid="{D5CDD505-2E9C-101B-9397-08002B2CF9AE}" pid="13">
    <vt:lpwstr/>
  </property>
  <property name="ComplianceAssetId" fmtid="{D5CDD505-2E9C-101B-9397-08002B2CF9AE}" pid="14">
    <vt:lpwstr/>
  </property>
  <property name="TemplateUrl" fmtid="{D5CDD505-2E9C-101B-9397-08002B2CF9AE}" pid="15">
    <vt:lpwstr/>
  </property>
  <property name="_ExtendedDescription" fmtid="{D5CDD505-2E9C-101B-9397-08002B2CF9AE}" pid="16">
    <vt:lpwstr/>
  </property>
  <property name="TriggerFlowInfo" fmtid="{D5CDD505-2E9C-101B-9397-08002B2CF9AE}" pid="17">
    <vt:lpwstr/>
  </property>
  <property name="Linktolatestversion" fmtid="{D5CDD505-2E9C-101B-9397-08002B2CF9AE}" pid="18">
    <vt:lpwstr xml:space="preserve">, </vt:lpwstr>
  </property>
</Properties>
</file>