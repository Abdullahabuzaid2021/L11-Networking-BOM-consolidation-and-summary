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 yWindow="744" windowWidth="23016" windowHeight="12216" tabRatio="762" firstSheet="3" activeTab="3" autoFilterDateGrouping="1"/>
  </bookViews>
  <sheets>
    <sheet name="P&amp;L" sheetId="1" state="hidden" r:id="rId1"/>
    <sheet name="GOAL Export" sheetId="2" state="hidden" r:id="rId2"/>
    <sheet name="Version" sheetId="3" state="visible" r:id="rId3"/>
    <sheet name="L11 BOM Ntwk" sheetId="4" state="visible" r:id="rId4"/>
    <sheet name="Topo" sheetId="5" state="visible" r:id="rId5"/>
    <sheet name="Rack Elevations" sheetId="6" state="visible" r:id="rId6"/>
    <sheet name="Services Summary" sheetId="7" state="hidden" r:id="rId7"/>
    <sheet name="DW2000P_1" sheetId="8" state="hidden" r:id="rId8"/>
    <sheet name="Compute_Management" sheetId="9" state="hidden" r:id="rId9"/>
  </sheets>
  <externalReferences>
    <externalReference r:id="rId10"/>
    <externalReference r:id="rId11"/>
    <externalReference r:id="rId12"/>
    <externalReference r:id="rId13"/>
    <externalReference r:id="rId14"/>
  </externalReferences>
  <definedNames>
    <definedName name="_56F9DC9755BA473782653E2940F9FormId">"mhlclKKDgE6fjFqRvldS3VTyrQc3qIJOpCoYkY-9sxNUQkxLTjBLT1NSUzc0VzNEV00zSkhQSktLTS4u"</definedName>
    <definedName name="_56F9DC9755BA473782653E2940F9ResponseSheet">"Form1"</definedName>
    <definedName name="_56F9DC9755BA473782653E2940F9SourceDocId">"{8a994947-8c73-49f0-af16-597f5a835ce5}"</definedName>
    <definedName name="_Fill" hidden="1">#REF!</definedName>
    <definedName name="_Key1" hidden="1">#REF!</definedName>
    <definedName name="_Key2" hidden="1">#REF!</definedName>
    <definedName name="_Order1" hidden="1">255</definedName>
    <definedName name="_Order2" hidden="1">0</definedName>
    <definedName name="_Sort" hidden="1">#REF!</definedName>
    <definedName name="anscount" hidden="1">2</definedName>
    <definedName name="AssetCount">#REF!</definedName>
    <definedName name="BILL_TO_ADDRESS">#REF!</definedName>
    <definedName name="BILL_TO_CONTACT">#REF!</definedName>
    <definedName name="BILL_TO_LABEL">#REF!</definedName>
    <definedName name="BILL_TO_NAME">#REF!</definedName>
    <definedName name="BILL_TO_PHONE">#REF!</definedName>
    <definedName name="BOM_All_Parts">#REF!</definedName>
    <definedName name="BOM_Cables_CAT6">#REF!</definedName>
    <definedName name="BOM_Cables_DAC_O112">#REF!</definedName>
    <definedName name="BOM_Cables_MPO_to_4x_LC">#REF!</definedName>
    <definedName name="BOM_Cables_MPO12">#REF!</definedName>
    <definedName name="BOM_Cables_OSFP">#REF!</definedName>
    <definedName name="BOM_Fiber_Distribution">#REF!</definedName>
    <definedName name="BOM_Optics">#REF!</definedName>
    <definedName name="BOM_PDU">#REF!</definedName>
    <definedName name="BOM_Racks_Aircool">#REF!</definedName>
    <definedName name="BOM_Racks_Sidecar">#REF!</definedName>
    <definedName name="BOM_Switch_100G">#REF!</definedName>
    <definedName name="BOM_Switch_400G">#REF!</definedName>
    <definedName name="BOM_Switch_800G">#REF!</definedName>
    <definedName name="BOM_Switch_IB_144_port">#REF!</definedName>
    <definedName name="BOM_Switch_Spectrum_Fabric">#REF!</definedName>
    <definedName name="BOM_Switch_Spectrum_OOB">#REF!</definedName>
    <definedName name="BOM_Switch_Spectrum_OOB_Aggr">#REF!</definedName>
    <definedName name="BOM_Transceiver_NIC">#REF!</definedName>
    <definedName name="BOM_Transceiver_Switch">#REF!</definedName>
    <definedName name="BRS_FLOOR_ANALYSIS_LINES_TO_FORMAT0">#REF!</definedName>
    <definedName name="BRS_FLOOR_ANALYSIS_LINES_TO_FORMAT1">#REF!</definedName>
    <definedName name="BRS_FLOOR_ANALYSIS_SECTION">#REF!</definedName>
    <definedName name="CBWorkbookPriority" hidden="1">-1010689980</definedName>
    <definedName name="CFG_SECTION">#REF!</definedName>
    <definedName name="CFG_SUBTOTAL_ALL">#REF!</definedName>
    <definedName name="CFG_SUBTOTAL_HW">#REF!</definedName>
    <definedName name="CFG_SUBTOTAL_MW">#REF!</definedName>
    <definedName name="CFG_SUBTOTAL_PS">#REF!</definedName>
    <definedName name="CFG_SUBTOTAL_SECTION">#REF!</definedName>
    <definedName name="CFG_SUBTOTAL_SW">#REF!</definedName>
    <definedName name="CFG_TITLE_FLD_CFG_NAME">#REF!</definedName>
    <definedName name="CFG_TITLE_SECTION">#REF!</definedName>
    <definedName name="CSI_FLD_CSI_DESCRIPTION">#REF!</definedName>
    <definedName name="CSI_FLD_CSI_NAME">#REF!</definedName>
    <definedName name="CSI_FLD_CSI_SERIAL_NUMBER">#REF!</definedName>
    <definedName name="CSI_LABEL_FORCOPY_SERIAL_NUMBER">#REF!</definedName>
    <definedName name="CSI_LABEL_HEADERS">#REF!</definedName>
    <definedName name="CSI_LINE_HW">#REF!</definedName>
    <definedName name="CSI_LINE_MW">#REF!</definedName>
    <definedName name="CSI_LINE_PS">#REF!</definedName>
    <definedName name="CSI_LINE_SW">#REF!</definedName>
    <definedName name="CSI_SECTION_HW_ALL">#REF!</definedName>
    <definedName name="CSI_SECTION_HW_BOT">#REF!</definedName>
    <definedName name="CSI_SECTION_HW_TOP">#REF!</definedName>
    <definedName name="CSI_SECTION_MW_ALL">#REF!</definedName>
    <definedName name="CSI_SECTION_MW_BOT">#REF!</definedName>
    <definedName name="CSI_SECTION_MW_TOP">#REF!</definedName>
    <definedName name="CSI_SECTION_PS_ALL">#REF!</definedName>
    <definedName name="CSI_SECTION_PS_BOT">#REF!</definedName>
    <definedName name="CSI_SECTION_PS_TOP">#REF!</definedName>
    <definedName name="CSI_SECTION_SW_ALL">#REF!</definedName>
    <definedName name="CSI_SECTION_SW_BOT">#REF!</definedName>
    <definedName name="CSI_SECTION_SW_TOP">#REF!</definedName>
    <definedName name="CSI_SECTION_TITLE">#REF!</definedName>
    <definedName name="CSI_SUBTOTAL_HW">#REF!</definedName>
    <definedName name="CSI_SUBTOTAL_MW">#REF!</definedName>
    <definedName name="CSI_SUBTOTAL_PS">#REF!</definedName>
    <definedName name="CSI_SUBTOTAL_SW">#REF!</definedName>
    <definedName name="DOL">#REF!</definedName>
    <definedName name="DSECost">#REF!</definedName>
    <definedName name="DSEPrice">#REF!</definedName>
    <definedName name="DXP_REMOVE_GROSS_COST">#REF!</definedName>
    <definedName name="DXP_REMOVE_GROSS_NOTE3">#REF!</definedName>
    <definedName name="EMC_ADDRESS">#REF!</definedName>
    <definedName name="EMC_BM_TABLE_HEADER">#REF!</definedName>
    <definedName name="EMC_BUSINESS_MONITORING">#REF!</definedName>
    <definedName name="EMC_NO_RULES_BROKEN">#REF!</definedName>
    <definedName name="Entitlement">#REF!</definedName>
    <definedName name="EntitlementCostingRate">#REF!</definedName>
    <definedName name="EntitlementPricingRate">#REF!</definedName>
    <definedName name="EntitlementRefString">#REF!</definedName>
    <definedName name="EstContentRate">#REF!</definedName>
    <definedName name="EstSolutionRev">#REF!</definedName>
    <definedName name="EV__LASTREFTIME__" hidden="1">39825.6100810185</definedName>
    <definedName name="Exch_Rate2">#REF!</definedName>
    <definedName name="FLOOR_ANALYSIS_LINES_TO_FORMAT0">#REF!</definedName>
    <definedName name="FLOOR_ANALYSIS_LINES_TO_FORMAT1">#REF!</definedName>
    <definedName name="FLOOR_ANALYSIS_SECTION">#REF!</definedName>
    <definedName name="foosiemsh" hidden="1">#REF!</definedName>
    <definedName name="GSA_HEADER_FIELDS">#REF!</definedName>
    <definedName name="GVKey">"271182-01w"</definedName>
    <definedName name="INSTALL_AT_ADDRESS">#REF!</definedName>
    <definedName name="INSTALL_AT_CONTACT">#REF!</definedName>
    <definedName name="INSTALL_AT_LABEL">#REF!</definedName>
    <definedName name="INSTALL_AT_NAME">#REF!</definedName>
    <definedName name="INSTALL_AT_PHONE">#REF!</definedName>
    <definedName name="IssueTypes">[1]Data!$B$6:$B$8</definedName>
    <definedName name="K2_WBEVMODE" hidden="1">-1</definedName>
    <definedName name="limcount" hidden="1">2</definedName>
    <definedName name="LPRU">#REF!</definedName>
    <definedName name="MISC_FLD_TITLE">#REF!</definedName>
    <definedName name="MISC_LINE_HW">#REF!</definedName>
    <definedName name="MISC_LINE_PS">#REF!</definedName>
    <definedName name="MISC_LINE_SW">#REF!</definedName>
    <definedName name="MISC_SECTION_HW_ALL">#REF!</definedName>
    <definedName name="MISC_SECTION_HW_BOT">#REF!</definedName>
    <definedName name="MISC_SECTION_HW_TOP">#REF!</definedName>
    <definedName name="MISC_SECTION_PS_ALL">#REF!</definedName>
    <definedName name="MISC_SECTION_PS_BOT">#REF!</definedName>
    <definedName name="MISC_SECTION_PS_TOP">#REF!</definedName>
    <definedName name="MISC_SECTION_SW_ALL">#REF!</definedName>
    <definedName name="MISC_SECTION_SW_BOT">#REF!</definedName>
    <definedName name="MISC_SECTION_SW_TOP">#REF!</definedName>
    <definedName name="MISC_SECTION_TITLE">#REF!</definedName>
    <definedName name="MISC_SUBTOTAL_HW">#REF!</definedName>
    <definedName name="MISC_SUBTOTAL_PS">#REF!</definedName>
    <definedName name="MISC_SUBTOTAL_SW">#REF!</definedName>
    <definedName name="Model">#REF!</definedName>
    <definedName name="new">'[2]Reference Data'!$GP$11:$HD$11</definedName>
    <definedName name="NewPS1CSP4HRModel">#REF!</definedName>
    <definedName name="NewPS1CSP4HRRate">#REF!</definedName>
    <definedName name="NewPS1CSP4HRRegion">#REF!</definedName>
    <definedName name="NewPS1CSP4HRTerm">#REF!</definedName>
    <definedName name="NewPS1CSPNBDModel">#REF!</definedName>
    <definedName name="NewPS1CSPNBDRate">#REF!</definedName>
    <definedName name="NewPS1CSPNBDRegion">#REF!</definedName>
    <definedName name="NewPS1CSPNBDTerm">#REF!</definedName>
    <definedName name="NOTES_ZONE_0">#REF!</definedName>
    <definedName name="NOTES_ZONE_1">#REF!</definedName>
    <definedName name="NOTES_ZONE_2">#REF!</definedName>
    <definedName name="OPPTY_SECTION">#REF!</definedName>
    <definedName name="OSECost">#REF!</definedName>
    <definedName name="OSEPrice">#REF!</definedName>
    <definedName name="PRECONTRACT_FLD_CFG_NAME">#REF!</definedName>
    <definedName name="PRECONTRACT_FLD_CSI_DESCIPTION">#REF!</definedName>
    <definedName name="PRECONTRACT_FLD_CSI_NAME">#REF!</definedName>
    <definedName name="PRECONTRACT_LINE">#REF!</definedName>
    <definedName name="PRECONTRACT_SECTION">#REF!</definedName>
    <definedName name="PRECONTRACT_SECTION_CFG_TITLE">#REF!</definedName>
    <definedName name="PRECONTRACT_SECTION_CSI">#REF!</definedName>
    <definedName name="PRICE_JUST_COMMENT">#REF!</definedName>
    <definedName name="PROMO_SECTION">#REF!</definedName>
    <definedName name="PROPOSAL_SECTION">#REF!</definedName>
    <definedName name="PROPOSAL_SECTION_MW">#REF!</definedName>
    <definedName name="PROPOSAL_SUBTOTAL_HW">#REF!</definedName>
    <definedName name="PROPOSAL_SUBTOTAL_MW_HW">#REF!</definedName>
    <definedName name="PROPOSAL_SUBTOTAL_MW_SW">#REF!</definedName>
    <definedName name="PROPOSAL_SUBTOTAL_MW_WAR">#REF!</definedName>
    <definedName name="PROPOSAL_SUBTOTAL_PS">#REF!</definedName>
    <definedName name="PROPOSAL_SUBTOTAL_SW">#REF!</definedName>
    <definedName name="ProSupport4HRCostModel">#REF!</definedName>
    <definedName name="ProSupport4HRCostRate">#REF!</definedName>
    <definedName name="ProSupport4HRCostRegion">#REF!</definedName>
    <definedName name="ProSupport4HRCostTerm">#REF!</definedName>
    <definedName name="ProSupport4HRModel">#REF!</definedName>
    <definedName name="ProSupport4HRRate">#REF!</definedName>
    <definedName name="ProSupport4HRRegion">#REF!</definedName>
    <definedName name="ProSupport4HRTerm">#REF!</definedName>
    <definedName name="ProSupportNBDCostModel">#REF!</definedName>
    <definedName name="ProSupportNBDCostRate">#REF!</definedName>
    <definedName name="ProSupportNBDCostRegion">#REF!</definedName>
    <definedName name="ProSupportNBDCostTerm">#REF!</definedName>
    <definedName name="ProSupportNBDModel">#REF!</definedName>
    <definedName name="ProSupportNBDRate">#REF!</definedName>
    <definedName name="ProSupportNBDRegion">#REF!</definedName>
    <definedName name="ProSupportNBDTerm">#REF!</definedName>
    <definedName name="PS1CostModel">#REF!</definedName>
    <definedName name="PS1CostRate">#REF!</definedName>
    <definedName name="PS1CostRegion">#REF!</definedName>
    <definedName name="PS1CostTerm">#REF!</definedName>
    <definedName name="PS1CSP4HRCostModel">#REF!</definedName>
    <definedName name="PS1CSP4HRCostRate">#REF!</definedName>
    <definedName name="PS1CSP4HRCostRegion">#REF!</definedName>
    <definedName name="PS1CSP4HRCostTerm">#REF!</definedName>
    <definedName name="PS1CSP4HRModel">#REF!</definedName>
    <definedName name="PS1CSP4HRRate">#REF!</definedName>
    <definedName name="PS1CSP4HRRegion">#REF!</definedName>
    <definedName name="PS1CSP4HRTerm">#REF!</definedName>
    <definedName name="PS1CSPNBDCostModel">#REF!</definedName>
    <definedName name="PS1CSPNBDCostRate">#REF!</definedName>
    <definedName name="PS1CSPNBDCostRegion">#REF!</definedName>
    <definedName name="PS1CSPNBDCostTerm">#REF!</definedName>
    <definedName name="PS1CSPNBDModel">#REF!</definedName>
    <definedName name="PS1CSPNBDRate">#REF!</definedName>
    <definedName name="PS1CSPNBDRegion">#REF!</definedName>
    <definedName name="PS1CSPNBDTerm">#REF!</definedName>
    <definedName name="PS1LowNBD">#REF!</definedName>
    <definedName name="PS1LowNBDModel">#REF!</definedName>
    <definedName name="PS1LowNBDRate">#REF!</definedName>
    <definedName name="PS1LowNBDRegion">#REF!</definedName>
    <definedName name="PS1LowNBDTerm">#REF!</definedName>
    <definedName name="PSPMCCostModel">#REF!</definedName>
    <definedName name="PSPMCCostRate">#REF!</definedName>
    <definedName name="PSPMCCostRegion">#REF!</definedName>
    <definedName name="PSPMCCostTerm">#REF!</definedName>
    <definedName name="PSPMCModel">#REF!</definedName>
    <definedName name="PSPMCRate">#REF!</definedName>
    <definedName name="PSPMCRegion">#REF!</definedName>
    <definedName name="PSPMCTerm">#REF!</definedName>
    <definedName name="QUOTE_PRICEBREAK">#REF!</definedName>
    <definedName name="QUOTE_PS_PRICEBREAK">#REF!</definedName>
    <definedName name="REDIRECT_SECTION">#REF!</definedName>
    <definedName name="Region">#REF!</definedName>
    <definedName name="REPORT_LINES_TO_FORMAT">#REF!,#REF!</definedName>
    <definedName name="REPORT_LINES_TO_FORMAT0">#REF!</definedName>
    <definedName name="REPORT_LINES_TO_FORMAT1">#REF!</definedName>
    <definedName name="REPORT_LINES_TO_FORMAT2">#REF!</definedName>
    <definedName name="REPORT_TOTALS_TO_FORMAT">#REF!,#REF!,#REF!</definedName>
    <definedName name="REPORT_TOTALS_TO_FORMAT0">#REF!</definedName>
    <definedName name="REPORT_TOTALS_TO_FORMAT1">#REF!</definedName>
    <definedName name="REPORT_TOTALS_TO_FORMAT2">#REF!</definedName>
    <definedName name="REPORT_TOTALS_TO_FORMAT3">#REF!</definedName>
    <definedName name="REPORT_TOTALS_TO_FORMAT4">#REF!</definedName>
    <definedName name="REPORT_TOTALS_TO_FORMAT5">#REF!</definedName>
    <definedName name="ResidentCost">#REF!</definedName>
    <definedName name="ResidentPrice">#REF!</definedName>
    <definedName name="RQFRate1">[3]Template!$BC$20</definedName>
    <definedName name="s">'[4]Summary &amp; Status'!#REF!</definedName>
    <definedName name="sa">[3]Info!$AZ$20</definedName>
    <definedName name="SAPBEXrevision" hidden="1">2</definedName>
    <definedName name="SAPBEXsysID" hidden="1">"BWP"</definedName>
    <definedName name="SAPBEXwbID" hidden="1">"427RYF5MIK75065EZBL5WAVIT"</definedName>
    <definedName name="sencount" hidden="1">2</definedName>
    <definedName name="SHIP_TO_ADDRESS">#REF!</definedName>
    <definedName name="SHIP_TO_CONTACT">#REF!</definedName>
    <definedName name="SHIP_TO_LABEL">#REF!</definedName>
    <definedName name="SHIP_TO_NAME">#REF!</definedName>
    <definedName name="SHIP_TO_PHONE">#REF!</definedName>
    <definedName name="SHIPPING_ZONE_0">#REF!</definedName>
    <definedName name="SHIPPING_ZONE_1">#REF!</definedName>
    <definedName name="SHIPPING_ZONE_2">#REF!</definedName>
    <definedName name="SiteCodeLU">'[5]Site details V2'!$A$1:$Z$2506</definedName>
    <definedName name="Sites">#REF!</definedName>
    <definedName name="SOLD_TO_ADDRESS">#REF!</definedName>
    <definedName name="SOLD_TO_CONTACT">#REF!</definedName>
    <definedName name="SOLD_TO_LABEL">#REF!</definedName>
    <definedName name="SOLD_TO_NAME">#REF!</definedName>
    <definedName name="SOLD_TO_PHONE">#REF!</definedName>
    <definedName name="SPSet">"current"</definedName>
    <definedName name="SPWS_WBID">"AE891147-BB2F-445D-ACEB-8EEEC2660B6C"</definedName>
    <definedName name="status_indicators">'[4]Summary &amp; Status'!#REF!</definedName>
    <definedName name="status_milestonetable">'[4]Summary &amp; Status'!#REF!</definedName>
    <definedName name="status_next_reporting_period">'[4]Summary &amp; Status'!#REF!</definedName>
    <definedName name="status_this_reporting_period">'[4]Summary &amp; Status'!#REF!</definedName>
    <definedName name="StatusNames">[1]Data!$B$1:$B$3</definedName>
    <definedName name="SumMargin">#REF!</definedName>
    <definedName name="SumRev">#REF!</definedName>
    <definedName name="Term">#REF!</definedName>
    <definedName name="TEST_IPF">#REF!</definedName>
    <definedName name="TRADEIN_SECTION">#REF!</definedName>
    <definedName name="TRADEIN_SECTION_TOTAL">#REF!</definedName>
  </definedNames>
  <calcPr calcId="191029" fullCalcOnLoad="1"/>
</workbook>
</file>

<file path=xl/styles.xml><?xml version="1.0" encoding="utf-8"?>
<styleSheet xmlns="http://schemas.openxmlformats.org/spreadsheetml/2006/main">
  <numFmts count="2">
    <numFmt numFmtId="164" formatCode="\$#0.00"/>
    <numFmt numFmtId="165" formatCode="&quot;$&quot;#,##0.00"/>
  </numFmts>
  <fonts count="47">
    <font>
      <name val="Aptos Narrow"/>
      <family val="2"/>
      <color theme="1"/>
      <sz val="11"/>
      <scheme val="minor"/>
    </font>
    <font>
      <name val="Calibri"/>
      <family val="2"/>
      <color rgb="FF000000"/>
      <sz val="11"/>
    </font>
    <font>
      <name val="Calibri"/>
      <family val="2"/>
      <b val="1"/>
      <color rgb="FF000000"/>
      <sz val="11"/>
    </font>
    <font>
      <name val="Arial"/>
      <family val="2"/>
      <sz val="11"/>
    </font>
    <font>
      <name val="Arial"/>
      <family val="2"/>
      <color theme="1"/>
      <sz val="11"/>
    </font>
    <font>
      <name val="Arial"/>
      <family val="2"/>
      <b val="1"/>
      <color theme="0"/>
      <sz val="11"/>
    </font>
    <font>
      <name val="Arial"/>
      <family val="2"/>
      <color rgb="FF000000"/>
      <sz val="14"/>
    </font>
    <font>
      <name val="Arial"/>
      <family val="2"/>
      <color theme="1"/>
      <sz val="14"/>
    </font>
    <font>
      <name val="Arial"/>
      <family val="2"/>
      <color theme="1"/>
      <sz val="12"/>
    </font>
    <font>
      <name val="Arial"/>
      <family val="2"/>
      <i val="1"/>
      <color theme="1"/>
      <sz val="12"/>
    </font>
    <font>
      <name val="Arial"/>
      <family val="2"/>
      <b val="1"/>
      <sz val="12"/>
    </font>
    <font>
      <name val="Arial"/>
      <family val="2"/>
      <color rgb="FF000000"/>
      <sz val="10"/>
    </font>
    <font>
      <name val="Aptos Narrow"/>
      <family val="2"/>
      <b val="1"/>
      <color theme="1"/>
      <sz val="11"/>
      <scheme val="minor"/>
    </font>
    <font>
      <name val="Aptos Narrow"/>
      <family val="2"/>
      <sz val="8"/>
      <scheme val="minor"/>
    </font>
    <font>
      <name val="Arial"/>
      <family val="2"/>
      <b val="1"/>
      <i val="1"/>
      <color rgb="FFFF0000"/>
      <sz val="12"/>
    </font>
    <font>
      <name val="Calibri"/>
      <family val="2"/>
      <b val="1"/>
      <sz val="11"/>
    </font>
    <font>
      <name val="Calibri"/>
      <family val="2"/>
      <sz val="11"/>
    </font>
    <font>
      <name val="Calibri"/>
      <family val="2"/>
      <color theme="1"/>
      <sz val="11"/>
    </font>
    <font>
      <name val="Calibri"/>
      <family val="2"/>
      <color rgb="FFED7D31"/>
      <sz val="11"/>
    </font>
    <font>
      <name val="Arial"/>
      <family val="2"/>
      <sz val="10"/>
    </font>
    <font>
      <name val="Aptos Narrow"/>
      <family val="2"/>
      <sz val="11"/>
      <scheme val="minor"/>
    </font>
    <font>
      <name val="Aptos Narrow"/>
      <family val="2"/>
      <color theme="1"/>
      <sz val="9"/>
      <scheme val="minor"/>
    </font>
    <font>
      <name val="Calibri"/>
      <family val="2"/>
      <color rgb="FF000000"/>
      <sz val="10"/>
    </font>
    <font>
      <name val="Calibri"/>
      <family val="2"/>
      <color theme="1"/>
      <sz val="10"/>
    </font>
    <font>
      <name val="Calibri"/>
      <family val="2"/>
      <b val="1"/>
      <sz val="10"/>
    </font>
    <font>
      <name val="Calibri"/>
      <family val="2"/>
      <b val="1"/>
      <color rgb="FF000000"/>
      <sz val="10"/>
    </font>
    <font>
      <name val="Calibri"/>
      <family val="2"/>
      <sz val="10"/>
    </font>
    <font>
      <name val="Calibri"/>
      <family val="2"/>
      <color rgb="FFFF0000"/>
      <sz val="10"/>
    </font>
    <font>
      <name val="Calibri"/>
      <family val="2"/>
      <b val="1"/>
      <color rgb="FF0070C0"/>
      <sz val="10"/>
    </font>
    <font>
      <name val="Calibri"/>
      <family val="2"/>
      <b val="1"/>
      <color theme="1"/>
      <sz val="10"/>
    </font>
    <font>
      <name val="Calibri"/>
      <family val="2"/>
      <color rgb="FF0E0E0E"/>
      <sz val="11"/>
    </font>
    <font>
      <name val="Calibri"/>
      <family val="2"/>
      <sz val="12"/>
    </font>
    <font>
      <name val="Aptos"/>
      <family val="2"/>
      <color rgb="FF000000"/>
      <sz val="11"/>
    </font>
    <font>
      <name val="Aptos Narrow"/>
      <family val="2"/>
      <color rgb="FF000000"/>
      <sz val="9"/>
      <scheme val="minor"/>
    </font>
    <font>
      <name val="Calibri"/>
      <family val="2"/>
      <color rgb="FF000000"/>
      <sz val="14"/>
    </font>
    <font>
      <name val="Aptos Narrow"/>
      <family val="2"/>
      <color rgb="FF0A0A0A"/>
      <sz val="12"/>
      <scheme val="minor"/>
    </font>
    <font>
      <name val="Aptos"/>
      <family val="2"/>
      <color theme="1"/>
      <sz val="11"/>
    </font>
    <font>
      <name val="Aptos Narrow"/>
      <family val="2"/>
      <color rgb="FF000000"/>
      <sz val="11"/>
    </font>
    <font>
      <name val="Aptos Narrow"/>
      <family val="2"/>
      <b val="1"/>
      <color rgb="FFE97132"/>
      <sz val="14"/>
    </font>
    <font>
      <name val="Aptos Narrow"/>
      <family val="2"/>
      <b val="1"/>
      <color rgb="FF000000"/>
      <sz val="11"/>
    </font>
    <font>
      <name val="Aptos Narrow"/>
      <family val="2"/>
      <b val="1"/>
      <color rgb="FFE97132"/>
      <sz val="12"/>
    </font>
    <font>
      <name val="Aptos Narrow"/>
      <family val="2"/>
      <b val="1"/>
      <color rgb="FF0070C0"/>
      <sz val="11"/>
    </font>
    <font>
      <name val="Calibri"/>
      <color rgb="FF000000"/>
      <sz val="11"/>
    </font>
    <font>
      <name val="Calibri"/>
      <family val="2"/>
      <color rgb="FFFFFFFF"/>
      <sz val="11"/>
    </font>
    <font>
      <name val="Aptos Narrow"/>
      <family val="2"/>
      <color theme="1"/>
      <sz val="9"/>
    </font>
    <font>
      <name val="Aptos Narrow"/>
      <family val="2"/>
      <sz val="9"/>
    </font>
    <font>
      <name val="Roboto"/>
      <color theme="1"/>
      <sz val="8"/>
    </font>
  </fonts>
  <fills count="35">
    <fill>
      <patternFill/>
    </fill>
    <fill>
      <patternFill patternType="gray125"/>
    </fill>
    <fill>
      <patternFill patternType="solid">
        <fgColor theme="9" tint="0.7999816888943144"/>
        <bgColor indexed="64"/>
      </patternFill>
    </fill>
    <fill>
      <patternFill patternType="solid">
        <fgColor rgb="FF002060"/>
        <bgColor indexed="64"/>
      </patternFill>
    </fill>
    <fill>
      <patternFill patternType="solid">
        <fgColor rgb="FFFFFF00"/>
        <bgColor indexed="64"/>
      </patternFill>
    </fill>
    <fill>
      <patternFill patternType="solid">
        <fgColor rgb="FFFFC000"/>
        <bgColor indexed="64"/>
      </patternFill>
    </fill>
    <fill>
      <patternFill patternType="solid">
        <fgColor rgb="FFD9E1F2"/>
        <bgColor rgb="FF000000"/>
      </patternFill>
    </fill>
    <fill>
      <patternFill patternType="solid">
        <fgColor rgb="FFFFFFFF"/>
        <bgColor indexed="64"/>
      </patternFill>
    </fill>
    <fill>
      <patternFill patternType="solid">
        <fgColor rgb="FFC4D79B"/>
        <bgColor rgb="FF000000"/>
      </patternFill>
    </fill>
    <fill>
      <patternFill patternType="solid">
        <fgColor theme="3" tint="0.749992370372631"/>
        <bgColor indexed="64"/>
      </patternFill>
    </fill>
    <fill>
      <patternFill patternType="solid">
        <fgColor theme="3" tint="0.749992370372631"/>
        <bgColor rgb="FF000000"/>
      </patternFill>
    </fill>
    <fill>
      <patternFill patternType="solid">
        <fgColor theme="8" tint="0.7999816888943144"/>
        <bgColor rgb="FF000000"/>
      </patternFill>
    </fill>
    <fill>
      <patternFill patternType="solid">
        <fgColor theme="5" tint="0.3999755851924192"/>
        <bgColor rgb="FF000000"/>
      </patternFill>
    </fill>
    <fill>
      <patternFill patternType="solid">
        <fgColor theme="0" tint="-0.0499893185216834"/>
        <bgColor indexed="64"/>
      </patternFill>
    </fill>
    <fill>
      <patternFill patternType="solid">
        <fgColor rgb="FFE2E4FA"/>
        <bgColor indexed="64"/>
      </patternFill>
    </fill>
    <fill>
      <patternFill patternType="solid">
        <fgColor theme="0"/>
        <bgColor indexed="64"/>
      </patternFill>
    </fill>
    <fill>
      <patternFill patternType="solid">
        <fgColor theme="0" tint="-0.1499984740745262"/>
        <bgColor theme="0" tint="-0.1499984740745262"/>
      </patternFill>
    </fill>
    <fill>
      <patternFill patternType="solid">
        <fgColor theme="0"/>
        <bgColor rgb="FF000000"/>
      </patternFill>
    </fill>
    <fill>
      <patternFill patternType="solid">
        <fgColor theme="8" tint="0.5999938962981048"/>
        <bgColor indexed="64"/>
      </patternFill>
    </fill>
    <fill>
      <patternFill patternType="solid">
        <fgColor rgb="FFFFF2CC"/>
        <bgColor rgb="FFFFF2CC"/>
      </patternFill>
    </fill>
    <fill>
      <patternFill patternType="solid">
        <fgColor rgb="FFD0CECE"/>
        <bgColor rgb="FF000000"/>
      </patternFill>
    </fill>
    <fill>
      <patternFill patternType="solid">
        <fgColor rgb="FFFFF2CC"/>
        <bgColor rgb="FF000000"/>
      </patternFill>
    </fill>
    <fill>
      <patternFill patternType="solid">
        <fgColor rgb="FFFAE440"/>
        <bgColor rgb="FFFAE440"/>
      </patternFill>
    </fill>
    <fill>
      <patternFill patternType="solid">
        <fgColor rgb="FF7030A0"/>
        <bgColor rgb="FFB381D9"/>
      </patternFill>
    </fill>
    <fill>
      <patternFill patternType="solid">
        <fgColor rgb="FF92D050"/>
        <bgColor rgb="FF92D050"/>
      </patternFill>
    </fill>
    <fill>
      <patternFill patternType="solid">
        <fgColor rgb="FFDDEBF7"/>
        <bgColor rgb="FF000000"/>
      </patternFill>
    </fill>
    <fill>
      <patternFill patternType="solid">
        <fgColor rgb="FFFF9966"/>
        <bgColor rgb="FFFF9966"/>
      </patternFill>
    </fill>
    <fill>
      <patternFill patternType="solid">
        <fgColor rgb="FFFFFF00"/>
        <bgColor rgb="FF000000"/>
      </patternFill>
    </fill>
    <fill>
      <patternFill patternType="solid">
        <fgColor rgb="FFDAF2D0"/>
        <bgColor rgb="FF000000"/>
      </patternFill>
    </fill>
    <fill>
      <patternFill patternType="solid">
        <fgColor rgb="FFCAEDFB"/>
        <bgColor rgb="FF000000"/>
      </patternFill>
    </fill>
    <fill>
      <patternFill patternType="solid">
        <fgColor rgb="FFD0D0D0"/>
        <bgColor rgb="FFB381D9"/>
      </patternFill>
    </fill>
    <fill>
      <patternFill patternType="solid">
        <fgColor rgb="FFB8D3EF"/>
        <bgColor rgb="FF000000"/>
      </patternFill>
    </fill>
    <fill>
      <patternFill patternType="solid">
        <fgColor rgb="FFF2CEEF"/>
        <bgColor rgb="FF000000"/>
      </patternFill>
    </fill>
    <fill>
      <patternFill patternType="solid">
        <fgColor rgb="FFD0D0D0"/>
        <bgColor rgb="FF000000"/>
      </patternFill>
    </fill>
    <fill>
      <patternFill patternType="solid">
        <fgColor rgb="FFFFFFFF"/>
        <bgColor rgb="FFFFF2CC"/>
      </patternFill>
    </fill>
  </fills>
  <borders count="6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auto="1"/>
      </left>
      <right/>
      <top style="medium">
        <color auto="1"/>
      </top>
      <bottom style="thin">
        <color auto="1"/>
      </bottom>
      <diagonal/>
    </border>
    <border>
      <left style="medium">
        <color indexed="64"/>
      </left>
      <right style="medium">
        <color indexed="64"/>
      </right>
      <top style="medium">
        <color indexed="64"/>
      </top>
      <bottom/>
      <diagonal/>
    </border>
    <border>
      <left style="medium">
        <color rgb="FF000000"/>
      </left>
      <right style="medium">
        <color rgb="FF000000"/>
      </right>
      <top/>
      <bottom/>
      <diagonal/>
    </border>
    <border>
      <left style="thin">
        <color auto="1"/>
      </left>
      <right style="medium">
        <color auto="1"/>
      </right>
      <top/>
      <bottom/>
      <diagonal/>
    </border>
    <border>
      <left style="medium">
        <color auto="1"/>
      </left>
      <right style="medium">
        <color auto="1"/>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style="thick">
        <color rgb="FF000000"/>
      </right>
      <top style="thick">
        <color rgb="FF000000"/>
      </top>
      <bottom style="thin">
        <color rgb="FF000000"/>
      </bottom>
      <diagonal/>
    </border>
    <border>
      <left style="medium">
        <color indexed="64"/>
      </left>
      <right style="medium">
        <color indexed="64"/>
      </right>
      <top/>
      <bottom style="thin">
        <color indexed="64"/>
      </bottom>
      <diagonal/>
    </border>
    <border>
      <left style="thin">
        <color indexed="64"/>
      </left>
      <right style="thin">
        <color indexed="64"/>
      </right>
      <top/>
      <bottom style="thin">
        <color rgb="FF000000"/>
      </bottom>
      <diagonal/>
    </border>
    <border>
      <left style="medium">
        <color indexed="64"/>
      </left>
      <right style="medium">
        <color indexed="64"/>
      </right>
      <top style="thin">
        <color rgb="FF000000"/>
      </top>
      <bottom style="thin">
        <color rgb="FF000000"/>
      </bottom>
      <diagonal/>
    </border>
    <border>
      <left/>
      <right style="thick">
        <color rgb="FF000000"/>
      </right>
      <top/>
      <bottom style="thin">
        <color rgb="FF000000"/>
      </bottom>
      <diagonal/>
    </border>
    <border>
      <left style="medium">
        <color indexed="64"/>
      </left>
      <right style="medium">
        <color indexed="64"/>
      </right>
      <top/>
      <bottom style="thin">
        <color rgb="FF000000"/>
      </bottom>
      <diagonal/>
    </border>
    <border>
      <left style="thin">
        <color indexed="64"/>
      </left>
      <right style="medium">
        <color rgb="FF000000"/>
      </right>
      <top/>
      <bottom style="thin">
        <color rgb="FF000000"/>
      </bottom>
      <diagonal/>
    </border>
    <border>
      <left style="medium">
        <color indexed="64"/>
      </left>
      <right style="medium">
        <color indexed="64"/>
      </right>
      <top style="thin">
        <color indexed="64"/>
      </top>
      <bottom/>
      <diagonal/>
    </border>
    <border>
      <left/>
      <right style="thick">
        <color rgb="FF000000"/>
      </right>
      <top/>
      <bottom style="thick">
        <color rgb="FF000000"/>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auto="1"/>
      </left>
      <right style="medium">
        <color auto="1"/>
      </right>
      <top/>
      <bottom style="thin">
        <color rgb="FF000000"/>
      </bottom>
      <diagonal/>
    </border>
    <border>
      <left style="thin">
        <color auto="1"/>
      </left>
      <right style="medium">
        <color auto="1"/>
      </right>
      <top style="medium">
        <color auto="1"/>
      </top>
      <bottom style="medium">
        <color rgb="FF000000"/>
      </bottom>
      <diagonal/>
    </border>
    <border>
      <left style="thin">
        <color auto="1"/>
      </left>
      <right style="medium">
        <color auto="1"/>
      </right>
      <top/>
      <bottom style="medium">
        <color rgb="FF000000"/>
      </bottom>
      <diagonal/>
    </border>
    <border>
      <left style="thin">
        <color indexed="64"/>
      </left>
      <right style="thin">
        <color indexed="64"/>
      </right>
      <top style="thin">
        <color indexed="64"/>
      </top>
      <bottom style="thin">
        <color rgb="FF000000"/>
      </bottom>
      <diagonal/>
    </border>
    <border>
      <left style="medium">
        <color indexed="64"/>
      </left>
      <right style="medium">
        <color indexed="64"/>
      </right>
      <top/>
      <bottom/>
      <diagonal/>
    </border>
    <border>
      <left style="medium">
        <color indexed="64"/>
      </left>
      <right style="medium">
        <color indexed="64"/>
      </right>
      <top style="thin">
        <color indexed="64"/>
      </top>
      <bottom style="thin">
        <color rgb="FF000000"/>
      </bottom>
      <diagonal/>
    </border>
    <border>
      <left/>
      <right/>
      <top style="thin">
        <color rgb="FF000000"/>
      </top>
      <bottom style="thin">
        <color rgb="FF000000"/>
      </bottom>
      <diagonal/>
    </border>
    <border>
      <left/>
      <right/>
      <top style="medium">
        <color indexed="64"/>
      </top>
      <bottom/>
      <diagonal/>
    </border>
    <border>
      <left/>
      <right style="thin">
        <color indexed="64"/>
      </right>
      <top style="medium">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medium">
        <color indexed="64"/>
      </top>
      <bottom/>
      <diagonal/>
    </border>
    <border>
      <left/>
      <right style="thin">
        <color indexed="64"/>
      </right>
      <top/>
      <bottom/>
      <diagonal/>
    </border>
    <border>
      <left style="thin">
        <color indexed="64"/>
      </left>
      <right/>
      <top/>
      <bottom/>
      <diagonal/>
    </border>
    <border>
      <left style="thin">
        <color auto="1"/>
      </left>
      <right/>
      <top/>
      <bottom/>
      <diagonal/>
    </border>
    <border>
      <left style="thin">
        <color rgb="FF000000"/>
      </left>
      <right/>
      <top/>
      <bottom/>
      <diagonal/>
    </border>
    <border>
      <left style="medium">
        <color auto="1"/>
      </left>
      <right/>
      <top/>
      <bottom/>
      <diagonal/>
    </border>
    <border>
      <left style="thin">
        <color indexed="64"/>
      </left>
      <right style="medium">
        <color rgb="FF000000"/>
      </right>
      <top/>
      <bottom/>
      <diagonal/>
    </border>
    <border>
      <left style="medium">
        <color indexed="64"/>
      </left>
      <right/>
      <top/>
      <bottom/>
      <diagonal/>
    </border>
  </borders>
  <cellStyleXfs count="2">
    <xf numFmtId="0" fontId="0" fillId="0" borderId="0"/>
    <xf numFmtId="0" fontId="1" fillId="0" borderId="0"/>
  </cellStyleXfs>
  <cellXfs count="226">
    <xf numFmtId="0" fontId="0" fillId="0" borderId="0" pivotButton="0" quotePrefix="0" xfId="0"/>
    <xf numFmtId="0" fontId="1" fillId="0" borderId="0" pivotButton="0" quotePrefix="0" xfId="1"/>
    <xf numFmtId="0" fontId="1" fillId="0" borderId="1" applyAlignment="1" pivotButton="0" quotePrefix="0" xfId="1">
      <alignment wrapText="1"/>
    </xf>
    <xf numFmtId="0" fontId="2" fillId="0" borderId="0" pivotButton="0" quotePrefix="0" xfId="1"/>
    <xf numFmtId="164" fontId="1" fillId="0" borderId="0" pivotButton="0" quotePrefix="0" xfId="1"/>
    <xf numFmtId="0" fontId="4" fillId="0" borderId="0" pivotButton="0" quotePrefix="0" xfId="0"/>
    <xf numFmtId="0" fontId="5" fillId="3" borderId="2" applyAlignment="1" pivotButton="0" quotePrefix="0" xfId="0">
      <alignment horizontal="center" vertical="center" wrapText="1" readingOrder="1"/>
    </xf>
    <xf numFmtId="0" fontId="3" fillId="0" borderId="2" applyAlignment="1" pivotButton="0" quotePrefix="0" xfId="0">
      <alignment horizontal="center" vertical="center" readingOrder="1"/>
    </xf>
    <xf numFmtId="0" fontId="4" fillId="0" borderId="0" applyAlignment="1" pivotButton="0" quotePrefix="0" xfId="0">
      <alignment horizontal="right"/>
    </xf>
    <xf numFmtId="0" fontId="4" fillId="0" borderId="0" applyAlignment="1" pivotButton="0" quotePrefix="0" xfId="0">
      <alignment horizontal="center"/>
    </xf>
    <xf numFmtId="49" fontId="4" fillId="0" borderId="0" applyAlignment="1" pivotButton="0" quotePrefix="0" xfId="0">
      <alignment horizontal="center"/>
    </xf>
    <xf numFmtId="0" fontId="7" fillId="0" borderId="0" pivotButton="0" quotePrefix="0" xfId="0"/>
    <xf numFmtId="0" fontId="6" fillId="0" borderId="0" applyAlignment="1" pivotButton="0" quotePrefix="0" xfId="0">
      <alignment horizontal="right" indent="1"/>
    </xf>
    <xf numFmtId="0" fontId="3" fillId="0" borderId="2" applyAlignment="1" pivotButton="0" quotePrefix="0" xfId="0">
      <alignment horizontal="left" vertical="center" readingOrder="1"/>
    </xf>
    <xf numFmtId="14" fontId="3" fillId="0" borderId="2" applyAlignment="1" pivotButton="0" quotePrefix="0" xfId="0">
      <alignment horizontal="center" vertical="center" readingOrder="1"/>
    </xf>
    <xf numFmtId="0" fontId="6" fillId="0" borderId="0" applyAlignment="1" pivotButton="0" quotePrefix="0" xfId="0">
      <alignment horizontal="right" vertical="center" indent="1" readingOrder="1"/>
    </xf>
    <xf numFmtId="49" fontId="7" fillId="0" borderId="0" applyAlignment="1" pivotButton="0" quotePrefix="0" xfId="0">
      <alignment horizontal="left"/>
    </xf>
    <xf numFmtId="0" fontId="5" fillId="3" borderId="2" applyAlignment="1" pivotButton="0" quotePrefix="0" xfId="0">
      <alignment horizontal="left" vertical="center" wrapText="1" readingOrder="1"/>
    </xf>
    <xf numFmtId="0" fontId="4" fillId="0" borderId="0" applyAlignment="1" pivotButton="0" quotePrefix="0" xfId="0">
      <alignment horizontal="left"/>
    </xf>
    <xf numFmtId="49" fontId="4" fillId="0" borderId="0" applyAlignment="1" pivotButton="0" quotePrefix="0" xfId="0">
      <alignment horizontal="left"/>
    </xf>
    <xf numFmtId="0" fontId="7" fillId="0" borderId="0" applyAlignment="1" pivotButton="0" quotePrefix="0" xfId="0">
      <alignment horizontal="center"/>
    </xf>
    <xf numFmtId="0" fontId="8" fillId="0" borderId="0" applyAlignment="1" pivotButton="0" quotePrefix="0" xfId="0">
      <alignment horizontal="center"/>
    </xf>
    <xf numFmtId="0" fontId="9" fillId="0" borderId="0" applyAlignment="1" pivotButton="0" quotePrefix="0" xfId="0">
      <alignment horizontal="left"/>
    </xf>
    <xf numFmtId="0" fontId="14" fillId="0" borderId="0" applyAlignment="1" pivotButton="0" quotePrefix="0" xfId="0">
      <alignment horizontal="left"/>
    </xf>
    <xf numFmtId="0" fontId="15" fillId="6" borderId="0" applyAlignment="1" pivotButton="0" quotePrefix="0" xfId="0">
      <alignment horizontal="center"/>
    </xf>
    <xf numFmtId="0" fontId="2" fillId="6" borderId="0" applyAlignment="1" pivotButton="0" quotePrefix="0" xfId="0">
      <alignment horizontal="center"/>
    </xf>
    <xf numFmtId="0" fontId="16" fillId="0" borderId="0" pivotButton="0" quotePrefix="0" xfId="0"/>
    <xf numFmtId="0" fontId="17" fillId="0" borderId="0" pivotButton="0" quotePrefix="0" xfId="0"/>
    <xf numFmtId="0" fontId="16" fillId="0" borderId="0" applyAlignment="1" pivotButton="0" quotePrefix="0" xfId="0">
      <alignment wrapText="1"/>
    </xf>
    <xf numFmtId="0" fontId="18" fillId="0" borderId="0" pivotButton="0" quotePrefix="0" xfId="0"/>
    <xf numFmtId="0" fontId="10" fillId="8" borderId="2" pivotButton="0" quotePrefix="0" xfId="0"/>
    <xf numFmtId="0" fontId="10" fillId="8" borderId="5" pivotButton="0" quotePrefix="0" xfId="0"/>
    <xf numFmtId="0" fontId="19" fillId="0" borderId="0" pivotButton="0" quotePrefix="0" xfId="0"/>
    <xf numFmtId="4" fontId="19" fillId="0" borderId="0" pivotButton="0" quotePrefix="0" xfId="0"/>
    <xf numFmtId="10" fontId="19" fillId="0" borderId="0" pivotButton="0" quotePrefix="0" xfId="0"/>
    <xf numFmtId="0" fontId="12" fillId="9" borderId="1" pivotButton="0" quotePrefix="0" xfId="0"/>
    <xf numFmtId="0" fontId="0" fillId="0" borderId="1" pivotButton="0" quotePrefix="0" xfId="0"/>
    <xf numFmtId="165" fontId="0" fillId="0" borderId="1" pivotButton="0" quotePrefix="0" xfId="0"/>
    <xf numFmtId="10" fontId="0" fillId="0" borderId="1" pivotButton="0" quotePrefix="0" xfId="0"/>
    <xf numFmtId="0" fontId="0" fillId="4" borderId="0" pivotButton="0" quotePrefix="0" xfId="0"/>
    <xf numFmtId="0" fontId="1" fillId="0" borderId="0" pivotButton="0" quotePrefix="0" xfId="0"/>
    <xf numFmtId="0" fontId="18" fillId="0" borderId="0" applyAlignment="1" pivotButton="0" quotePrefix="0" xfId="0">
      <alignment wrapText="1"/>
    </xf>
    <xf numFmtId="0" fontId="20" fillId="0" borderId="0" pivotButton="0" quotePrefix="0" xfId="0"/>
    <xf numFmtId="0" fontId="20" fillId="0" borderId="0" applyAlignment="1" pivotButton="0" quotePrefix="0" xfId="0">
      <alignment horizontal="left"/>
    </xf>
    <xf numFmtId="0" fontId="2" fillId="0" borderId="0" pivotButton="0" quotePrefix="0" xfId="0"/>
    <xf numFmtId="0" fontId="22" fillId="15" borderId="2" applyAlignment="1" pivotButton="0" quotePrefix="0" xfId="0">
      <alignment vertical="center" wrapText="1"/>
    </xf>
    <xf numFmtId="0" fontId="23" fillId="0" borderId="0" pivotButton="0" quotePrefix="0" xfId="0"/>
    <xf numFmtId="3" fontId="22" fillId="0" borderId="0" applyAlignment="1" pivotButton="0" quotePrefix="0" xfId="0">
      <alignment readingOrder="1"/>
    </xf>
    <xf numFmtId="0" fontId="24" fillId="6" borderId="21" applyAlignment="1" pivotButton="0" quotePrefix="0" xfId="0">
      <alignment horizontal="center"/>
    </xf>
    <xf numFmtId="0" fontId="25" fillId="6" borderId="21" applyAlignment="1" pivotButton="0" quotePrefix="0" xfId="0">
      <alignment horizontal="center"/>
    </xf>
    <xf numFmtId="0" fontId="24" fillId="6" borderId="2" applyAlignment="1" pivotButton="0" quotePrefix="0" xfId="0">
      <alignment horizontal="center"/>
    </xf>
    <xf numFmtId="0" fontId="26" fillId="15" borderId="2" pivotButton="0" quotePrefix="0" xfId="0"/>
    <xf numFmtId="0" fontId="26" fillId="0" borderId="5" pivotButton="0" quotePrefix="0" xfId="0"/>
    <xf numFmtId="0" fontId="23" fillId="15" borderId="2" pivotButton="0" quotePrefix="0" xfId="0"/>
    <xf numFmtId="0" fontId="26" fillId="0" borderId="0" pivotButton="0" quotePrefix="0" xfId="0"/>
    <xf numFmtId="0" fontId="25" fillId="6" borderId="0" applyAlignment="1" pivotButton="0" quotePrefix="0" xfId="0">
      <alignment horizontal="center"/>
    </xf>
    <xf numFmtId="0" fontId="26" fillId="0" borderId="2" pivotButton="0" quotePrefix="0" xfId="0"/>
    <xf numFmtId="0" fontId="26" fillId="0" borderId="0" applyAlignment="1" pivotButton="0" quotePrefix="0" xfId="0">
      <alignment wrapText="1"/>
    </xf>
    <xf numFmtId="0" fontId="25" fillId="6" borderId="2" applyAlignment="1" pivotButton="0" quotePrefix="0" xfId="0">
      <alignment horizontal="center"/>
    </xf>
    <xf numFmtId="0" fontId="27" fillId="0" borderId="2" pivotButton="0" quotePrefix="0" xfId="0"/>
    <xf numFmtId="0" fontId="23" fillId="0" borderId="2" applyAlignment="1" pivotButton="0" quotePrefix="0" xfId="0">
      <alignment wrapText="1"/>
    </xf>
    <xf numFmtId="0" fontId="23" fillId="0" borderId="2" pivotButton="0" quotePrefix="0" xfId="0"/>
    <xf numFmtId="0" fontId="26" fillId="0" borderId="2" applyAlignment="1" pivotButton="0" quotePrefix="0" xfId="0">
      <alignment wrapText="1"/>
    </xf>
    <xf numFmtId="1" fontId="23" fillId="0" borderId="2" applyAlignment="1" pivotButton="0" quotePrefix="0" xfId="0">
      <alignment wrapText="1"/>
    </xf>
    <xf numFmtId="1" fontId="26" fillId="0" borderId="2" pivotButton="0" quotePrefix="0" xfId="0"/>
    <xf numFmtId="1" fontId="26" fillId="0" borderId="7" pivotButton="0" quotePrefix="0" xfId="0"/>
    <xf numFmtId="0" fontId="26" fillId="16" borderId="2" pivotButton="0" quotePrefix="0" xfId="0"/>
    <xf numFmtId="3" fontId="26" fillId="0" borderId="2" pivotButton="0" quotePrefix="0" xfId="0"/>
    <xf numFmtId="0" fontId="26" fillId="0" borderId="6" pivotButton="0" quotePrefix="0" xfId="0"/>
    <xf numFmtId="1" fontId="26" fillId="0" borderId="6" pivotButton="0" quotePrefix="0" xfId="0"/>
    <xf numFmtId="1" fontId="26" fillId="0" borderId="18" pivotButton="0" quotePrefix="0" xfId="0"/>
    <xf numFmtId="0" fontId="26" fillId="0" borderId="20" pivotButton="0" quotePrefix="0" xfId="0"/>
    <xf numFmtId="0" fontId="22" fillId="0" borderId="0" pivotButton="0" quotePrefix="0" xfId="0"/>
    <xf numFmtId="0" fontId="28" fillId="13" borderId="14" applyAlignment="1" pivotButton="0" quotePrefix="0" xfId="0">
      <alignment horizontal="center" wrapText="1"/>
    </xf>
    <xf numFmtId="0" fontId="28" fillId="13" borderId="16" applyAlignment="1" pivotButton="0" quotePrefix="0" xfId="0">
      <alignment horizontal="center" wrapText="1"/>
    </xf>
    <xf numFmtId="0" fontId="25" fillId="0" borderId="0" pivotButton="0" quotePrefix="0" xfId="0"/>
    <xf numFmtId="0" fontId="22" fillId="0" borderId="15" applyAlignment="1" pivotButton="0" quotePrefix="0" xfId="0">
      <alignment horizontal="center"/>
    </xf>
    <xf numFmtId="0" fontId="22" fillId="0" borderId="17" applyAlignment="1" pivotButton="0" quotePrefix="0" xfId="0">
      <alignment horizontal="center"/>
    </xf>
    <xf numFmtId="0" fontId="22" fillId="0" borderId="0" applyAlignment="1" pivotButton="0" quotePrefix="0" xfId="0">
      <alignment horizontal="center"/>
    </xf>
    <xf numFmtId="0" fontId="29" fillId="0" borderId="2" applyAlignment="1" pivotButton="0" quotePrefix="0" xfId="0">
      <alignment horizontal="center"/>
    </xf>
    <xf numFmtId="0" fontId="24" fillId="5" borderId="6" applyAlignment="1" pivotButton="0" quotePrefix="0" xfId="0">
      <alignment horizontal="center"/>
    </xf>
    <xf numFmtId="0" fontId="24" fillId="5" borderId="6" pivotButton="0" quotePrefix="0" xfId="0"/>
    <xf numFmtId="0" fontId="24" fillId="0" borderId="6" applyAlignment="1" pivotButton="0" quotePrefix="0" xfId="0">
      <alignment horizontal="center"/>
    </xf>
    <xf numFmtId="0" fontId="26" fillId="16" borderId="5" pivotButton="0" quotePrefix="0" xfId="0"/>
    <xf numFmtId="1" fontId="26" fillId="15" borderId="2" pivotButton="0" quotePrefix="0" xfId="0"/>
    <xf numFmtId="0" fontId="23" fillId="2" borderId="2" applyAlignment="1" pivotButton="0" quotePrefix="0" xfId="0">
      <alignment horizontal="center" vertical="center" readingOrder="1"/>
    </xf>
    <xf numFmtId="0" fontId="30" fillId="7" borderId="0" applyAlignment="1" pivotButton="0" quotePrefix="0" xfId="0">
      <alignment vertical="center" wrapText="1"/>
    </xf>
    <xf numFmtId="0" fontId="26" fillId="16" borderId="0" pivotButton="0" quotePrefix="0" xfId="0"/>
    <xf numFmtId="3" fontId="26" fillId="15" borderId="2" pivotButton="0" quotePrefix="0" xfId="0"/>
    <xf numFmtId="0" fontId="26" fillId="15" borderId="1" pivotButton="0" quotePrefix="0" xfId="0"/>
    <xf numFmtId="0" fontId="24" fillId="17" borderId="2" applyAlignment="1" pivotButton="0" quotePrefix="0" xfId="0">
      <alignment horizontal="center"/>
    </xf>
    <xf numFmtId="0" fontId="25" fillId="17" borderId="2" applyAlignment="1" pivotButton="0" quotePrefix="0" xfId="0">
      <alignment horizontal="center"/>
    </xf>
    <xf numFmtId="0" fontId="24" fillId="17" borderId="21" applyAlignment="1" pivotButton="0" quotePrefix="0" xfId="0">
      <alignment horizontal="center"/>
    </xf>
    <xf numFmtId="0" fontId="26" fillId="15" borderId="23" pivotButton="0" quotePrefix="0" xfId="0"/>
    <xf numFmtId="0" fontId="23" fillId="0" borderId="2" applyAlignment="1" pivotButton="0" quotePrefix="0" xfId="0">
      <alignment horizontal="center"/>
    </xf>
    <xf numFmtId="0" fontId="0" fillId="0" borderId="0" applyAlignment="1" pivotButton="0" quotePrefix="0" xfId="0">
      <alignment vertical="center" wrapText="1"/>
    </xf>
    <xf numFmtId="0" fontId="0" fillId="0" borderId="2" applyAlignment="1" pivotButton="0" quotePrefix="0" xfId="0">
      <alignment vertical="center" wrapText="1"/>
    </xf>
    <xf numFmtId="0" fontId="11" fillId="15" borderId="2" applyAlignment="1" pivotButton="0" quotePrefix="0" xfId="0">
      <alignment horizontal="left" vertical="center" readingOrder="1"/>
    </xf>
    <xf numFmtId="0" fontId="0" fillId="15" borderId="2" pivotButton="0" quotePrefix="0" xfId="0"/>
    <xf numFmtId="0" fontId="22" fillId="0" borderId="2" applyAlignment="1" pivotButton="0" quotePrefix="0" xfId="0">
      <alignment readingOrder="1"/>
    </xf>
    <xf numFmtId="0" fontId="22" fillId="0" borderId="2" applyAlignment="1" pivotButton="0" quotePrefix="0" xfId="0">
      <alignment horizontal="left" vertical="center" wrapText="1" indent="1"/>
    </xf>
    <xf numFmtId="0" fontId="19" fillId="15" borderId="2" applyAlignment="1" pivotButton="0" quotePrefix="0" xfId="0">
      <alignment horizontal="left" vertical="center" readingOrder="1"/>
    </xf>
    <xf numFmtId="0" fontId="20" fillId="0" borderId="2" pivotButton="0" quotePrefix="0" xfId="0"/>
    <xf numFmtId="0" fontId="0" fillId="16" borderId="2" pivotButton="0" quotePrefix="0" xfId="0"/>
    <xf numFmtId="0" fontId="0" fillId="0" borderId="1" applyAlignment="1" pivotButton="0" quotePrefix="0" xfId="0">
      <alignment horizontal="left" wrapText="1"/>
    </xf>
    <xf numFmtId="0" fontId="31" fillId="0" borderId="2" applyAlignment="1" pivotButton="0" quotePrefix="0" xfId="0">
      <alignment horizontal="left" wrapText="1"/>
    </xf>
    <xf numFmtId="0" fontId="32" fillId="7" borderId="25" applyAlignment="1" pivotButton="0" quotePrefix="0" xfId="0">
      <alignment horizontal="left" vertical="center" wrapText="1" indent="1"/>
    </xf>
    <xf numFmtId="0" fontId="32" fillId="7" borderId="26" applyAlignment="1" pivotButton="0" quotePrefix="0" xfId="0">
      <alignment horizontal="left" vertical="center" wrapText="1" indent="1"/>
    </xf>
    <xf numFmtId="0" fontId="27" fillId="18" borderId="2" applyAlignment="1" pivotButton="0" quotePrefix="0" xfId="0">
      <alignment wrapText="1"/>
    </xf>
    <xf numFmtId="0" fontId="33" fillId="0" borderId="0" applyAlignment="1" pivotButton="0" quotePrefix="0" xfId="0">
      <alignment horizontal="left" vertical="center" readingOrder="1"/>
    </xf>
    <xf numFmtId="0" fontId="21" fillId="15" borderId="2" pivotButton="0" quotePrefix="0" xfId="0"/>
    <xf numFmtId="0" fontId="35" fillId="0" borderId="0" pivotButton="0" quotePrefix="0" xfId="0"/>
    <xf numFmtId="0" fontId="36" fillId="0" borderId="0" pivotButton="0" quotePrefix="0" xfId="0"/>
    <xf numFmtId="0" fontId="12" fillId="0" borderId="0" pivotButton="0" quotePrefix="0" xfId="0"/>
    <xf numFmtId="0" fontId="0" fillId="0" borderId="0" applyAlignment="1" pivotButton="0" quotePrefix="0" xfId="0">
      <alignment wrapText="1"/>
    </xf>
    <xf numFmtId="0" fontId="26" fillId="0" borderId="1" pivotButton="0" quotePrefix="0" xfId="0"/>
    <xf numFmtId="0" fontId="37" fillId="0" borderId="0" pivotButton="0" quotePrefix="0" xfId="0"/>
    <xf numFmtId="0" fontId="34" fillId="0" borderId="0" pivotButton="0" quotePrefix="0" xfId="0"/>
    <xf numFmtId="0" fontId="38" fillId="0" borderId="0" pivotButton="0" quotePrefix="0" xfId="0"/>
    <xf numFmtId="0" fontId="37" fillId="27" borderId="0" pivotButton="0" quotePrefix="0" xfId="0"/>
    <xf numFmtId="0" fontId="39" fillId="0" borderId="0" pivotButton="0" quotePrefix="0" xfId="0"/>
    <xf numFmtId="0" fontId="40" fillId="0" borderId="0" pivotButton="0" quotePrefix="0" xfId="0"/>
    <xf numFmtId="0" fontId="15" fillId="0" borderId="0" pivotButton="0" quotePrefix="0" xfId="0"/>
    <xf numFmtId="0" fontId="41" fillId="0" borderId="28" pivotButton="0" quotePrefix="0" xfId="0"/>
    <xf numFmtId="0" fontId="1" fillId="19" borderId="32" pivotButton="0" quotePrefix="0" xfId="0"/>
    <xf numFmtId="0" fontId="1" fillId="20" borderId="10" pivotButton="0" quotePrefix="0" xfId="0"/>
    <xf numFmtId="0" fontId="1" fillId="0" borderId="27" pivotButton="0" quotePrefix="0" xfId="0"/>
    <xf numFmtId="0" fontId="1" fillId="20" borderId="14" pivotButton="0" quotePrefix="0" xfId="0"/>
    <xf numFmtId="0" fontId="1" fillId="0" borderId="16" pivotButton="0" quotePrefix="0" xfId="0"/>
    <xf numFmtId="0" fontId="1" fillId="0" borderId="5" pivotButton="0" quotePrefix="0" xfId="0"/>
    <xf numFmtId="0" fontId="41" fillId="0" borderId="31" pivotButton="0" quotePrefix="0" xfId="0"/>
    <xf numFmtId="0" fontId="1" fillId="20" borderId="6" pivotButton="0" quotePrefix="0" xfId="0"/>
    <xf numFmtId="0" fontId="1" fillId="20" borderId="18" pivotButton="0" quotePrefix="0" xfId="0"/>
    <xf numFmtId="0" fontId="1" fillId="0" borderId="36" pivotButton="0" quotePrefix="0" xfId="0"/>
    <xf numFmtId="0" fontId="1" fillId="21" borderId="20" pivotButton="0" quotePrefix="0" xfId="0"/>
    <xf numFmtId="0" fontId="1" fillId="22" borderId="33" pivotButton="0" quotePrefix="0" xfId="0"/>
    <xf numFmtId="0" fontId="1" fillId="22" borderId="34" pivotButton="0" quotePrefix="0" xfId="0"/>
    <xf numFmtId="0" fontId="37" fillId="0" borderId="31" pivotButton="0" quotePrefix="0" xfId="0"/>
    <xf numFmtId="0" fontId="1" fillId="0" borderId="20" pivotButton="0" quotePrefix="0" xfId="0"/>
    <xf numFmtId="0" fontId="1" fillId="22" borderId="31" pivotButton="0" quotePrefix="0" xfId="0"/>
    <xf numFmtId="0" fontId="37" fillId="29" borderId="20" pivotButton="0" quotePrefix="0" xfId="0"/>
    <xf numFmtId="0" fontId="43" fillId="23" borderId="34" pivotButton="0" quotePrefix="0" xfId="0"/>
    <xf numFmtId="0" fontId="43" fillId="23" borderId="22" pivotButton="0" quotePrefix="0" xfId="0"/>
    <xf numFmtId="0" fontId="43" fillId="23" borderId="38" pivotButton="0" quotePrefix="0" xfId="0"/>
    <xf numFmtId="0" fontId="1" fillId="30" borderId="35" pivotButton="0" quotePrefix="0" xfId="0"/>
    <xf numFmtId="0" fontId="1" fillId="31" borderId="20" pivotButton="0" quotePrefix="0" xfId="0"/>
    <xf numFmtId="0" fontId="1" fillId="31" borderId="36" pivotButton="0" quotePrefix="0" xfId="0"/>
    <xf numFmtId="0" fontId="1" fillId="24" borderId="39" pivotButton="0" quotePrefix="0" xfId="0"/>
    <xf numFmtId="0" fontId="37" fillId="0" borderId="20" pivotButton="0" quotePrefix="0" xfId="0"/>
    <xf numFmtId="0" fontId="1" fillId="26" borderId="39" pivotButton="0" quotePrefix="0" xfId="0"/>
    <xf numFmtId="0" fontId="37" fillId="0" borderId="29" pivotButton="0" quotePrefix="0" xfId="0"/>
    <xf numFmtId="0" fontId="1" fillId="30" borderId="43" pivotButton="0" quotePrefix="0" xfId="0"/>
    <xf numFmtId="0" fontId="1" fillId="22" borderId="40" pivotButton="0" quotePrefix="0" xfId="0"/>
    <xf numFmtId="0" fontId="41" fillId="0" borderId="25" pivotButton="0" quotePrefix="0" xfId="0"/>
    <xf numFmtId="0" fontId="1" fillId="20" borderId="44" pivotButton="0" quotePrefix="0" xfId="0"/>
    <xf numFmtId="0" fontId="1" fillId="20" borderId="45" pivotButton="0" quotePrefix="0" xfId="0"/>
    <xf numFmtId="0" fontId="1" fillId="0" borderId="25" pivotButton="0" quotePrefix="0" xfId="0"/>
    <xf numFmtId="0" fontId="26" fillId="0" borderId="1" applyAlignment="1" pivotButton="0" quotePrefix="0" xfId="0">
      <alignment wrapText="1"/>
    </xf>
    <xf numFmtId="3" fontId="26" fillId="0" borderId="1" applyAlignment="1" pivotButton="0" quotePrefix="0" xfId="0">
      <alignment wrapText="1"/>
    </xf>
    <xf numFmtId="0" fontId="0" fillId="0" borderId="1" applyAlignment="1" pivotButton="0" quotePrefix="0" xfId="0">
      <alignment vertical="top" wrapText="1"/>
    </xf>
    <xf numFmtId="0" fontId="44" fillId="0" borderId="0" applyAlignment="1" pivotButton="0" quotePrefix="0" xfId="0">
      <alignment vertical="center" wrapText="1"/>
    </xf>
    <xf numFmtId="0" fontId="45" fillId="0" borderId="2" applyAlignment="1" pivotButton="0" quotePrefix="0" xfId="0">
      <alignment wrapText="1"/>
    </xf>
    <xf numFmtId="0" fontId="46" fillId="0" borderId="2" applyAlignment="1" pivotButton="0" quotePrefix="0" xfId="0">
      <alignment vertical="center"/>
    </xf>
    <xf numFmtId="0" fontId="46" fillId="0" borderId="2" applyAlignment="1" pivotButton="0" quotePrefix="0" xfId="0">
      <alignment vertical="center" wrapText="1"/>
    </xf>
    <xf numFmtId="0" fontId="46" fillId="0" borderId="55" applyAlignment="1" pivotButton="0" quotePrefix="0" xfId="0">
      <alignment vertical="center"/>
    </xf>
    <xf numFmtId="0" fontId="24" fillId="10" borderId="2" applyAlignment="1" pivotButton="0" quotePrefix="0" xfId="0">
      <alignment horizontal="center"/>
    </xf>
    <xf numFmtId="0" fontId="0" fillId="0" borderId="8" pivotButton="0" quotePrefix="0" xfId="0"/>
    <xf numFmtId="0" fontId="0" fillId="0" borderId="5" pivotButton="0" quotePrefix="0" xfId="0"/>
    <xf numFmtId="0" fontId="24" fillId="11" borderId="2" applyAlignment="1" pivotButton="0" quotePrefix="0" xfId="0">
      <alignment horizontal="center"/>
    </xf>
    <xf numFmtId="0" fontId="24" fillId="10" borderId="6" applyAlignment="1" pivotButton="0" quotePrefix="0" xfId="0">
      <alignment horizontal="center"/>
    </xf>
    <xf numFmtId="0" fontId="0" fillId="0" borderId="19" pivotButton="0" quotePrefix="0" xfId="0"/>
    <xf numFmtId="0" fontId="0" fillId="0" borderId="20" pivotButton="0" quotePrefix="0" xfId="0"/>
    <xf numFmtId="0" fontId="24" fillId="12" borderId="2" applyAlignment="1" pivotButton="0" quotePrefix="0" xfId="0">
      <alignment horizontal="center"/>
    </xf>
    <xf numFmtId="0" fontId="24" fillId="11" borderId="6" applyAlignment="1" pivotButton="0" quotePrefix="0" xfId="0">
      <alignment horizontal="center"/>
    </xf>
    <xf numFmtId="0" fontId="24" fillId="0" borderId="9" applyAlignment="1" pivotButton="0" quotePrefix="0" xfId="0">
      <alignment horizontal="center"/>
    </xf>
    <xf numFmtId="0" fontId="0" fillId="0" borderId="14" pivotButton="0" quotePrefix="0" xfId="0"/>
    <xf numFmtId="0" fontId="0" fillId="0" borderId="46" pivotButton="0" quotePrefix="0" xfId="0"/>
    <xf numFmtId="0" fontId="22" fillId="0" borderId="13" applyAlignment="1" pivotButton="0" quotePrefix="0" xfId="0">
      <alignment horizontal="center"/>
    </xf>
    <xf numFmtId="0" fontId="0" fillId="0" borderId="15" pivotButton="0" quotePrefix="0" xfId="0"/>
    <xf numFmtId="0" fontId="0" fillId="0" borderId="47" pivotButton="0" quotePrefix="0" xfId="0"/>
    <xf numFmtId="0" fontId="22" fillId="14" borderId="48" applyAlignment="1" pivotButton="0" quotePrefix="0" xfId="0">
      <alignment horizontal="center" vertical="center"/>
    </xf>
    <xf numFmtId="0" fontId="0" fillId="0" borderId="11" pivotButton="0" quotePrefix="0" xfId="0"/>
    <xf numFmtId="0" fontId="0" fillId="0" borderId="12" pivotButton="0" quotePrefix="0" xfId="0"/>
    <xf numFmtId="0" fontId="25" fillId="0" borderId="0" applyAlignment="1" pivotButton="0" quotePrefix="0" xfId="0">
      <alignment horizontal="left" wrapText="1"/>
    </xf>
    <xf numFmtId="0" fontId="0" fillId="0" borderId="0" pivotButton="0" quotePrefix="0" xfId="0"/>
    <xf numFmtId="0" fontId="28" fillId="13" borderId="9" applyAlignment="1" pivotButton="0" quotePrefix="0" xfId="0">
      <alignment horizontal="center" wrapText="1"/>
    </xf>
    <xf numFmtId="0" fontId="24" fillId="17" borderId="2" applyAlignment="1" pivotButton="0" quotePrefix="0" xfId="0">
      <alignment horizontal="center"/>
    </xf>
    <xf numFmtId="0" fontId="6" fillId="0" borderId="0" applyAlignment="1" pivotButton="0" quotePrefix="0" xfId="0">
      <alignment horizontal="right" vertical="center" indent="1" readingOrder="1"/>
    </xf>
    <xf numFmtId="0" fontId="7" fillId="0" borderId="0" pivotButton="0" quotePrefix="0" xfId="0"/>
    <xf numFmtId="0" fontId="6" fillId="0" borderId="0" applyAlignment="1" pivotButton="0" quotePrefix="0" xfId="0">
      <alignment horizontal="right" indent="1"/>
    </xf>
    <xf numFmtId="0" fontId="1" fillId="22" borderId="34" pivotButton="0" quotePrefix="0" xfId="0"/>
    <xf numFmtId="0" fontId="0" fillId="0" borderId="33" pivotButton="0" quotePrefix="0" xfId="0"/>
    <xf numFmtId="0" fontId="0" fillId="0" borderId="34" pivotButton="0" quotePrefix="0" xfId="0"/>
    <xf numFmtId="0" fontId="1" fillId="22" borderId="3" pivotButton="0" quotePrefix="0" xfId="0"/>
    <xf numFmtId="0" fontId="0" fillId="0" borderId="4" pivotButton="0" quotePrefix="0" xfId="0"/>
    <xf numFmtId="0" fontId="0" fillId="0" borderId="3" pivotButton="0" quotePrefix="0" xfId="0"/>
    <xf numFmtId="0" fontId="1" fillId="25" borderId="21" pivotButton="0" quotePrefix="0" xfId="0"/>
    <xf numFmtId="0" fontId="0" fillId="0" borderId="24" pivotButton="0" quotePrefix="0" xfId="0"/>
    <xf numFmtId="0" fontId="1" fillId="34" borderId="34" pivotButton="0" quotePrefix="0" xfId="0"/>
    <xf numFmtId="0" fontId="37" fillId="32" borderId="41" pivotButton="0" quotePrefix="0" xfId="0"/>
    <xf numFmtId="0" fontId="0" fillId="0" borderId="41" pivotButton="0" quotePrefix="0" xfId="0"/>
    <xf numFmtId="0" fontId="1" fillId="25" borderId="42" pivotButton="0" quotePrefix="0" xfId="0"/>
    <xf numFmtId="0" fontId="0" fillId="0" borderId="53" pivotButton="0" quotePrefix="0" xfId="0"/>
    <xf numFmtId="0" fontId="1" fillId="22" borderId="22" pivotButton="0" quotePrefix="0" xfId="0"/>
    <xf numFmtId="0" fontId="1" fillId="25" borderId="37" pivotButton="0" quotePrefix="0" xfId="0"/>
    <xf numFmtId="0" fontId="0" fillId="0" borderId="37" pivotButton="0" quotePrefix="0" xfId="0"/>
    <xf numFmtId="0" fontId="1" fillId="25" borderId="49" pivotButton="0" quotePrefix="0" xfId="0"/>
    <xf numFmtId="0" fontId="0" fillId="0" borderId="49" pivotButton="0" quotePrefix="0" xfId="0"/>
    <xf numFmtId="0" fontId="1" fillId="33" borderId="49" pivotButton="0" quotePrefix="0" xfId="0"/>
    <xf numFmtId="0" fontId="1" fillId="25" borderId="41" pivotButton="0" quotePrefix="0" xfId="0"/>
    <xf numFmtId="0" fontId="1" fillId="25" borderId="31" pivotButton="0" quotePrefix="0" xfId="0"/>
    <xf numFmtId="0" fontId="0" fillId="0" borderId="31" pivotButton="0" quotePrefix="0" xfId="0"/>
    <xf numFmtId="0" fontId="1" fillId="33" borderId="37" pivotButton="0" quotePrefix="0" xfId="0"/>
    <xf numFmtId="0" fontId="1" fillId="22" borderId="1" pivotButton="0" quotePrefix="0" xfId="0"/>
    <xf numFmtId="0" fontId="1" fillId="33" borderId="54" pivotButton="0" quotePrefix="0" xfId="0"/>
    <xf numFmtId="0" fontId="0" fillId="0" borderId="40" pivotButton="0" quotePrefix="0" xfId="0"/>
    <xf numFmtId="0" fontId="42" fillId="0" borderId="50" applyAlignment="1" pivotButton="0" quotePrefix="0" xfId="0">
      <alignment textRotation="180"/>
    </xf>
    <xf numFmtId="0" fontId="0" fillId="0" borderId="30" pivotButton="0" quotePrefix="0" xfId="0"/>
    <xf numFmtId="0" fontId="0" fillId="0" borderId="51" pivotButton="0" quotePrefix="0" xfId="0"/>
    <xf numFmtId="0" fontId="1" fillId="25" borderId="24" pivotButton="0" quotePrefix="0" xfId="0"/>
    <xf numFmtId="0" fontId="1" fillId="34" borderId="3" pivotButton="0" quotePrefix="0" xfId="0"/>
    <xf numFmtId="0" fontId="1" fillId="28" borderId="52" pivotButton="0" quotePrefix="0" xfId="0"/>
    <xf numFmtId="0" fontId="1" fillId="25" borderId="54" pivotButton="0" quotePrefix="0" xfId="0"/>
    <xf numFmtId="0" fontId="1" fillId="33" borderId="52" pivotButton="0" quotePrefix="0" xfId="0"/>
    <xf numFmtId="0" fontId="1" fillId="25" borderId="52" pivotButton="0" quotePrefix="0" xfId="0"/>
    <xf numFmtId="0" fontId="1" fillId="0" borderId="50" applyAlignment="1" pivotButton="0" quotePrefix="0" xfId="0">
      <alignment textRotation="180"/>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externalLink" Target="/xl/externalLinks/externalLink1.xml" Id="rId10" /><Relationship Type="http://schemas.openxmlformats.org/officeDocument/2006/relationships/externalLink" Target="/xl/externalLinks/externalLink2.xml" Id="rId11" /><Relationship Type="http://schemas.openxmlformats.org/officeDocument/2006/relationships/externalLink" Target="/xl/externalLinks/externalLink3.xml" Id="rId12" /><Relationship Type="http://schemas.openxmlformats.org/officeDocument/2006/relationships/externalLink" Target="/xl/externalLinks/externalLink4.xml" Id="rId13" /><Relationship Type="http://schemas.openxmlformats.org/officeDocument/2006/relationships/externalLink" Target="/xl/externalLinks/externalLink5.xml" Id="rId14" /><Relationship Type="http://schemas.openxmlformats.org/officeDocument/2006/relationships/styles" Target="styles.xml" Id="rId15" /><Relationship Type="http://schemas.openxmlformats.org/officeDocument/2006/relationships/theme" Target="theme/theme1.xml" Id="rId1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 Type="http://schemas.openxmlformats.org/officeDocument/2006/relationships/image" Target="/xl/media/image4.png" Id="rId3" /></Relationships>
</file>

<file path=xl/drawings/_rels/drawing3.xml.rels><Relationships xmlns="http://schemas.openxmlformats.org/package/2006/relationships"><Relationship Type="http://schemas.openxmlformats.org/officeDocument/2006/relationships/image" Target="/xl/media/image5.jpeg" Id="rId1" /></Relationships>
</file>

<file path=xl/drawings/_rels/drawing4.xml.rels><Relationships xmlns="http://schemas.openxmlformats.org/package/2006/relationships"><Relationship Type="http://schemas.openxmlformats.org/officeDocument/2006/relationships/image" Target="/xl/media/image6.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23</row>
      <rowOff>19050</rowOff>
    </from>
    <to>
      <col>15</col>
      <colOff>514350</colOff>
      <row>26</row>
      <rowOff>76200</rowOff>
    </to>
    <pic>
      <nvPicPr>
        <cNvPr id="2" name="Picture 1"/>
        <cNvPicPr>
          <a:picLocks noChangeAspect="1"/>
        </cNvPicPr>
      </nvPicPr>
      <blipFill>
        <a:blip r:embed="rId1"/>
        <a:stretch>
          <a:fillRect/>
        </a:stretch>
      </blipFill>
      <spPr>
        <a:xfrm>
          <a:off x="0" y="4400550"/>
          <a:ext cx="13115925" cy="62865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col>
      <colOff>333375</colOff>
      <row>3</row>
      <rowOff>38100</rowOff>
    </from>
    <to>
      <col>14</col>
      <colOff>219075</colOff>
      <row>23</row>
      <rowOff>104775</rowOff>
    </to>
    <pic>
      <nvPicPr>
        <cNvPr id="2" name="Picture 1"/>
        <cNvPicPr>
          <a:picLocks noChangeAspect="1"/>
        </cNvPicPr>
      </nvPicPr>
      <blipFill>
        <a:blip r:embed="rId1"/>
        <a:stretch>
          <a:fillRect/>
        </a:stretch>
      </blipFill>
      <spPr>
        <a:xfrm>
          <a:off x="2162175" y="609600"/>
          <a:ext cx="6591300" cy="3876675"/>
        </a:xfrm>
        <a:prstGeom prst="rect">
          <avLst/>
        </a:prstGeom>
        <a:ln>
          <a:prstDash val="solid"/>
        </a:ln>
      </spPr>
    </pic>
    <clientData/>
  </twoCellAnchor>
  <twoCellAnchor editAs="oneCell">
    <from>
      <col>4</col>
      <colOff>285750</colOff>
      <row>27</row>
      <rowOff>123825</rowOff>
    </from>
    <to>
      <col>11</col>
      <colOff>590550</colOff>
      <row>40</row>
      <rowOff>171450</rowOff>
    </to>
    <pic>
      <nvPicPr>
        <cNvPr id="3" name="Picture 2"/>
        <cNvPicPr>
          <a:picLocks noChangeAspect="1"/>
        </cNvPicPr>
      </nvPicPr>
      <blipFill>
        <a:blip r:embed="rId2"/>
        <a:stretch>
          <a:fillRect/>
        </a:stretch>
      </blipFill>
      <spPr>
        <a:xfrm>
          <a:off x="2724150" y="5267325"/>
          <a:ext cx="4572000" cy="2524125"/>
        </a:xfrm>
        <a:prstGeom prst="rect">
          <avLst/>
        </a:prstGeom>
        <a:ln>
          <a:prstDash val="solid"/>
        </a:ln>
      </spPr>
    </pic>
    <clientData/>
  </twoCellAnchor>
  <twoCellAnchor editAs="oneCell">
    <from>
      <col>4</col>
      <colOff>180975</colOff>
      <row>43</row>
      <rowOff>0</rowOff>
    </from>
    <to>
      <col>11</col>
      <colOff>485775</colOff>
      <row>56</row>
      <rowOff>28575</rowOff>
    </to>
    <pic>
      <nvPicPr>
        <cNvPr id="4" name="Picture 3"/>
        <cNvPicPr>
          <a:picLocks noChangeAspect="1"/>
        </cNvPicPr>
      </nvPicPr>
      <blipFill>
        <a:blip r:embed="rId3"/>
        <a:stretch>
          <a:fillRect/>
        </a:stretch>
      </blipFill>
      <spPr>
        <a:xfrm>
          <a:off x="2619375" y="8191500"/>
          <a:ext cx="4572000" cy="2505075"/>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409950" cy="762000"/>
    <pic>
      <nvPicPr>
        <cNvPr id="2" name="Picture 1"/>
        <cNvPicPr>
          <a:picLocks noChangeAspect="1"/>
        </cNvPicPr>
      </nvPicPr>
      <blipFill>
        <a:blip cstate="print" r:embed="rId1"/>
        <a:stretch>
          <a:fillRect/>
        </a:stretch>
      </blipFill>
      <spPr>
        <a:xfrm>
          <a:off x="0" y="0"/>
          <a:ext cx="3409950" cy="762000"/>
        </a:xfrm>
        <a:prstGeom prst="rect">
          <avLst/>
        </a:prstGeom>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409950" cy="762000"/>
    <pic>
      <nvPicPr>
        <cNvPr id="2" name="Picture 1"/>
        <cNvPicPr>
          <a:picLocks noChangeAspect="1"/>
        </cNvPicPr>
      </nvPicPr>
      <blipFill>
        <a:blip cstate="print" r:embed="rId1"/>
        <a:stretch>
          <a:fillRect/>
        </a:stretch>
      </blipFill>
      <spPr>
        <a:xfrm>
          <a:off x="0" y="0"/>
          <a:ext cx="3409950" cy="762000"/>
        </a:xfrm>
        <a:prstGeom prst="rect">
          <avLst/>
        </a:prstGeom>
        <a:ln>
          <a:prstDash val="solid"/>
        </a:ln>
      </spPr>
    </pic>
    <clientData/>
  </oneCellAnchor>
</wsDr>
</file>

<file path=xl/externalLinks/_rels/externalLink1.xml.rels><Relationships xmlns="http://schemas.openxmlformats.org/package/2006/relationships"><Relationship Type="http://schemas.openxmlformats.org/officeDocument/2006/relationships/externalLinkPath" Target="http://sharepoint.bankofamerica.com/Personal/Lotus123/Alternate%20Officing%20-%20Charlotte/Discovery%20File/Discovery%20File.xls" TargetMode="External" Id="rId1" /></Relationships>
</file>

<file path=xl/externalLinks/_rels/externalLink2.xml.rels><Relationships xmlns="http://schemas.openxmlformats.org/package/2006/relationships"><Relationship Type="http://schemas.microsoft.com/office/2006/relationships/xlExternalLinkPath/xlPathMissing" Target="RecoveredExternalLink1" TargetMode="External" Id="rId1" /></Relationships>
</file>

<file path=xl/externalLinks/_rels/externalLink3.xml.rels><Relationships xmlns="http://schemas.openxmlformats.org/package/2006/relationships"><Relationship Type="http://schemas.openxmlformats.org/officeDocument/2006/relationships/externalLinkPath" Target="https://jardinetechh-my.sharepoint.com/Users/yuank1/Desktop/Common%20Use/SEA/SEA%20Quote%20Processor%20v2.xlsm" TargetMode="External" Id="rId1" /></Relationships>
</file>

<file path=xl/externalLinks/_rels/externalLink4.xml.rels><Relationships xmlns="http://schemas.openxmlformats.org/package/2006/relationships"><Relationship Type="http://schemas.microsoft.com/office/2006/relationships/xlExternalLinkPath/xlPathMissing" Target="RecoveredExternalLink2" TargetMode="External" Id="rId1" /></Relationships>
</file>

<file path=xl/externalLinks/_rels/externalLink5.xml.rels><Relationships xmlns="http://schemas.openxmlformats.org/package/2006/relationships"><Relationship Type="http://schemas.microsoft.com/office/2006/relationships/xlExternalLinkPath/xlPathMissing" Target="RecoveredExternalLink3"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Agenda"/>
      <sheetName val="TARs"/>
      <sheetName val="Issues"/>
      <sheetName val="Key Decisions"/>
      <sheetName val="Risks"/>
      <sheetName val="Change Controls"/>
      <sheetName val="Contacts"/>
      <sheetName val="Data"/>
      <sheetName val="Base Summary"/>
      <sheetName val="Phases"/>
      <sheetName val="Milestones"/>
      <sheetName val="KeyTask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Pricing Model"/>
      <sheetName val="Sample Template"/>
      <sheetName val="Reference Data"/>
      <sheetName val="Cost"/>
      <sheetName val="LOIS Summary"/>
      <sheetName val="GB200 Parts"/>
      <sheetName val="XE9785L OLD"/>
      <sheetName val="XE9680L BOM"/>
      <sheetName val="XE9785L BOM"/>
      <sheetName val="XE9680L_SKU_BOM"/>
      <sheetName val="P&amp;L"/>
      <sheetName val="GOAL Export"/>
      <sheetName val="Version"/>
      <sheetName val="L10 BOM Storage"/>
      <sheetName val="L11 BOM Storage"/>
      <sheetName val="BOM Storage Network Original"/>
      <sheetName val="BOM Storage Network DELTA"/>
      <sheetName val="BOM Storage Software"/>
      <sheetName val="L11 Storage Rack Elevation"/>
      <sheetName val="Back-End Network Design"/>
      <sheetName val="Services Summary"/>
      <sheetName val="DW2000P_1"/>
      <sheetName val="Compute_Management"/>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
          <cell r="B3" t="str">
            <v>Solution Description:</v>
          </cell>
        </row>
      </sheetData>
      <sheetData sheetId="13">
        <row r="11">
          <cell r="E11">
            <v>24</v>
          </cell>
        </row>
      </sheetData>
      <sheetData sheetId="14">
        <row r="15">
          <cell r="D15">
            <v>0</v>
          </cell>
        </row>
      </sheetData>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rocessor"/>
      <sheetName val="Info"/>
      <sheetName val="Template"/>
      <sheetName val="IQR"/>
    </sheetNames>
    <sheetDataSet>
      <sheetData sheetId="0"/>
      <sheetData sheetId="1"/>
      <sheetData sheetId="2"/>
      <sheetData sheetId="3"/>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over"/>
      <sheetName val="Summary &amp; Status"/>
      <sheetName val="Key Info"/>
      <sheetName val="Quotes and Orders"/>
      <sheetName val="Reports"/>
      <sheetName val="% Complete"/>
      <sheetName val="Status Trend"/>
      <sheetName val="Stakeholders"/>
      <sheetName val="Communication Plan"/>
      <sheetName val="Comms Plan (Meeting Cadence)"/>
      <sheetName val="Risks &amp; Issues"/>
      <sheetName val="RAID Dashboard"/>
      <sheetName val="Action Items"/>
      <sheetName val=" Decisions"/>
      <sheetName val="Interview Schedule"/>
      <sheetName val="Updated Dashboard"/>
      <sheetName val="Progress Dashboard"/>
      <sheetName val="ARB"/>
      <sheetName val="Open Action Log (AMD &amp; Nvidia)"/>
      <sheetName val="Actions &amp; Open Items"/>
      <sheetName val="Closed Action Log"/>
      <sheetName val="EBC Action Items and Notes"/>
      <sheetName val="Assumptions"/>
      <sheetName val="Dependencies"/>
      <sheetName val="Exit Criteria"/>
      <sheetName val="Changes"/>
      <sheetName val="Inventory List"/>
      <sheetName val="Email Text"/>
      <sheetName val="Data"/>
      <sheetName val="Tools"/>
      <sheetName val="Lessons Learned"/>
      <sheetName val="WBS"/>
      <sheetName val="US T-Minus"/>
      <sheetName val="Escalation Pa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Summary"/>
      <sheetName val="EUC1 Schedule"/>
      <sheetName val="Change Log"/>
      <sheetName val="EUC1 Home"/>
      <sheetName val="Order Schedule - JW"/>
      <sheetName val="Lead Times"/>
      <sheetName val="LookUp"/>
      <sheetName val="Site details V2"/>
      <sheetName val="Lead Time Detail"/>
      <sheetName val="EUC1_Schedule"/>
      <sheetName val="Change_Log"/>
      <sheetName val="EUC1_Home"/>
      <sheetName val="Order_Schedule_-_JW"/>
      <sheetName val="Lead_Times"/>
      <sheetName val="Site_details_V2"/>
      <sheetName val="Lead_Time_Deta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8.xml.rels><Relationships xmlns="http://schemas.openxmlformats.org/package/2006/relationships"><Relationship Type="http://schemas.openxmlformats.org/officeDocument/2006/relationships/drawing" Target="/xl/drawings/drawing3.xml" Id="rId1" /></Relationships>
</file>

<file path=xl/worksheets/_rels/sheet9.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K23"/>
  <sheetViews>
    <sheetView workbookViewId="0">
      <selection activeCell="D30" sqref="D30"/>
    </sheetView>
  </sheetViews>
  <sheetFormatPr baseColWidth="8" defaultRowHeight="14.4"/>
  <cols>
    <col width="28" bestFit="1" customWidth="1" style="184" min="1" max="1"/>
    <col width="12" bestFit="1" customWidth="1" style="184" min="2" max="2"/>
    <col width="11.44140625" bestFit="1" customWidth="1" style="184" min="3" max="4"/>
    <col width="12.6640625" bestFit="1" customWidth="1" style="184" min="5" max="5"/>
    <col width="11.33203125" customWidth="1" style="184" min="6" max="6"/>
    <col width="16" bestFit="1" customWidth="1" style="184" min="7" max="7"/>
    <col width="12" bestFit="1" customWidth="1" style="184" min="8" max="8"/>
    <col width="10.5546875" customWidth="1" style="184" min="9" max="9"/>
    <col width="16" bestFit="1" customWidth="1" style="184" min="10" max="10"/>
    <col width="11" bestFit="1" customWidth="1" style="184" min="11" max="11"/>
  </cols>
  <sheetData>
    <row r="1">
      <c r="A1" s="35" t="inlineStr">
        <is>
          <t>Item</t>
        </is>
      </c>
      <c r="B1" s="35" t="inlineStr">
        <is>
          <t>Cost</t>
        </is>
      </c>
      <c r="C1" s="35" t="inlineStr">
        <is>
          <t>CPU Rebate</t>
        </is>
      </c>
      <c r="D1" s="35" t="inlineStr">
        <is>
          <t>GPU Rebate</t>
        </is>
      </c>
      <c r="E1" s="35" t="inlineStr">
        <is>
          <t>Cost - Rebate</t>
        </is>
      </c>
      <c r="F1" s="35" t="inlineStr">
        <is>
          <t>QTY</t>
        </is>
      </c>
      <c r="G1" s="35" t="inlineStr">
        <is>
          <t>Total Cost</t>
        </is>
      </c>
      <c r="H1" s="35" t="inlineStr">
        <is>
          <t>Price</t>
        </is>
      </c>
      <c r="I1" s="35" t="inlineStr">
        <is>
          <t xml:space="preserve">Margin </t>
        </is>
      </c>
      <c r="J1" s="35" t="inlineStr">
        <is>
          <t>Total Price</t>
        </is>
      </c>
      <c r="K1" s="35" t="inlineStr">
        <is>
          <t>Comments</t>
        </is>
      </c>
    </row>
    <row r="2">
      <c r="A2" s="36" t="inlineStr">
        <is>
          <t>XE9785L MI355x w/3y PS1 CSP</t>
        </is>
      </c>
      <c r="B2" s="37">
        <f>'GOAL Export'!G9</f>
        <v/>
      </c>
      <c r="C2" s="37">
        <f>2430*2</f>
        <v/>
      </c>
      <c r="D2" s="37" t="n">
        <v>8600</v>
      </c>
      <c r="E2" s="37">
        <f>B2-C2-D2</f>
        <v/>
      </c>
      <c r="F2" s="36" t="n">
        <v>1664</v>
      </c>
      <c r="G2" s="37">
        <f>F2*E2</f>
        <v/>
      </c>
      <c r="H2" s="37" t="n">
        <v>267000</v>
      </c>
      <c r="I2" s="38">
        <f>(H2-E2)/H2</f>
        <v/>
      </c>
      <c r="J2" s="37">
        <f>H2*F2</f>
        <v/>
      </c>
      <c r="K2" s="36" t="n"/>
    </row>
    <row r="3"/>
    <row r="4"/>
    <row r="5"/>
    <row r="6"/>
    <row r="7"/>
    <row r="8"/>
    <row r="9"/>
    <row r="10"/>
    <row r="11"/>
    <row r="12"/>
    <row r="13"/>
    <row r="14"/>
    <row r="15"/>
    <row r="16"/>
    <row r="17"/>
    <row r="18"/>
    <row r="19"/>
    <row r="20"/>
    <row r="21"/>
    <row r="22"/>
    <row r="23">
      <c r="A23" s="39" t="inlineStr">
        <is>
          <t>Previously Approved P&amp;L</t>
        </is>
      </c>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9"/>
  <sheetViews>
    <sheetView workbookViewId="0">
      <selection activeCell="B24" sqref="B24"/>
    </sheetView>
  </sheetViews>
  <sheetFormatPr baseColWidth="8" defaultRowHeight="14.4"/>
  <cols>
    <col width="19.5546875" bestFit="1" customWidth="1" style="184" min="1" max="1"/>
    <col width="75.109375" bestFit="1" customWidth="1" style="184" min="2" max="2"/>
    <col width="21.44140625" bestFit="1" customWidth="1" style="184" min="4" max="4"/>
    <col width="25.109375" bestFit="1" customWidth="1" style="184" min="5" max="5"/>
    <col width="10.44140625" bestFit="1" customWidth="1" style="184" min="7" max="7"/>
  </cols>
  <sheetData>
    <row r="1" ht="15.75" customHeight="1" s="184">
      <c r="A1" s="30" t="inlineStr">
        <is>
          <t>Quote #</t>
        </is>
      </c>
      <c r="B1" s="31" t="inlineStr">
        <is>
          <t>Config Description</t>
        </is>
      </c>
      <c r="C1" s="31" t="inlineStr">
        <is>
          <t>Total Units</t>
        </is>
      </c>
      <c r="D1" s="31" t="inlineStr">
        <is>
          <t>Total Selling Price</t>
        </is>
      </c>
      <c r="E1" s="31" t="inlineStr">
        <is>
          <t>Total Config Revenue</t>
        </is>
      </c>
      <c r="F1" s="31" t="inlineStr">
        <is>
          <t>Current Margin %</t>
        </is>
      </c>
      <c r="G1" s="31" t="inlineStr">
        <is>
          <t>Cost</t>
        </is>
      </c>
    </row>
    <row r="2">
      <c r="A2" s="32" t="inlineStr">
        <is>
          <t>US-3000193615450/1</t>
        </is>
      </c>
      <c r="B2" s="32" t="inlineStr">
        <is>
          <t>PowerSwitch Z9864F, 64x800GbE OSFP112, SONiC, (no Fans/PSU)</t>
        </is>
      </c>
      <c r="C2" s="32" t="n">
        <v>634</v>
      </c>
      <c r="D2" s="33">
        <f>G2/0.8</f>
        <v/>
      </c>
      <c r="E2" s="33">
        <f>D2*C2</f>
        <v/>
      </c>
      <c r="F2" s="34">
        <f>(D2-G2)/D2</f>
        <v/>
      </c>
      <c r="G2" s="33" t="n">
        <v>25679.448</v>
      </c>
    </row>
    <row r="3">
      <c r="A3" s="32" t="inlineStr">
        <is>
          <t>US-3000193615450/1</t>
        </is>
      </c>
      <c r="B3" s="32" t="inlineStr">
        <is>
          <t>PowerSwitch Z9432F-ON, 32 x 400GbE QSFP56-DD ports, IO to PSU air, 2x AC PSU</t>
        </is>
      </c>
      <c r="C3" s="32" t="n">
        <v>2</v>
      </c>
      <c r="D3" s="33">
        <f>G3/0.8</f>
        <v/>
      </c>
      <c r="E3" s="33">
        <f>D3*C3</f>
        <v/>
      </c>
      <c r="F3" s="34">
        <f>(D3-G3)/D3</f>
        <v/>
      </c>
      <c r="G3" s="33" t="n">
        <v>13527.085</v>
      </c>
    </row>
    <row r="4">
      <c r="A4" s="32" t="inlineStr">
        <is>
          <t>US-3000193615450/1</t>
        </is>
      </c>
      <c r="B4" s="32" t="inlineStr">
        <is>
          <t>PowerSwitch S3248T-ON, 48x1G, 4x10G SFP+, 2x100G QSFP28, 1xAC PSU, IO/PSU</t>
        </is>
      </c>
      <c r="C4" s="32" t="n">
        <v>79</v>
      </c>
      <c r="D4" s="33">
        <f>G4/0.8</f>
        <v/>
      </c>
      <c r="E4" s="33">
        <f>D4*C4</f>
        <v/>
      </c>
      <c r="F4" s="34">
        <f>(D4-G4)/D4</f>
        <v/>
      </c>
      <c r="G4" s="33" t="n">
        <v>2373.9575</v>
      </c>
    </row>
    <row r="5">
      <c r="A5" s="32" t="inlineStr">
        <is>
          <t>US-3000193615450/1</t>
        </is>
      </c>
      <c r="B5" s="32" t="inlineStr">
        <is>
          <t>PowerSwitch Z9864F, 64x800GbE OSFP112, SONiC, (no Fans/PSU)</t>
        </is>
      </c>
      <c r="C5" s="32" t="n">
        <v>208</v>
      </c>
      <c r="D5" s="33">
        <f>G5/0.8</f>
        <v/>
      </c>
      <c r="E5" s="33">
        <f>D5*C5</f>
        <v/>
      </c>
      <c r="F5" s="34">
        <f>(D5-G5)/D5</f>
        <v/>
      </c>
      <c r="G5" s="33" t="n">
        <v>28719.888</v>
      </c>
    </row>
    <row r="6">
      <c r="A6" s="32" t="inlineStr">
        <is>
          <t>US-3000193613873/1</t>
        </is>
      </c>
      <c r="B6" s="32" t="inlineStr">
        <is>
          <t>PowerSwitch Z9864F, 64x800GbE OSFP112, SONiC, (no Fans/PSU)</t>
        </is>
      </c>
      <c r="C6" s="32" t="n">
        <v>840</v>
      </c>
      <c r="D6" s="33">
        <f>G6/0.8</f>
        <v/>
      </c>
      <c r="E6" s="33">
        <f>D6*C6</f>
        <v/>
      </c>
      <c r="F6" s="34">
        <f>(D6-G6)/D6</f>
        <v/>
      </c>
      <c r="G6" s="33" t="n">
        <v>28515.278</v>
      </c>
    </row>
    <row r="7">
      <c r="A7" s="32" t="inlineStr">
        <is>
          <t>US-3000193613873/1</t>
        </is>
      </c>
      <c r="B7" s="32" t="inlineStr">
        <is>
          <t>PowerSwitch Z9432F-ON, 32 x 400GbE QSFP56-DD ports, IO to PSU air, 2x AC PSU</t>
        </is>
      </c>
      <c r="C7" s="32" t="n">
        <v>2</v>
      </c>
      <c r="D7" s="33">
        <f>G7/0.8</f>
        <v/>
      </c>
      <c r="E7" s="33">
        <f>D7*C7</f>
        <v/>
      </c>
      <c r="F7" s="34">
        <f>(D7-G7)/D7</f>
        <v/>
      </c>
      <c r="G7" s="33" t="n">
        <v>13798.715</v>
      </c>
    </row>
    <row r="8">
      <c r="A8" s="32" t="inlineStr">
        <is>
          <t>US-3000193613873/1</t>
        </is>
      </c>
      <c r="B8" s="32" t="inlineStr">
        <is>
          <t>PowerSwitch S3248T-ON, 48x1G, 4x10G SFP+, 2x100G QSFP28, 1xAC PSU, IO/PSU</t>
        </is>
      </c>
      <c r="C8" s="32" t="n">
        <v>79</v>
      </c>
      <c r="D8" s="33">
        <f>G8/0.8</f>
        <v/>
      </c>
      <c r="E8" s="33">
        <f>D8*C8</f>
        <v/>
      </c>
      <c r="F8" s="34">
        <f>(D8-G8)/D8</f>
        <v/>
      </c>
      <c r="G8" s="33" t="n">
        <v>2981.9175</v>
      </c>
    </row>
    <row r="9">
      <c r="A9" s="32" t="inlineStr">
        <is>
          <t>US-3000193613766/1</t>
        </is>
      </c>
      <c r="B9" s="32" t="inlineStr">
        <is>
          <t>PowerEdge XE9785L</t>
        </is>
      </c>
      <c r="C9" s="32" t="n">
        <v>1664</v>
      </c>
      <c r="D9" s="33" t="n">
        <v>267000</v>
      </c>
      <c r="E9" s="33">
        <f>D9*C9</f>
        <v/>
      </c>
      <c r="F9" s="34">
        <f>(D9-G9)/D9</f>
        <v/>
      </c>
      <c r="G9" s="33" t="n">
        <v>285251.93</v>
      </c>
    </row>
  </sheetData>
  <pageMargins left="0.7" right="0.7" top="0.75" bottom="0.75" header="0.3" footer="0.3"/>
</worksheet>
</file>

<file path=xl/worksheets/sheet3.xml><?xml version="1.0" encoding="utf-8"?>
<worksheet xmlns="http://schemas.openxmlformats.org/spreadsheetml/2006/main">
  <sheetPr>
    <tabColor theme="0" tint="-0.249977111117893"/>
    <outlinePr summaryBelow="1" summaryRight="1"/>
    <pageSetUpPr/>
  </sheetPr>
  <dimension ref="A1:F49"/>
  <sheetViews>
    <sheetView zoomScale="110" zoomScaleNormal="110" workbookViewId="0">
      <selection activeCell="E17" sqref="E17"/>
    </sheetView>
  </sheetViews>
  <sheetFormatPr baseColWidth="8" defaultColWidth="9.109375" defaultRowHeight="13.8"/>
  <cols>
    <col width="12.109375" customWidth="1" style="5" min="1" max="1"/>
    <col width="12" customWidth="1" style="8" min="2" max="2"/>
    <col width="12" customWidth="1" style="5" min="3" max="3"/>
    <col width="30.6640625" customWidth="1" style="9" min="4" max="5"/>
    <col width="193" customWidth="1" style="5" min="6" max="6"/>
    <col width="9.109375" customWidth="1" style="5" min="7" max="7"/>
    <col width="9.109375" customWidth="1" style="5" min="8" max="16384"/>
  </cols>
  <sheetData>
    <row r="1" ht="18" customFormat="1" customHeight="1" s="188">
      <c r="A1" s="187" t="inlineStr">
        <is>
          <t>Customer (SFDC #)</t>
        </is>
      </c>
      <c r="D1" s="22" t="inlineStr">
        <is>
          <t>(PMO input)</t>
        </is>
      </c>
      <c r="E1" s="20" t="n"/>
    </row>
    <row r="2" ht="18" customFormat="1" customHeight="1" s="188">
      <c r="A2" s="187" t="n"/>
      <c r="B2" s="187" t="n"/>
      <c r="C2" s="187" t="inlineStr">
        <is>
          <t>File Name</t>
        </is>
      </c>
      <c r="D2" s="22" t="n"/>
      <c r="E2" s="20" t="n"/>
    </row>
    <row r="3" ht="18" customFormat="1" customHeight="1" s="188">
      <c r="A3" s="187" t="inlineStr">
        <is>
          <t>Solution Description</t>
        </is>
      </c>
      <c r="D3" s="23" t="inlineStr">
        <is>
          <t>POD5 - IREN -VR72 - Lab Quote</t>
        </is>
      </c>
      <c r="E3" s="20" t="n"/>
    </row>
    <row r="4" ht="18" customFormat="1" customHeight="1" s="188">
      <c r="A4" s="187" t="n"/>
      <c r="B4" s="187" t="n"/>
      <c r="C4" s="187" t="inlineStr">
        <is>
          <t>GOAL ID</t>
        </is>
      </c>
      <c r="D4" s="22" t="inlineStr">
        <is>
          <t>(Sales input)</t>
        </is>
      </c>
      <c r="E4" s="20" t="n"/>
    </row>
    <row r="5" ht="18" customFormat="1" customHeight="1" s="188">
      <c r="A5" s="189" t="inlineStr">
        <is>
          <t>AI Design Team</t>
        </is>
      </c>
      <c r="D5" s="21" t="n"/>
      <c r="E5" s="20" t="n"/>
    </row>
    <row r="6" ht="18" customFormat="1" customHeight="1" s="188">
      <c r="A6" s="189" t="n"/>
      <c r="B6" s="189" t="n"/>
      <c r="C6" s="189" t="inlineStr">
        <is>
          <t>PMO Team</t>
        </is>
      </c>
      <c r="D6" s="21" t="n"/>
      <c r="E6" s="20" t="n"/>
    </row>
    <row r="7" ht="18" customFormat="1" customHeight="1" s="188">
      <c r="A7" s="189" t="n"/>
      <c r="B7" s="189" t="n"/>
      <c r="C7" s="189" t="inlineStr">
        <is>
          <t>AE/TSR Team</t>
        </is>
      </c>
      <c r="D7" s="21" t="n"/>
      <c r="E7" s="20" t="n"/>
    </row>
    <row r="8" ht="18" customFormat="1" customHeight="1" s="188">
      <c r="A8" s="189" t="n"/>
      <c r="B8" s="189" t="n"/>
      <c r="C8" s="189" t="inlineStr">
        <is>
          <t>RCI/CDG Team</t>
        </is>
      </c>
      <c r="D8" s="21" t="n"/>
      <c r="E8" s="20" t="n"/>
    </row>
    <row r="9" ht="18" customFormat="1" customHeight="1" s="188">
      <c r="A9" s="189" t="n"/>
      <c r="B9" s="189" t="n"/>
      <c r="C9" s="189" t="inlineStr">
        <is>
          <t>Services Team</t>
        </is>
      </c>
      <c r="D9" s="21" t="n"/>
      <c r="E9" s="20" t="n"/>
    </row>
    <row r="10" ht="18" customFormat="1" customHeight="1" s="188">
      <c r="A10" s="189" t="n"/>
      <c r="B10" s="189" t="n"/>
      <c r="C10" s="189" t="n"/>
      <c r="D10" s="21" t="n"/>
      <c r="E10" s="20" t="n"/>
    </row>
    <row r="11" ht="15.75" customHeight="1" s="184">
      <c r="B11" s="6" t="inlineStr">
        <is>
          <t>Version</t>
        </is>
      </c>
      <c r="C11" s="6" t="inlineStr">
        <is>
          <t>Date</t>
        </is>
      </c>
      <c r="D11" s="6" t="inlineStr">
        <is>
          <t>CTO Pod Owner</t>
        </is>
      </c>
      <c r="E11" s="6" t="inlineStr">
        <is>
          <t>PMO Owner</t>
        </is>
      </c>
      <c r="F11" s="17" t="inlineStr">
        <is>
          <t>Description of Changes</t>
        </is>
      </c>
    </row>
    <row r="12">
      <c r="B12" s="7" t="n">
        <v>1</v>
      </c>
      <c r="C12" s="14" t="n">
        <v>46111</v>
      </c>
      <c r="D12" s="7" t="inlineStr">
        <is>
          <t>POD5</t>
        </is>
      </c>
      <c r="E12" s="7" t="inlineStr">
        <is>
          <t>Cristina</t>
        </is>
      </c>
      <c r="F12" s="13" t="inlineStr">
        <is>
          <t>Initial BOM</t>
        </is>
      </c>
    </row>
    <row r="13">
      <c r="B13" s="7" t="n"/>
      <c r="C13" s="14" t="n"/>
      <c r="D13" s="7" t="n"/>
      <c r="E13" s="7" t="n"/>
      <c r="F13" s="13" t="n"/>
    </row>
    <row r="14">
      <c r="B14" s="7" t="n"/>
      <c r="C14" s="14" t="n"/>
      <c r="D14" s="7" t="n"/>
      <c r="E14" s="7" t="n"/>
      <c r="F14" s="13" t="n"/>
    </row>
    <row r="15">
      <c r="B15" s="7" t="n"/>
      <c r="C15" s="14" t="n"/>
      <c r="D15" s="7" t="n"/>
      <c r="E15" s="7" t="n"/>
      <c r="F15" s="13" t="n"/>
    </row>
    <row r="16">
      <c r="B16" s="7" t="n"/>
      <c r="C16" s="14" t="n"/>
      <c r="D16" s="7" t="n"/>
      <c r="E16" s="7" t="n"/>
      <c r="F16" s="13" t="n"/>
    </row>
    <row r="17">
      <c r="B17" s="7" t="n"/>
      <c r="C17" s="7" t="n"/>
      <c r="D17" s="7" t="n"/>
      <c r="E17" s="7" t="n"/>
      <c r="F17" s="7" t="n"/>
    </row>
    <row r="18">
      <c r="A18" s="9" t="n"/>
      <c r="B18" s="10" t="n"/>
    </row>
    <row r="19">
      <c r="A19" s="9" t="n"/>
      <c r="B19" s="10" t="n"/>
    </row>
    <row r="20">
      <c r="A20" s="9" t="n"/>
      <c r="B20" s="10" t="n"/>
    </row>
    <row r="21" ht="18" customHeight="1" s="184">
      <c r="A21" s="9" t="n"/>
      <c r="B21" s="16" t="inlineStr">
        <is>
          <t>Partner Design Deviation Approval (if needed)</t>
        </is>
      </c>
    </row>
    <row r="22" ht="15.75" customHeight="1" s="184">
      <c r="A22" s="9" t="n"/>
      <c r="B22" s="9" t="n"/>
      <c r="C22" s="6" t="inlineStr">
        <is>
          <t>Date</t>
        </is>
      </c>
      <c r="D22" s="6" t="inlineStr">
        <is>
          <t>Partner Approver</t>
        </is>
      </c>
      <c r="E22" s="6" t="inlineStr">
        <is>
          <t>Dell Approver</t>
        </is>
      </c>
      <c r="F22" s="17" t="inlineStr">
        <is>
          <t>Description of Approval</t>
        </is>
      </c>
    </row>
    <row r="23" ht="15" customHeight="1" s="184">
      <c r="A23" s="9" t="n"/>
      <c r="B23" s="9" t="n"/>
      <c r="C23" s="14" t="n"/>
      <c r="D23" s="7" t="n"/>
      <c r="E23" s="7" t="n"/>
      <c r="F23" s="13" t="n"/>
    </row>
    <row r="24">
      <c r="A24" s="9" t="n"/>
      <c r="B24" s="9" t="n"/>
      <c r="C24" s="14" t="n"/>
      <c r="D24" s="7" t="n"/>
      <c r="E24" s="7" t="n"/>
      <c r="F24" s="7" t="n"/>
    </row>
    <row r="25">
      <c r="A25" s="9" t="n"/>
      <c r="B25" s="9" t="n"/>
      <c r="C25" s="14" t="n"/>
      <c r="D25" s="7" t="n"/>
      <c r="E25" s="7" t="n"/>
      <c r="F25" s="7" t="n"/>
    </row>
    <row r="26">
      <c r="A26" s="9" t="n"/>
      <c r="B26" s="9" t="n"/>
      <c r="C26" s="14" t="n"/>
      <c r="D26" s="7" t="n"/>
      <c r="E26" s="7" t="n"/>
      <c r="F26" s="7" t="n"/>
    </row>
    <row r="27">
      <c r="A27" s="9" t="n"/>
      <c r="B27" s="9" t="n"/>
      <c r="C27" s="14" t="n"/>
      <c r="D27" s="7" t="n"/>
      <c r="E27" s="7" t="n"/>
      <c r="F27" s="7" t="n"/>
    </row>
    <row r="28">
      <c r="A28" s="9" t="n"/>
      <c r="B28" s="9" t="n"/>
      <c r="C28" s="7" t="n"/>
      <c r="D28" s="7" t="n"/>
      <c r="E28" s="7" t="n"/>
      <c r="F28" s="7" t="n"/>
    </row>
    <row r="29">
      <c r="A29" s="9" t="n"/>
      <c r="B29" s="10" t="n"/>
    </row>
    <row r="30">
      <c r="A30" s="9" t="n"/>
      <c r="B30" s="10" t="n"/>
    </row>
    <row r="31">
      <c r="A31" s="9" t="n"/>
      <c r="B31" s="10" t="n"/>
    </row>
    <row r="32">
      <c r="A32" s="9" t="n"/>
      <c r="B32" s="19" t="n"/>
    </row>
    <row r="33">
      <c r="A33" s="9" t="n"/>
      <c r="B33" s="19" t="n"/>
    </row>
    <row r="34">
      <c r="A34" s="9" t="n"/>
      <c r="B34" s="19" t="n"/>
    </row>
    <row r="35">
      <c r="A35" s="9" t="n"/>
      <c r="B35" s="19" t="n"/>
    </row>
    <row r="36">
      <c r="A36" s="9" t="n"/>
      <c r="B36" s="19" t="n"/>
    </row>
    <row r="37">
      <c r="A37" s="9" t="n"/>
      <c r="B37" s="18" t="n"/>
    </row>
    <row r="38">
      <c r="A38" s="9" t="n"/>
      <c r="B38" s="18" t="n"/>
    </row>
    <row r="39">
      <c r="B39" s="18" t="n"/>
    </row>
    <row r="40">
      <c r="B40" s="18" t="n"/>
    </row>
    <row r="41">
      <c r="B41" s="18" t="n"/>
    </row>
    <row r="42">
      <c r="B42" s="18" t="n"/>
    </row>
    <row r="43">
      <c r="B43" s="18" t="n"/>
    </row>
    <row r="44">
      <c r="B44" s="18" t="n"/>
    </row>
    <row r="45">
      <c r="B45" s="18" t="n"/>
    </row>
    <row r="46">
      <c r="B46" s="18" t="n"/>
    </row>
    <row r="47">
      <c r="B47" s="18" t="n"/>
    </row>
    <row r="48">
      <c r="B48" s="18" t="n"/>
    </row>
    <row r="49">
      <c r="B49" s="18" t="n"/>
    </row>
  </sheetData>
  <mergeCells count="3">
    <mergeCell ref="A1:C1"/>
    <mergeCell ref="A3:C3"/>
    <mergeCell ref="A5:C5"/>
  </mergeCells>
  <pageMargins left="0.7" right="0.7" top="0.75" bottom="0.75" header="0.3" footer="0.3"/>
  <pageSetup orientation="portrait"/>
</worksheet>
</file>

<file path=xl/worksheets/sheet4.xml><?xml version="1.0" encoding="utf-8"?>
<worksheet xmlns="http://schemas.openxmlformats.org/spreadsheetml/2006/main">
  <sheetPr>
    <tabColor theme="9"/>
    <outlinePr summaryBelow="1" summaryRight="1"/>
    <pageSetUpPr/>
  </sheetPr>
  <dimension ref="A1:S172"/>
  <sheetViews>
    <sheetView tabSelected="1" zoomScaleNormal="100" workbookViewId="0">
      <selection activeCell="E46" sqref="E46"/>
    </sheetView>
  </sheetViews>
  <sheetFormatPr baseColWidth="8" defaultRowHeight="14.4"/>
  <cols>
    <col width="52.88671875" customWidth="1" style="184" min="1" max="1"/>
    <col width="20.6640625" customWidth="1" style="184" min="4" max="4"/>
    <col width="20.5546875" customWidth="1" style="184" min="5" max="5"/>
    <col width="95.88671875" customWidth="1" style="184" min="6" max="6"/>
    <col width="91.88671875" customWidth="1" style="184" min="7" max="7"/>
    <col width="15" customWidth="1" style="184" min="11" max="11"/>
  </cols>
  <sheetData>
    <row r="1" customFormat="1" s="25">
      <c r="A1" s="48" t="inlineStr">
        <is>
          <t>Item</t>
        </is>
      </c>
      <c r="B1" s="48" t="inlineStr">
        <is>
          <t>Count</t>
        </is>
      </c>
      <c r="C1" s="48" t="inlineStr">
        <is>
          <t>Spares</t>
        </is>
      </c>
      <c r="D1" s="49" t="inlineStr">
        <is>
          <t>Sub-Total</t>
        </is>
      </c>
      <c r="E1" s="48" t="inlineStr">
        <is>
          <t>Model/PN</t>
        </is>
      </c>
      <c r="F1" s="48" t="inlineStr">
        <is>
          <t>Description</t>
        </is>
      </c>
      <c r="G1" s="50" t="inlineStr">
        <is>
          <t>Notes</t>
        </is>
      </c>
      <c r="H1" s="24" t="n"/>
      <c r="I1" s="24" t="n"/>
      <c r="J1" s="24" t="n"/>
      <c r="K1" s="24" t="n"/>
      <c r="L1" s="24" t="n"/>
      <c r="M1" s="24" t="n"/>
      <c r="N1" s="24" t="n"/>
      <c r="O1" s="24" t="n"/>
    </row>
    <row r="2">
      <c r="A2" s="165" t="inlineStr">
        <is>
          <t>E-W Switches</t>
        </is>
      </c>
      <c r="B2" s="166" t="n"/>
      <c r="C2" s="166" t="n"/>
      <c r="D2" s="166" t="n"/>
      <c r="E2" s="166" t="n"/>
      <c r="F2" s="166" t="n"/>
      <c r="G2" s="167" t="n"/>
    </row>
    <row r="3" customFormat="1" s="25">
      <c r="A3" s="48" t="inlineStr">
        <is>
          <t>Item</t>
        </is>
      </c>
      <c r="B3" s="48" t="inlineStr">
        <is>
          <t>Count</t>
        </is>
      </c>
      <c r="C3" s="48" t="inlineStr">
        <is>
          <t>Spares</t>
        </is>
      </c>
      <c r="D3" s="49" t="inlineStr">
        <is>
          <t>Sub-Total</t>
        </is>
      </c>
      <c r="E3" s="48" t="inlineStr">
        <is>
          <t>Model/PN</t>
        </is>
      </c>
      <c r="F3" s="48" t="inlineStr">
        <is>
          <t>Description</t>
        </is>
      </c>
      <c r="G3" s="50" t="inlineStr">
        <is>
          <t>Notes</t>
        </is>
      </c>
      <c r="H3" s="24" t="n"/>
      <c r="I3" s="24" t="n"/>
      <c r="J3" s="24" t="n"/>
      <c r="K3" s="24" t="n"/>
      <c r="L3" s="24" t="n"/>
      <c r="M3" s="24" t="n"/>
      <c r="N3" s="24" t="n"/>
      <c r="O3" s="24" t="n"/>
    </row>
    <row r="4" ht="28.8" customFormat="1" customHeight="1" s="27">
      <c r="A4" s="51" t="inlineStr">
        <is>
          <t>E-W Leaf (exclude E-W Leaf in GPU L11)</t>
        </is>
      </c>
      <c r="B4" s="51" t="n">
        <v>16</v>
      </c>
      <c r="C4" s="51" t="n">
        <v>0</v>
      </c>
      <c r="D4" s="51">
        <f>SUM(B4:C4)</f>
        <v/>
      </c>
      <c r="E4" s="159" t="inlineStr">
        <is>
          <t>920-9N62F-00LI-GC0</t>
        </is>
      </c>
      <c r="F4" s="159" t="inlineStr">
        <is>
          <t>NVIDIA Spectrum-6 based 800GbE Ethernet switch with Cumulus Linux Authentication, 64 OSFP, 1 QSFP112, 48VDC Busbar, 8-Cores CPU, Secure-boot, Liquid-Cooling, Rail-Kit.D39</t>
        </is>
      </c>
      <c r="G4" s="52" t="n"/>
      <c r="H4" s="26" t="n"/>
      <c r="I4" s="26" t="n"/>
      <c r="J4" s="26" t="n"/>
      <c r="K4" s="26" t="n"/>
      <c r="L4" s="26" t="n"/>
      <c r="M4" s="26" t="n"/>
      <c r="N4" s="26" t="n"/>
      <c r="O4" s="26" t="n"/>
    </row>
    <row r="5" ht="24.9" customFormat="1" customHeight="1" s="27">
      <c r="A5" s="51" t="inlineStr">
        <is>
          <t>E-W Spine</t>
        </is>
      </c>
      <c r="B5" s="51" t="n">
        <v>8</v>
      </c>
      <c r="C5" s="51" t="n">
        <v>0</v>
      </c>
      <c r="D5" s="51">
        <f>SUM(B5:C5)</f>
        <v/>
      </c>
      <c r="E5" s="159" t="inlineStr">
        <is>
          <t>920-9N62F-00LI-GC0</t>
        </is>
      </c>
      <c r="F5" s="159" t="inlineStr">
        <is>
          <t>NVIDIA Spectrum-6 based 800GbE Ethernet switch with Cumulus Linux Authentication, 64 OSFP, 1 QSFP112, 48VDC Busbar, 8-Cores CPU, Secure-boot, Liquid-Cooling, Rail-Kit.D39</t>
        </is>
      </c>
      <c r="G5" s="52" t="n"/>
      <c r="H5" s="26" t="n"/>
      <c r="I5" s="26" t="n"/>
      <c r="J5" s="26" t="n"/>
      <c r="K5" s="26" t="n"/>
      <c r="L5" s="26" t="n"/>
      <c r="M5" s="26" t="n"/>
      <c r="N5" s="26" t="n"/>
      <c r="O5" s="26" t="n"/>
    </row>
    <row r="6" customFormat="1" s="27">
      <c r="A6" s="51" t="inlineStr">
        <is>
          <t>E-W Core</t>
        </is>
      </c>
      <c r="B6" s="51" t="n">
        <v>0</v>
      </c>
      <c r="C6" s="51" t="n">
        <v>0</v>
      </c>
      <c r="D6" s="51">
        <f>SUM(B6:C6)</f>
        <v/>
      </c>
      <c r="E6" s="110" t="n"/>
      <c r="F6" s="109" t="inlineStr"/>
      <c r="G6" s="52" t="n"/>
      <c r="H6" s="26" t="n"/>
      <c r="I6" s="26" t="n"/>
      <c r="J6" s="26" t="n"/>
      <c r="K6" s="26" t="n"/>
      <c r="L6" s="26" t="n"/>
      <c r="M6" s="26" t="n"/>
      <c r="N6" s="26" t="n"/>
      <c r="O6" s="26" t="n"/>
    </row>
    <row r="7" ht="28.8" customFormat="1" customHeight="1" s="27">
      <c r="A7" s="51" t="inlineStr">
        <is>
          <t>GPU Racks</t>
        </is>
      </c>
      <c r="B7" s="51" t="n">
        <v>4</v>
      </c>
      <c r="C7" s="51" t="n">
        <v>0</v>
      </c>
      <c r="D7" s="51">
        <f>SUM(B7:C7)</f>
        <v/>
      </c>
      <c r="E7" s="159" t="inlineStr">
        <is>
          <t>920-9N62F-00LI-GC0</t>
        </is>
      </c>
      <c r="F7" s="159" t="inlineStr">
        <is>
          <t>NVIDIA Spectrum-6 based 800GbE Ethernet switch with Cumulus Linux Authentication, 64 OSFP, 1 QSFP112, 48VDC Busbar, 8-Cores CPU, Secure-boot, Liquid-Cooling, Rail-Kit.D39</t>
        </is>
      </c>
      <c r="G7" s="54" t="n"/>
      <c r="H7" s="26" t="n"/>
      <c r="I7" s="26" t="n"/>
      <c r="J7" s="26" t="n"/>
      <c r="K7" s="26" t="n"/>
      <c r="L7" s="26" t="n"/>
      <c r="M7" s="26" t="n"/>
      <c r="N7" s="26" t="n"/>
      <c r="O7" s="26" t="n"/>
    </row>
    <row r="8" customFormat="1" s="27">
      <c r="A8" s="54" t="n"/>
      <c r="B8" s="54" t="n"/>
      <c r="C8" s="54" t="n"/>
      <c r="D8" s="54" t="n"/>
      <c r="E8" s="46" t="n"/>
      <c r="F8" s="54" t="n"/>
      <c r="G8" s="54" t="n"/>
      <c r="H8" s="26" t="n"/>
      <c r="I8" s="26" t="n"/>
      <c r="J8" s="26" t="n"/>
      <c r="K8" s="26" t="n"/>
      <c r="L8" s="26" t="n"/>
      <c r="M8" s="26" t="n"/>
      <c r="N8" s="26" t="n"/>
      <c r="O8" s="26" t="n"/>
    </row>
    <row r="9" customFormat="1" s="27">
      <c r="A9" s="165" t="inlineStr">
        <is>
          <t>N-S Switches</t>
        </is>
      </c>
      <c r="B9" s="166" t="n"/>
      <c r="C9" s="166" t="n"/>
      <c r="D9" s="166" t="n"/>
      <c r="E9" s="166" t="n"/>
      <c r="F9" s="166" t="n"/>
      <c r="G9" s="167" t="n"/>
      <c r="H9" s="26" t="n"/>
      <c r="I9" s="26" t="n"/>
      <c r="J9" s="26" t="n"/>
      <c r="K9" s="26" t="n"/>
      <c r="L9" s="26" t="n"/>
      <c r="M9" s="26" t="n"/>
      <c r="N9" s="26" t="n"/>
      <c r="O9" s="26" t="n"/>
    </row>
    <row r="10" customFormat="1" s="27">
      <c r="A10" s="48" t="inlineStr">
        <is>
          <t>Item</t>
        </is>
      </c>
      <c r="B10" s="48" t="inlineStr">
        <is>
          <t>Count</t>
        </is>
      </c>
      <c r="C10" s="48" t="inlineStr">
        <is>
          <t>Spares</t>
        </is>
      </c>
      <c r="D10" s="55" t="inlineStr">
        <is>
          <t>Sub-Total</t>
        </is>
      </c>
      <c r="E10" s="48" t="inlineStr">
        <is>
          <t>Model/PN</t>
        </is>
      </c>
      <c r="F10" s="48" t="inlineStr">
        <is>
          <t>Description</t>
        </is>
      </c>
      <c r="G10" s="50" t="inlineStr">
        <is>
          <t>Notes</t>
        </is>
      </c>
      <c r="H10" s="26" t="n"/>
      <c r="I10" s="26" t="n"/>
      <c r="J10" s="26" t="n"/>
      <c r="K10" s="26" t="n"/>
      <c r="L10" s="26" t="n"/>
      <c r="M10" s="26" t="n"/>
      <c r="N10" s="26" t="n"/>
      <c r="O10" s="26" t="n"/>
    </row>
    <row r="11" ht="25.5" customFormat="1" customHeight="1" s="27">
      <c r="A11" s="56" t="inlineStr">
        <is>
          <t>N-S Leaf</t>
        </is>
      </c>
      <c r="B11" s="56" t="n">
        <v>2</v>
      </c>
      <c r="C11" s="56" t="n">
        <v>0</v>
      </c>
      <c r="D11" s="56">
        <f>B11+C11</f>
        <v/>
      </c>
      <c r="E11" s="45" t="inlineStr">
        <is>
          <t>920-9N42F-00RI-3C1</t>
        </is>
      </c>
      <c r="F11" s="45" t="inlineStr">
        <is>
          <t>Nvidia Spectrum-4 based 800GbE 2U Open Ethernet switch with Cumulus Linux Authentication, 64 OSFP ports and 2 SFP28 ports, 4 AC PSUs, Secure-boot, standard depth, Connector-to-Power Airflow, Tool-less Rail Kit</t>
        </is>
      </c>
      <c r="G11" s="52" t="n"/>
      <c r="H11" s="26" t="n"/>
      <c r="I11" s="26" t="n"/>
      <c r="J11" s="26" t="n"/>
      <c r="K11" s="26" t="n"/>
      <c r="L11" s="26" t="n"/>
      <c r="M11" s="26" t="n"/>
      <c r="N11" s="26" t="n"/>
      <c r="O11" s="26" t="n"/>
    </row>
    <row r="12" ht="25.5" customFormat="1" customHeight="1" s="27">
      <c r="A12" s="56" t="inlineStr">
        <is>
          <t>N-S Spine</t>
        </is>
      </c>
      <c r="B12" s="56" t="n">
        <v>2</v>
      </c>
      <c r="C12" s="56" t="n">
        <v>0</v>
      </c>
      <c r="D12" s="56">
        <f>B12+C12</f>
        <v/>
      </c>
      <c r="E12" s="45" t="inlineStr">
        <is>
          <t>920-9N42F-00RI-3C1</t>
        </is>
      </c>
      <c r="F12" s="45" t="inlineStr">
        <is>
          <t>Nvidia Spectrum-4 based 800GbE 2U Open Ethernet switch with Cumulus Linux Authentication, 64 OSFP ports and 2 SFP28 ports, 4 AC PSUs, Secure-boot, standard depth, Connector-to-Power Airflow, Tool-less Rail Kit</t>
        </is>
      </c>
      <c r="G12" s="52" t="n"/>
      <c r="H12" s="26" t="n"/>
      <c r="I12" s="26" t="inlineStr"/>
      <c r="J12" s="26" t="n"/>
      <c r="K12" s="26" t="inlineStr"/>
      <c r="L12" s="26" t="n"/>
      <c r="M12" s="26" t="n"/>
      <c r="N12" s="26" t="n"/>
      <c r="O12" s="26" t="n"/>
      <c r="S12" s="26" t="n"/>
    </row>
    <row r="13" customFormat="1" s="27">
      <c r="A13" s="56" t="inlineStr">
        <is>
          <t>Storage Leaf</t>
        </is>
      </c>
      <c r="B13" s="56" t="n">
        <v>0</v>
      </c>
      <c r="C13" s="56" t="n">
        <v>0</v>
      </c>
      <c r="D13" s="56">
        <f>B13+C13</f>
        <v/>
      </c>
      <c r="E13" s="45" t="inlineStr"/>
      <c r="F13" s="45" t="inlineStr"/>
      <c r="G13" s="52" t="n"/>
      <c r="H13" s="26" t="n"/>
      <c r="I13" s="26" t="n"/>
      <c r="J13" s="26" t="n"/>
      <c r="K13" s="26" t="n"/>
      <c r="L13" s="26" t="n"/>
      <c r="M13" s="26" t="n"/>
      <c r="N13" s="26" t="n"/>
      <c r="O13" s="26" t="n"/>
      <c r="S13" s="26" t="n"/>
    </row>
    <row r="14" customFormat="1" s="27">
      <c r="A14" s="56" t="inlineStr">
        <is>
          <t>Control Leaf</t>
        </is>
      </c>
      <c r="B14" s="56" t="n">
        <v>0</v>
      </c>
      <c r="C14" s="56" t="n">
        <v>0</v>
      </c>
      <c r="D14" s="56">
        <f>B14+C14</f>
        <v/>
      </c>
      <c r="E14" s="45" t="inlineStr"/>
      <c r="F14" s="45" t="inlineStr"/>
      <c r="G14" s="52" t="n"/>
      <c r="H14" s="26" t="n"/>
      <c r="I14" s="26" t="n"/>
      <c r="J14" s="26" t="n"/>
      <c r="K14" s="26" t="n"/>
      <c r="L14" s="26" t="n"/>
      <c r="M14" s="26" t="n"/>
      <c r="N14" s="26" t="n"/>
      <c r="O14" s="26" t="n"/>
      <c r="S14" s="26" t="n"/>
    </row>
    <row r="15" customFormat="1" s="27">
      <c r="A15" s="56" t="inlineStr">
        <is>
          <t>N-S Core</t>
        </is>
      </c>
      <c r="B15" s="56" t="n">
        <v>0</v>
      </c>
      <c r="C15" s="56" t="n">
        <v>0</v>
      </c>
      <c r="D15" s="56">
        <f>B15+C15</f>
        <v/>
      </c>
      <c r="E15" s="45" t="inlineStr"/>
      <c r="F15" s="45" t="inlineStr"/>
      <c r="G15" s="52" t="n"/>
      <c r="H15" s="26" t="n"/>
      <c r="I15" s="26" t="n"/>
      <c r="J15" s="26" t="n"/>
      <c r="K15" s="26" t="n"/>
      <c r="L15" s="26" t="n"/>
      <c r="M15" s="26" t="n"/>
      <c r="N15" s="26" t="n"/>
      <c r="O15" s="26" t="n"/>
      <c r="S15" s="26" t="n"/>
    </row>
    <row r="16" customFormat="1" s="27">
      <c r="A16" s="56" t="n"/>
      <c r="B16" s="56" t="n"/>
      <c r="C16" s="56" t="n"/>
      <c r="D16" s="56" t="n"/>
      <c r="E16" s="99" t="n"/>
      <c r="F16" s="100" t="n"/>
      <c r="G16" s="52" t="n"/>
      <c r="H16" s="26" t="n"/>
      <c r="I16" s="26" t="n"/>
      <c r="J16" s="26" t="n"/>
      <c r="K16" s="26" t="n"/>
      <c r="L16" s="26" t="n"/>
      <c r="M16" s="26" t="n"/>
      <c r="N16" s="26" t="n"/>
      <c r="O16" s="26" t="n"/>
      <c r="S16" s="26" t="n"/>
    </row>
    <row r="17" customFormat="1" s="26">
      <c r="A17" s="169" t="inlineStr">
        <is>
          <t>OOB Switches</t>
        </is>
      </c>
      <c r="B17" s="170" t="n"/>
      <c r="C17" s="170" t="n"/>
      <c r="D17" s="170" t="n"/>
      <c r="E17" s="170" t="n"/>
      <c r="F17" s="170" t="n"/>
      <c r="G17" s="171" t="n"/>
      <c r="P17" s="27" t="n"/>
      <c r="Q17" s="27" t="n"/>
      <c r="R17" s="27" t="n"/>
      <c r="S17" s="27" t="n"/>
    </row>
    <row r="18" customFormat="1" s="26">
      <c r="A18" s="50" t="inlineStr">
        <is>
          <t>Item</t>
        </is>
      </c>
      <c r="B18" s="50" t="inlineStr">
        <is>
          <t>Count</t>
        </is>
      </c>
      <c r="C18" s="50" t="inlineStr">
        <is>
          <t>Spares</t>
        </is>
      </c>
      <c r="D18" s="58" t="inlineStr">
        <is>
          <t>Sub-Total</t>
        </is>
      </c>
      <c r="E18" s="50" t="inlineStr">
        <is>
          <t>Model/PN</t>
        </is>
      </c>
      <c r="F18" s="50" t="inlineStr">
        <is>
          <t>Description</t>
        </is>
      </c>
      <c r="G18" s="50" t="inlineStr">
        <is>
          <t>Notes</t>
        </is>
      </c>
      <c r="P18" s="27" t="n"/>
      <c r="Q18" s="27" t="n"/>
      <c r="R18" s="27" t="n"/>
      <c r="S18" s="27" t="n"/>
    </row>
    <row r="19" ht="24" customFormat="1" customHeight="1" s="27">
      <c r="A19" s="56" t="inlineStr">
        <is>
          <t>OOB ToR</t>
        </is>
      </c>
      <c r="B19" s="56" t="n">
        <v>8</v>
      </c>
      <c r="C19" s="56" t="n">
        <v>0</v>
      </c>
      <c r="D19" s="56">
        <f>C19+B19</f>
        <v/>
      </c>
      <c r="E19" s="160" t="inlineStr">
        <is>
          <t>920-9N110-01R1-NC0 (DPN: J2MV9)</t>
        </is>
      </c>
      <c r="F19" s="161" t="inlineStr">
        <is>
          <t>SN2201 48x1G + 4x100G, DC Busbar Air Cooled</t>
        </is>
      </c>
      <c r="G19" s="86" t="inlineStr"/>
    </row>
    <row r="20" customFormat="1" s="27">
      <c r="A20" s="56" t="inlineStr">
        <is>
          <t>OOB ToR</t>
        </is>
      </c>
      <c r="B20" s="56" t="n">
        <v>4</v>
      </c>
      <c r="C20" s="56" t="n">
        <v>0</v>
      </c>
      <c r="D20" s="56">
        <f>C20+B20</f>
        <v/>
      </c>
      <c r="E20" s="162" t="inlineStr">
        <is>
          <t>920-9N110-00F1-0C0</t>
        </is>
      </c>
      <c r="F20" s="163" t="inlineStr">
        <is>
          <t>NVDA SN2201 48x1GBaseT, 1U, 2AC PSU, P2C (P/I) Airflow, w/ Cumulus[MSN2201-CB2FC]</t>
        </is>
      </c>
      <c r="G20" s="86" t="n"/>
    </row>
    <row r="21" customFormat="1" s="27">
      <c r="A21" s="56" t="inlineStr">
        <is>
          <t>OOB Aggregator</t>
        </is>
      </c>
      <c r="B21" s="56" t="n">
        <v>1</v>
      </c>
      <c r="C21" s="56" t="n">
        <v>0</v>
      </c>
      <c r="D21" s="56">
        <f>C21+B21</f>
        <v/>
      </c>
      <c r="E21" s="164" t="inlineStr">
        <is>
          <t>920-9N301-00RB-0C0</t>
        </is>
      </c>
      <c r="F21" s="163" t="inlineStr">
        <is>
          <t>NVDA SN4700 400GbE, 32xQSFPDD, 1U, 2AC PSU, C2P (I/P) Airflow, w/ Cumulus[MSN4700-WS2RC]</t>
        </is>
      </c>
      <c r="G21" s="52" t="n"/>
    </row>
    <row r="22" customFormat="1" s="27">
      <c r="A22" s="56" t="inlineStr">
        <is>
          <t>core switches</t>
        </is>
      </c>
      <c r="B22" s="56" t="n">
        <v>0</v>
      </c>
      <c r="C22" s="56" t="n">
        <v>0</v>
      </c>
      <c r="D22" s="56" t="n">
        <v>0</v>
      </c>
      <c r="E22" s="94" t="inlineStr"/>
      <c r="F22" s="61" t="inlineStr"/>
      <c r="G22" s="52" t="n"/>
    </row>
    <row r="23" customFormat="1" s="27">
      <c r="A23" s="59" t="inlineStr">
        <is>
          <t>OOB BorderLeaf</t>
        </is>
      </c>
      <c r="B23" s="56" t="n">
        <v>0</v>
      </c>
      <c r="C23" s="56" t="n">
        <v>0</v>
      </c>
      <c r="D23" s="56">
        <f>C23+B23</f>
        <v/>
      </c>
      <c r="E23" s="85" t="inlineStr">
        <is>
          <t>IREN WILL PROVIDE</t>
        </is>
      </c>
      <c r="F23" s="61" t="inlineStr"/>
      <c r="G23" s="52" t="n"/>
    </row>
    <row r="24" ht="13.95" customFormat="1" customHeight="1" s="28">
      <c r="A24" s="56" t="n"/>
      <c r="B24" s="62" t="n"/>
      <c r="C24" s="62" t="n"/>
      <c r="D24" s="56" t="n"/>
      <c r="E24" s="56" t="n"/>
      <c r="F24" s="56" t="n"/>
      <c r="G24" s="54" t="n"/>
      <c r="S24" s="27" t="n"/>
    </row>
    <row r="25" ht="13.95" customFormat="1" customHeight="1" s="28">
      <c r="A25" s="56" t="n"/>
      <c r="B25" s="62" t="n"/>
      <c r="C25" s="62" t="n"/>
      <c r="D25" s="56" t="n"/>
      <c r="E25" s="56" t="n"/>
      <c r="F25" s="56" t="n"/>
      <c r="G25" s="54" t="n"/>
      <c r="S25" s="27" t="n"/>
    </row>
    <row r="26" ht="13.95" customFormat="1" customHeight="1" s="28">
      <c r="A26" s="172" t="inlineStr">
        <is>
          <t>Racks, PDUs and CDUs</t>
        </is>
      </c>
      <c r="B26" s="166" t="n"/>
      <c r="C26" s="166" t="n"/>
      <c r="D26" s="166" t="n"/>
      <c r="E26" s="166" t="n"/>
      <c r="F26" s="166" t="n"/>
      <c r="G26" s="167" t="n"/>
      <c r="S26" s="27" t="n"/>
    </row>
    <row r="27" ht="13.95" customFormat="1" customHeight="1" s="28">
      <c r="A27" s="50" t="inlineStr">
        <is>
          <t>Item</t>
        </is>
      </c>
      <c r="B27" s="50" t="inlineStr">
        <is>
          <t>Count</t>
        </is>
      </c>
      <c r="C27" s="50" t="inlineStr">
        <is>
          <t>Spares</t>
        </is>
      </c>
      <c r="D27" s="55" t="inlineStr">
        <is>
          <t>Sub-Total</t>
        </is>
      </c>
      <c r="E27" s="50" t="inlineStr">
        <is>
          <t>Model/PN</t>
        </is>
      </c>
      <c r="F27" s="50" t="inlineStr">
        <is>
          <t>Description</t>
        </is>
      </c>
      <c r="G27" s="50" t="inlineStr">
        <is>
          <t>Notes</t>
        </is>
      </c>
      <c r="S27" s="27" t="n"/>
    </row>
    <row r="28" ht="13.95" customFormat="1" customHeight="1" s="28">
      <c r="A28" s="60" t="inlineStr">
        <is>
          <t>T1 E-W NtwkRack</t>
        </is>
      </c>
      <c r="B28" s="60">
        <f>B4/8</f>
        <v/>
      </c>
      <c r="C28" s="60" t="n">
        <v>0</v>
      </c>
      <c r="D28" s="56" t="n">
        <v>2</v>
      </c>
      <c r="E28" s="56" t="inlineStr">
        <is>
          <t>IR9148</t>
        </is>
      </c>
      <c r="F28" s="60" t="inlineStr">
        <is>
          <t>IR9000/750mm</t>
        </is>
      </c>
      <c r="G28" s="62" t="n"/>
      <c r="H28" s="41" t="n"/>
      <c r="I28" s="41" t="n"/>
      <c r="J28" s="41" t="n"/>
      <c r="K28" s="41" t="n"/>
      <c r="L28" s="41" t="n"/>
      <c r="M28" s="41" t="n"/>
      <c r="N28" s="41" t="n"/>
      <c r="O28" s="41" t="n"/>
      <c r="P28" s="41" t="n"/>
      <c r="Q28" s="41" t="n"/>
      <c r="R28" s="41" t="n"/>
      <c r="S28" s="27" t="n"/>
    </row>
    <row r="29" ht="13.95" customFormat="1" customHeight="1" s="28">
      <c r="A29" s="60" t="inlineStr">
        <is>
          <t>T2 E-W NtwkRack</t>
        </is>
      </c>
      <c r="B29" s="60" t="n">
        <v>0</v>
      </c>
      <c r="C29" s="60" t="n">
        <v>0</v>
      </c>
      <c r="D29" s="56">
        <f>B29+C29</f>
        <v/>
      </c>
      <c r="E29" s="56">
        <f>C29+D29</f>
        <v/>
      </c>
      <c r="F29" s="60" t="inlineStr"/>
      <c r="G29" s="62" t="n"/>
      <c r="H29" s="41" t="n"/>
      <c r="I29" s="41" t="n"/>
      <c r="J29" s="41" t="n"/>
      <c r="K29" s="41" t="n"/>
      <c r="L29" s="41" t="n"/>
      <c r="M29" s="41" t="n"/>
      <c r="N29" s="41" t="n"/>
      <c r="O29" s="41" t="n"/>
      <c r="P29" s="41" t="n"/>
      <c r="Q29" s="41" t="n"/>
      <c r="R29" s="41" t="n"/>
      <c r="S29" s="27" t="n"/>
    </row>
    <row r="30" ht="13.95" customFormat="1" customHeight="1" s="28">
      <c r="A30" s="60" t="inlineStr">
        <is>
          <t>T1/T2 N-S NtwkRack</t>
        </is>
      </c>
      <c r="B30" s="60" t="n">
        <v>1</v>
      </c>
      <c r="C30" s="60" t="n">
        <v>0</v>
      </c>
      <c r="D30" s="56" t="n">
        <v>1</v>
      </c>
      <c r="E30" s="56" t="inlineStr">
        <is>
          <t>IR5000</t>
        </is>
      </c>
      <c r="F30" s="60" t="inlineStr">
        <is>
          <t>IR5000/750mm</t>
        </is>
      </c>
      <c r="G30" s="62" t="n"/>
      <c r="H30" s="41" t="n"/>
      <c r="I30" s="41" t="n"/>
      <c r="J30" s="41" t="n"/>
      <c r="K30" s="41" t="n"/>
      <c r="L30" s="41" t="n"/>
      <c r="M30" s="41" t="n"/>
      <c r="N30" s="41" t="n"/>
      <c r="O30" s="41" t="n"/>
      <c r="P30" s="41" t="n"/>
      <c r="Q30" s="41" t="n"/>
      <c r="R30" s="41" t="n"/>
      <c r="S30" s="27" t="n"/>
    </row>
    <row r="31" ht="13.95" customFormat="1" customHeight="1" s="28">
      <c r="A31" s="60" t="inlineStr">
        <is>
          <t>T3 N-S NtwkRack</t>
        </is>
      </c>
      <c r="B31" s="60" t="n">
        <v>0</v>
      </c>
      <c r="C31" s="60" t="n">
        <v>0</v>
      </c>
      <c r="D31" s="56" t="n">
        <v>0</v>
      </c>
      <c r="E31" s="61" t="n"/>
      <c r="F31" s="60" t="inlineStr"/>
      <c r="G31" s="56" t="n"/>
      <c r="H31" s="41" t="n"/>
      <c r="I31" s="41" t="n"/>
      <c r="J31" s="41" t="n"/>
      <c r="K31" s="41" t="n"/>
      <c r="L31" s="41" t="n"/>
      <c r="M31" s="41" t="n"/>
      <c r="N31" s="41" t="n"/>
      <c r="O31" s="41" t="n"/>
      <c r="P31" s="41" t="n"/>
      <c r="Q31" s="41" t="n"/>
      <c r="R31" s="41" t="n"/>
      <c r="S31" s="27" t="n"/>
    </row>
    <row r="32" ht="13.95" customFormat="1" customHeight="1" s="28">
      <c r="A32" s="60" t="inlineStr">
        <is>
          <t>OOB/AGGR/Storage/Control Racks</t>
        </is>
      </c>
      <c r="B32" s="63" t="n">
        <v>0</v>
      </c>
      <c r="C32" s="60" t="n"/>
      <c r="D32" s="56" t="n">
        <v>0</v>
      </c>
      <c r="E32" s="61" t="n"/>
      <c r="F32" s="60" t="inlineStr"/>
      <c r="G32" s="56" t="n"/>
      <c r="H32" s="41" t="n"/>
      <c r="I32" s="41" t="n"/>
      <c r="J32" s="41" t="n"/>
      <c r="K32" s="41" t="n"/>
      <c r="L32" s="41" t="n"/>
      <c r="M32" s="41" t="n"/>
      <c r="N32" s="41" t="n"/>
      <c r="O32" s="41" t="n"/>
      <c r="P32" s="41" t="n"/>
      <c r="Q32" s="41" t="n"/>
      <c r="R32" s="41" t="n"/>
      <c r="S32" s="27" t="n"/>
    </row>
    <row r="33" ht="13.95" customFormat="1" customHeight="1" s="28">
      <c r="A33" s="108" t="inlineStr">
        <is>
          <t>PDU 3Ph, 415V, 60A</t>
        </is>
      </c>
      <c r="B33" s="60" t="n">
        <v>2</v>
      </c>
      <c r="C33" s="60" t="n">
        <v>0</v>
      </c>
      <c r="D33" s="108" t="n">
        <v>2</v>
      </c>
      <c r="E33" s="108" t="inlineStr">
        <is>
          <t>PDU 3Ph, 415V, 60A</t>
        </is>
      </c>
      <c r="F33" t="inlineStr"/>
      <c r="G33" s="56" t="n"/>
      <c r="H33" s="41" t="n"/>
      <c r="I33" s="41" t="n"/>
      <c r="J33" s="41" t="n"/>
      <c r="K33" s="41" t="n"/>
      <c r="L33" s="41" t="n"/>
      <c r="M33" s="41" t="n"/>
      <c r="N33" s="41" t="n"/>
      <c r="O33" s="41" t="n"/>
      <c r="P33" s="41" t="n"/>
      <c r="Q33" s="41" t="n"/>
      <c r="R33" s="41" t="n"/>
      <c r="S33" s="27" t="n"/>
    </row>
    <row r="34" ht="13.95" customFormat="1" customHeight="1" s="28">
      <c r="A34" s="60" t="inlineStr">
        <is>
          <t>RDHx CL20</t>
        </is>
      </c>
      <c r="B34" s="60" t="n">
        <v>0</v>
      </c>
      <c r="C34" s="60" t="n">
        <v>0</v>
      </c>
      <c r="E34" t="inlineStr">
        <is>
          <t>980-9IAJ0-00XM01</t>
        </is>
      </c>
      <c r="F34" t="inlineStr">
        <is>
          <t>980-9IAJ0-00XM00</t>
        </is>
      </c>
      <c r="G34" s="56" t="n"/>
      <c r="H34" s="41" t="n"/>
      <c r="I34" s="41" t="n"/>
      <c r="J34" s="41" t="n"/>
      <c r="K34" s="41" t="n"/>
      <c r="L34" s="41" t="n"/>
      <c r="M34" s="41" t="n"/>
      <c r="N34" s="41" t="n"/>
      <c r="O34" s="41" t="n"/>
      <c r="P34" s="41" t="n"/>
      <c r="Q34" s="41" t="n"/>
      <c r="R34" s="41" t="n"/>
      <c r="S34" s="27" t="n"/>
    </row>
    <row r="35" customFormat="1" s="26">
      <c r="A35" s="54" t="n"/>
      <c r="B35" s="54" t="n"/>
      <c r="C35" s="54" t="n"/>
      <c r="D35" s="54" t="n"/>
      <c r="E35" s="54" t="n"/>
      <c r="F35" s="54" t="n"/>
      <c r="G35" s="54" t="n"/>
      <c r="H35" s="29" t="n"/>
      <c r="I35" s="41" t="n"/>
      <c r="J35" s="41" t="n"/>
      <c r="K35" s="41" t="n"/>
      <c r="L35" s="41" t="n"/>
      <c r="M35" s="41" t="n"/>
      <c r="N35" s="41" t="n"/>
      <c r="O35" s="41" t="n"/>
      <c r="P35" s="41" t="n"/>
      <c r="Q35" s="41" t="n"/>
      <c r="R35" s="41" t="n"/>
      <c r="S35" s="27" t="n"/>
    </row>
    <row r="36" customFormat="1" s="26">
      <c r="A36" s="57" t="n"/>
      <c r="B36" s="57" t="n"/>
      <c r="C36" s="57" t="n"/>
      <c r="D36" s="54" t="n"/>
      <c r="E36" s="54" t="n"/>
      <c r="F36" s="54" t="n"/>
      <c r="G36" s="57" t="n"/>
      <c r="H36" s="28" t="n"/>
      <c r="I36" s="28" t="n"/>
      <c r="J36" s="28" t="n"/>
      <c r="K36" s="28" t="n"/>
      <c r="L36" s="28" t="n"/>
      <c r="M36" s="28" t="n"/>
      <c r="N36" s="28" t="n"/>
      <c r="O36" s="28" t="n"/>
      <c r="P36" s="28" t="n"/>
      <c r="Q36" s="28" t="n"/>
      <c r="R36" s="28" t="n"/>
      <c r="S36" s="27" t="n"/>
    </row>
    <row r="37" customFormat="1" s="26">
      <c r="A37" s="172" t="inlineStr">
        <is>
          <t>Patch Panels / Shuffle Componets Side Car</t>
        </is>
      </c>
      <c r="B37" s="166" t="n"/>
      <c r="C37" s="166" t="n"/>
      <c r="D37" s="166" t="n"/>
      <c r="E37" s="166" t="n"/>
      <c r="F37" s="166" t="n"/>
      <c r="G37" s="167" t="n"/>
      <c r="H37" s="28" t="n"/>
      <c r="I37" s="28" t="n"/>
      <c r="J37" s="28" t="n"/>
      <c r="K37" s="28" t="n"/>
      <c r="L37" s="28" t="n"/>
      <c r="M37" s="28" t="n"/>
      <c r="N37" s="28" t="n"/>
      <c r="O37" s="28" t="n"/>
      <c r="P37" s="28" t="n"/>
      <c r="Q37" s="28" t="n"/>
      <c r="R37" s="28" t="n"/>
      <c r="S37" s="27" t="n"/>
    </row>
    <row r="38" customFormat="1" s="26">
      <c r="A38" s="48" t="inlineStr">
        <is>
          <t>Item</t>
        </is>
      </c>
      <c r="B38" s="48" t="inlineStr">
        <is>
          <t>Count</t>
        </is>
      </c>
      <c r="C38" s="48" t="inlineStr">
        <is>
          <t>Spares</t>
        </is>
      </c>
      <c r="D38" s="55" t="inlineStr">
        <is>
          <t>Sub-Total</t>
        </is>
      </c>
      <c r="E38" s="48" t="inlineStr">
        <is>
          <t>Model/PN</t>
        </is>
      </c>
      <c r="F38" s="48" t="inlineStr">
        <is>
          <t>Description</t>
        </is>
      </c>
      <c r="G38" s="50" t="inlineStr">
        <is>
          <t>Notes</t>
        </is>
      </c>
      <c r="S38" s="27" t="n"/>
    </row>
    <row r="39" ht="13.95" customFormat="1" customHeight="1" s="28">
      <c r="A39" s="115" t="inlineStr">
        <is>
          <t>Cassette /SU</t>
        </is>
      </c>
      <c r="B39" s="157" t="n">
        <v>0</v>
      </c>
      <c r="C39" s="157" t="n">
        <v>0</v>
      </c>
      <c r="D39" s="157" t="n">
        <v>0</v>
      </c>
      <c r="E39" s="115" t="n"/>
      <c r="F39" s="115" t="n"/>
      <c r="G39" s="52" t="n"/>
      <c r="S39" s="27" t="n"/>
    </row>
    <row r="40" ht="13.95" customFormat="1" customHeight="1" s="28">
      <c r="A40" s="115" t="inlineStr">
        <is>
          <t>Shuffle Box / Cassette</t>
        </is>
      </c>
      <c r="B40" s="157" t="n">
        <v>0</v>
      </c>
      <c r="C40" s="157" t="n">
        <v>0</v>
      </c>
      <c r="D40" s="157" t="n">
        <v>0</v>
      </c>
      <c r="E40" s="115" t="n"/>
      <c r="F40" s="115" t="n"/>
      <c r="G40" s="52" t="n"/>
      <c r="S40" s="27" t="n"/>
    </row>
    <row r="41" ht="13.95" customFormat="1" customHeight="1" s="28">
      <c r="A41" s="115" t="inlineStr">
        <is>
          <t>FiberPanel 2U</t>
        </is>
      </c>
      <c r="B41" s="157" t="n">
        <v>4</v>
      </c>
      <c r="C41" s="157" t="n"/>
      <c r="D41" s="157" t="n">
        <v>4</v>
      </c>
      <c r="E41" s="115" t="inlineStr">
        <is>
          <t>2U Mount Panels</t>
        </is>
      </c>
      <c r="F41" s="115" t="n"/>
      <c r="G41" s="52" t="n"/>
      <c r="S41" s="27" t="n"/>
    </row>
    <row r="42" ht="13.95" customFormat="1" customHeight="1" s="28">
      <c r="A42" s="115" t="inlineStr">
        <is>
          <t>Shuffle Racks</t>
        </is>
      </c>
      <c r="B42" s="158" t="n">
        <v>0</v>
      </c>
      <c r="C42" s="157" t="n">
        <v>0</v>
      </c>
      <c r="D42" s="158" t="n">
        <v>0</v>
      </c>
      <c r="E42" s="115" t="n"/>
      <c r="F42" s="115" t="n"/>
      <c r="G42" s="52" t="n"/>
      <c r="S42" s="27" t="n"/>
    </row>
    <row r="43" ht="13.95" customFormat="1" customHeight="1" s="28">
      <c r="A43" s="115" t="inlineStr">
        <is>
          <t>Shuffle Boxes (Passive &amp; Openframe) [4x4 Shufflers]</t>
        </is>
      </c>
      <c r="B43" s="158" t="n">
        <v>144</v>
      </c>
      <c r="C43" s="157" t="n"/>
      <c r="D43" s="158" t="n">
        <v>144</v>
      </c>
      <c r="E43" s="115" t="inlineStr">
        <is>
          <t>Shuffle 4x4 units</t>
        </is>
      </c>
      <c r="F43" s="115" t="inlineStr">
        <is>
          <t>CommScope</t>
        </is>
      </c>
      <c r="G43" s="52" t="n"/>
      <c r="S43" s="27" t="n"/>
    </row>
    <row r="44" ht="13.95" customFormat="1" customHeight="1" s="28">
      <c r="A44" s="115" t="inlineStr">
        <is>
          <t>Side Car</t>
        </is>
      </c>
      <c r="B44" s="157" t="n">
        <v>0</v>
      </c>
      <c r="C44" s="157" t="n">
        <v>0</v>
      </c>
      <c r="D44" s="157" t="n">
        <v>0</v>
      </c>
      <c r="E44" s="115" t="inlineStr">
        <is>
          <t>side car</t>
        </is>
      </c>
      <c r="F44" s="115" t="inlineStr">
        <is>
          <t>305 mm</t>
        </is>
      </c>
      <c r="G44" s="52" t="n"/>
      <c r="S44" s="27" t="n"/>
    </row>
    <row r="45" ht="13.95" customFormat="1" customHeight="1" s="28">
      <c r="A45" s="115" t="inlineStr">
        <is>
          <t>Jumper Cables from Shuffle Box to Leaf switch</t>
        </is>
      </c>
      <c r="B45" s="157" t="n">
        <v>576</v>
      </c>
      <c r="C45" s="157" t="n"/>
      <c r="D45" s="157" t="n">
        <v>576</v>
      </c>
      <c r="E45" s="115" t="inlineStr">
        <is>
          <t>Fiber Jumper cables</t>
        </is>
      </c>
      <c r="F45" s="115" t="inlineStr">
        <is>
          <t>Jumper cables from shiuffle box to leaf</t>
        </is>
      </c>
      <c r="G45" s="54" t="n"/>
      <c r="S45" s="27" t="n"/>
    </row>
    <row r="46" ht="13.95" customFormat="1" customHeight="1" s="28">
      <c r="A46" s="115" t="n"/>
      <c r="B46" s="157" t="n"/>
      <c r="C46" s="157" t="n"/>
      <c r="D46" s="115" t="n"/>
      <c r="E46" s="115" t="n"/>
      <c r="F46" s="115" t="n"/>
      <c r="G46" s="54" t="n"/>
      <c r="S46" s="27" t="n"/>
    </row>
    <row r="47" customFormat="1" s="26">
      <c r="A47" s="173" t="inlineStr">
        <is>
          <t>East-West NIC-LEAF : Transceiver/Fiber/Cable</t>
        </is>
      </c>
      <c r="B47" s="170" t="n"/>
      <c r="C47" s="170" t="n"/>
      <c r="D47" s="170" t="n"/>
      <c r="E47" s="170" t="n"/>
      <c r="F47" s="170" t="n"/>
      <c r="G47" s="171" t="n"/>
      <c r="S47" s="27" t="n"/>
    </row>
    <row r="48" customFormat="1" s="26">
      <c r="A48" s="50" t="inlineStr">
        <is>
          <t>Item</t>
        </is>
      </c>
      <c r="B48" s="50" t="inlineStr">
        <is>
          <t>Count</t>
        </is>
      </c>
      <c r="C48" s="50" t="inlineStr">
        <is>
          <t>Spares</t>
        </is>
      </c>
      <c r="D48" s="55" t="inlineStr">
        <is>
          <t>Sub-Total</t>
        </is>
      </c>
      <c r="E48" s="48" t="inlineStr">
        <is>
          <t>Model/PN</t>
        </is>
      </c>
      <c r="F48" s="48" t="inlineStr">
        <is>
          <t>Description</t>
        </is>
      </c>
      <c r="G48" s="50" t="inlineStr">
        <is>
          <t>Notes</t>
        </is>
      </c>
      <c r="S48" s="27" t="n"/>
    </row>
    <row r="49" customFormat="1" s="27">
      <c r="A49" s="56" t="inlineStr">
        <is>
          <t>E-W NIC-Leaf Link NIC Xcvr</t>
        </is>
      </c>
      <c r="B49" s="47">
        <f>B7*72</f>
        <v/>
      </c>
      <c r="C49" s="64" t="n">
        <v>0</v>
      </c>
      <c r="D49" s="65">
        <f>B49+C49</f>
        <v/>
      </c>
      <c r="E49" t="inlineStr">
        <is>
          <t>980-9IAJ0-00XM00</t>
        </is>
      </c>
      <c r="F49" s="103" t="inlineStr">
        <is>
          <t>NVIDIA twin port transceiver,2xDR4 1600Gbps,OSFP, 2xMPO APC, 1310nm SMF, up to 500m, RHS FRO,Gen2, Eth only</t>
        </is>
      </c>
      <c r="G49" s="66" t="inlineStr"/>
      <c r="H49" s="26" t="n"/>
      <c r="I49" s="26" t="n"/>
      <c r="J49" s="26" t="n"/>
      <c r="K49" s="26" t="n"/>
      <c r="L49" s="26" t="n"/>
      <c r="M49" s="26" t="n"/>
      <c r="N49" s="26" t="n"/>
      <c r="O49" s="26" t="n"/>
    </row>
    <row r="50" customFormat="1" s="27">
      <c r="A50" s="56" t="inlineStr">
        <is>
          <t>E-W NIC-Leaf Link NIC Xcvr Cable</t>
        </is>
      </c>
      <c r="B50" s="67">
        <f>B49*2</f>
        <v/>
      </c>
      <c r="C50" s="64" t="n">
        <v>0</v>
      </c>
      <c r="D50" s="65">
        <f>B50+C50</f>
        <v/>
      </c>
      <c r="E50" s="102" t="inlineStr">
        <is>
          <t>MPO8 to MPO8</t>
        </is>
      </c>
      <c r="F50" s="102" t="inlineStr">
        <is>
          <t>800G (4x200G) Single Mode Passive Fiber , MPO-8 to MPO-8</t>
        </is>
      </c>
      <c r="G50" s="66" t="inlineStr"/>
      <c r="H50" s="26" t="n"/>
      <c r="I50" s="26" t="n"/>
      <c r="J50" s="26" t="n"/>
      <c r="K50" s="26" t="n"/>
      <c r="L50" s="26" t="n"/>
      <c r="M50" s="26" t="n"/>
      <c r="N50" s="26" t="n"/>
      <c r="O50" s="26" t="n"/>
    </row>
    <row r="51" customFormat="1" s="26">
      <c r="A51" s="56" t="inlineStr">
        <is>
          <t>E-W NIC-Leaf Link Leaf Xcvr</t>
        </is>
      </c>
      <c r="B51" s="67">
        <f>B49</f>
        <v/>
      </c>
      <c r="C51" s="64" t="n">
        <v>0</v>
      </c>
      <c r="D51" s="65">
        <f>B51+C51</f>
        <v/>
      </c>
      <c r="E51" t="inlineStr">
        <is>
          <t>980-9IAJ0-00XM00</t>
        </is>
      </c>
      <c r="F51" s="103" t="inlineStr">
        <is>
          <t>NVIDIA twin port transceiver,2xDR4 1600Gbps,OSFP, 2xMPO APC, 1310nm SMF, up to 500m, RHS FRO,Gen2, Eth only</t>
        </is>
      </c>
      <c r="G51" s="56" t="inlineStr"/>
      <c r="S51" s="27" t="n"/>
    </row>
    <row r="52" customFormat="1" s="26">
      <c r="A52" s="54" t="n"/>
      <c r="B52" s="54" t="n"/>
      <c r="C52" s="54" t="n"/>
      <c r="D52" s="54" t="n"/>
      <c r="E52" t="inlineStr"/>
      <c r="F52" s="54" t="n"/>
      <c r="G52" s="54" t="n"/>
    </row>
    <row r="53" customFormat="1" s="26">
      <c r="A53" s="54" t="n"/>
      <c r="B53" s="54" t="n"/>
      <c r="C53" s="54" t="n"/>
      <c r="D53" s="54" t="n"/>
      <c r="E53" s="54" t="n"/>
      <c r="F53" s="54" t="n"/>
      <c r="G53" s="54" t="n"/>
    </row>
    <row r="54" customFormat="1" s="26">
      <c r="A54" s="168" t="inlineStr">
        <is>
          <t>East-West LEAF-SPINE : Transceiver and Fiber/Cable</t>
        </is>
      </c>
      <c r="B54" s="166" t="n"/>
      <c r="C54" s="166" t="n"/>
      <c r="D54" s="166" t="n"/>
      <c r="E54" s="166" t="n"/>
      <c r="F54" s="166" t="n"/>
      <c r="G54" s="167" t="n"/>
    </row>
    <row r="55" customFormat="1" s="26">
      <c r="A55" s="50" t="inlineStr">
        <is>
          <t>Item</t>
        </is>
      </c>
      <c r="B55" s="50" t="inlineStr">
        <is>
          <t>Count</t>
        </is>
      </c>
      <c r="C55" s="50" t="inlineStr">
        <is>
          <t>Spares</t>
        </is>
      </c>
      <c r="D55" s="58" t="inlineStr">
        <is>
          <t>Sub-Total</t>
        </is>
      </c>
      <c r="E55" s="48" t="inlineStr">
        <is>
          <t>Model/PN</t>
        </is>
      </c>
      <c r="F55" s="48" t="inlineStr">
        <is>
          <t>Description</t>
        </is>
      </c>
      <c r="G55" s="48" t="inlineStr">
        <is>
          <t>Notes</t>
        </is>
      </c>
    </row>
    <row r="56" customFormat="1" s="27">
      <c r="A56" s="68" t="inlineStr">
        <is>
          <t>E-W Leaf-Spine Link Leaf Xcvr</t>
        </is>
      </c>
      <c r="B56" s="68" t="n">
        <v>288</v>
      </c>
      <c r="C56" s="69" t="n">
        <v>0</v>
      </c>
      <c r="D56" s="70">
        <f>SUM(B56:C56)</f>
        <v/>
      </c>
      <c r="E56" t="inlineStr">
        <is>
          <t>980-9IAJ0-00XM00</t>
        </is>
      </c>
      <c r="F56" s="103" t="inlineStr">
        <is>
          <t>NVIDIA twin port transceiver,2xDR4 1600Gbps,OSFP, 2xMPO APC, 1310nm SMF, up to 500m, RHS FRO,Gen2, Eth only</t>
        </is>
      </c>
      <c r="G56" s="56" t="inlineStr">
        <is>
          <t>Optics: Leaf to Spine</t>
        </is>
      </c>
      <c r="H56" s="26" t="n"/>
      <c r="I56" s="26" t="n"/>
      <c r="J56" s="26" t="n"/>
      <c r="K56" s="26" t="n"/>
      <c r="L56" s="26" t="n"/>
      <c r="M56" s="26" t="n"/>
      <c r="N56" s="26" t="n"/>
      <c r="O56" s="26" t="n"/>
    </row>
    <row r="57" customFormat="1" s="27">
      <c r="A57" s="56" t="inlineStr">
        <is>
          <t>E-W Leaf-Spine Link Leaf Xcvr Cable</t>
        </is>
      </c>
      <c r="B57" s="67">
        <f>B56*2</f>
        <v/>
      </c>
      <c r="C57" s="69" t="n">
        <v>0</v>
      </c>
      <c r="D57" s="70">
        <f>SUM(B57:C57)</f>
        <v/>
      </c>
      <c r="E57" s="102" t="inlineStr">
        <is>
          <t>MPO8 to MPO8</t>
        </is>
      </c>
      <c r="F57" s="102" t="inlineStr">
        <is>
          <t>800G (4x200G) Single Mode Passive Fiber , MPO-8 to MPO-8</t>
        </is>
      </c>
      <c r="G57" s="56" t="inlineStr">
        <is>
          <t>Cables: Leaf to Spine</t>
        </is>
      </c>
      <c r="H57" s="26" t="n"/>
      <c r="I57" s="26" t="n"/>
      <c r="J57" s="26" t="n"/>
      <c r="K57" s="26" t="n"/>
      <c r="L57" s="26" t="n"/>
      <c r="M57" s="26" t="n"/>
      <c r="N57" s="26" t="n"/>
      <c r="O57" s="26" t="n"/>
    </row>
    <row r="58" customFormat="1" s="27">
      <c r="A58" s="56" t="inlineStr">
        <is>
          <t>E-W Leaf-Spine Link Spine Xcvr</t>
        </is>
      </c>
      <c r="B58" s="56">
        <f>B56</f>
        <v/>
      </c>
      <c r="C58" s="69" t="n">
        <v>0</v>
      </c>
      <c r="D58" s="70">
        <f>SUM(B58:C58)</f>
        <v/>
      </c>
      <c r="E58" t="inlineStr">
        <is>
          <t>980-9IAJ0-00XM00</t>
        </is>
      </c>
      <c r="F58" s="103" t="inlineStr">
        <is>
          <t>NVIDIA twin port transceiver,2xDR4 1600Gbps,OSFP, 2xMPO APC, 1310nm SMF, up to 500m, RHS FRO,Gen2, Eth only</t>
        </is>
      </c>
      <c r="G58" s="66" t="inlineStr">
        <is>
          <t>Optics: Spine to Leaf</t>
        </is>
      </c>
      <c r="H58" s="26" t="n"/>
      <c r="I58" s="26" t="n"/>
      <c r="J58" s="26" t="n"/>
      <c r="K58" s="26" t="n"/>
      <c r="L58" s="26" t="n"/>
      <c r="M58" s="26" t="n"/>
      <c r="N58" s="26" t="n"/>
      <c r="O58" s="26" t="n"/>
    </row>
    <row r="59" customFormat="1" s="27">
      <c r="A59" s="54" t="n"/>
      <c r="B59" s="54" t="n"/>
      <c r="C59" s="54" t="n"/>
      <c r="D59" s="54" t="n"/>
      <c r="E59" s="54" t="n"/>
      <c r="F59" s="54" t="n"/>
      <c r="G59" s="54" t="n"/>
      <c r="H59" s="26" t="n"/>
      <c r="I59" s="26" t="n"/>
      <c r="J59" s="26" t="n"/>
      <c r="K59" s="26" t="n"/>
      <c r="L59" s="26" t="n"/>
      <c r="M59" s="26" t="n"/>
      <c r="N59" s="26" t="n"/>
      <c r="O59" s="26" t="n"/>
    </row>
    <row r="60" customFormat="1" s="27">
      <c r="A60" s="168" t="inlineStr">
        <is>
          <t>North-South NIC-LEAF : Transceiver and Fiber/Cable</t>
        </is>
      </c>
      <c r="B60" s="166" t="n"/>
      <c r="C60" s="166" t="n"/>
      <c r="D60" s="166" t="n"/>
      <c r="E60" s="166" t="n"/>
      <c r="F60" s="166" t="n"/>
      <c r="G60" s="167" t="n"/>
      <c r="H60" s="26" t="n"/>
      <c r="I60" s="26" t="n"/>
      <c r="J60" s="26" t="n"/>
      <c r="K60" s="26" t="n"/>
      <c r="L60" s="26" t="n"/>
      <c r="M60" s="26" t="n"/>
      <c r="N60" s="26" t="n"/>
      <c r="O60" s="26" t="n"/>
    </row>
    <row r="61" customFormat="1" s="27">
      <c r="A61" s="48" t="inlineStr">
        <is>
          <t>Item</t>
        </is>
      </c>
      <c r="B61" s="48" t="inlineStr">
        <is>
          <t>Count</t>
        </is>
      </c>
      <c r="C61" s="48" t="inlineStr">
        <is>
          <t>Spares</t>
        </is>
      </c>
      <c r="D61" s="49" t="inlineStr">
        <is>
          <t>Sub-Total</t>
        </is>
      </c>
      <c r="E61" s="48" t="inlineStr">
        <is>
          <t>Model/PN</t>
        </is>
      </c>
      <c r="F61" s="48" t="inlineStr">
        <is>
          <t>Description</t>
        </is>
      </c>
      <c r="G61" s="50" t="inlineStr">
        <is>
          <t>Notes</t>
        </is>
      </c>
      <c r="H61" s="26" t="n"/>
      <c r="I61" s="26" t="n"/>
      <c r="J61" s="26" t="n"/>
      <c r="K61" s="26" t="n"/>
      <c r="L61" s="26" t="n"/>
      <c r="M61" s="26" t="n"/>
      <c r="N61" s="26" t="n"/>
      <c r="O61" s="26" t="n"/>
    </row>
    <row r="62" ht="15.75" customFormat="1" customHeight="1" s="26">
      <c r="A62" s="56" t="inlineStr">
        <is>
          <t>N-S NIC-Leaf Link NIC Xcvr</t>
        </is>
      </c>
      <c r="B62" s="56">
        <f>B7*18*2</f>
        <v/>
      </c>
      <c r="C62" s="64" t="n">
        <v>0</v>
      </c>
      <c r="D62" s="64">
        <f>SUM(B62:C62)</f>
        <v/>
      </c>
      <c r="E62" s="104" t="inlineStr">
        <is>
          <t>MMS1X00-NS400</t>
        </is>
      </c>
      <c r="F62" s="105" t="inlineStr">
        <is>
          <t>NVIDIA single port transceiver, 400Gbps, NDR, QSFP112, MPO, 1310nm SMF, up to 500m, flat top</t>
        </is>
      </c>
      <c r="G62" s="71" t="n"/>
      <c r="P62" s="27" t="n"/>
      <c r="Q62" s="27" t="n"/>
      <c r="R62" s="27" t="n"/>
      <c r="S62" s="27" t="n"/>
    </row>
    <row r="63" customFormat="1" s="26">
      <c r="A63" s="56" t="inlineStr">
        <is>
          <t>N-S NIC-Leaf Link Leaf Xcvr</t>
        </is>
      </c>
      <c r="B63" s="56">
        <f>B62/2</f>
        <v/>
      </c>
      <c r="C63" s="64" t="n">
        <v>0</v>
      </c>
      <c r="D63" s="64">
        <f>SUM(B63:C63)</f>
        <v/>
      </c>
      <c r="E63" s="102" t="inlineStr">
        <is>
          <t>980-9I30G-F4NM00</t>
        </is>
      </c>
      <c r="F63" s="102" t="inlineStr">
        <is>
          <t>TWIN PORT TRANSCEIVER, 800GBPS,2X400GbE, OSFP, 2XMPO, 1310NM SMF, UP TO 500M, FINNED</t>
        </is>
      </c>
      <c r="G63" s="52" t="n"/>
      <c r="P63" s="27" t="n"/>
      <c r="Q63" s="27" t="n"/>
      <c r="R63" s="27" t="n"/>
      <c r="S63" s="27" t="n"/>
    </row>
    <row r="64" customFormat="1" s="26">
      <c r="A64" s="56" t="inlineStr">
        <is>
          <t>N-S NIC-Leaf Link Leaf Xcvr Cable</t>
        </is>
      </c>
      <c r="B64" s="56">
        <f>B63*2</f>
        <v/>
      </c>
      <c r="C64" s="64" t="n">
        <v>0</v>
      </c>
      <c r="D64" s="64">
        <f>SUM(B64:C64)</f>
        <v/>
      </c>
      <c r="E64" s="102" t="inlineStr">
        <is>
          <t>MFP7E40-N050</t>
        </is>
      </c>
      <c r="F64" s="102" t="inlineStr">
        <is>
          <t>MPO-12/APC to 2xMPO-12/APC cable, 1310nm SMF OS2, 100m max, 50 M</t>
        </is>
      </c>
      <c r="G64" s="95" t="inlineStr"/>
      <c r="P64" s="27" t="n"/>
      <c r="Q64" s="27" t="n"/>
      <c r="R64" s="27" t="n"/>
      <c r="S64" s="27" t="n"/>
    </row>
    <row r="65" customFormat="1" s="26">
      <c r="A65" s="54" t="n"/>
      <c r="B65" s="56" t="n">
        <v>0</v>
      </c>
      <c r="C65" s="69">
        <f>B65*0.01</f>
        <v/>
      </c>
      <c r="D65" s="70">
        <f>SUM(B65:C65)</f>
        <v/>
      </c>
      <c r="E65" s="54" t="n"/>
      <c r="F65" s="54" t="n"/>
      <c r="G65" s="54" t="n"/>
      <c r="P65" s="27" t="n"/>
      <c r="Q65" s="27" t="n"/>
      <c r="R65" s="27" t="n"/>
      <c r="S65" s="27" t="n"/>
    </row>
    <row r="66" customFormat="1" s="26">
      <c r="A66" s="54" t="n"/>
      <c r="B66" s="54" t="inlineStr"/>
      <c r="C66" s="54" t="n"/>
      <c r="D66" s="54" t="n"/>
      <c r="E66" t="inlineStr"/>
      <c r="F66" t="inlineStr"/>
      <c r="G66" s="54" t="n"/>
      <c r="P66" s="27" t="n"/>
      <c r="Q66" s="27" t="n"/>
      <c r="R66" s="27" t="n"/>
      <c r="S66" s="27" t="n"/>
    </row>
    <row r="67" customFormat="1" s="26">
      <c r="A67" s="168" t="inlineStr">
        <is>
          <t>North-South LEAF-SPINE : Transceiver and Fiber/Cable</t>
        </is>
      </c>
      <c r="B67" s="166" t="n"/>
      <c r="C67" s="166" t="n"/>
      <c r="D67" s="166" t="n"/>
      <c r="E67" s="166" t="n"/>
      <c r="F67" s="166" t="n"/>
      <c r="G67" s="167" t="n"/>
      <c r="P67" s="27" t="n"/>
      <c r="Q67" s="27" t="n"/>
      <c r="R67" s="27" t="n"/>
      <c r="S67" s="27" t="n"/>
    </row>
    <row r="68" customFormat="1" s="26">
      <c r="A68" s="50" t="inlineStr">
        <is>
          <t>Item</t>
        </is>
      </c>
      <c r="B68" s="50" t="inlineStr">
        <is>
          <t>Count</t>
        </is>
      </c>
      <c r="C68" s="50" t="inlineStr">
        <is>
          <t>Spares</t>
        </is>
      </c>
      <c r="D68" s="58" t="inlineStr">
        <is>
          <t>Sub-Total</t>
        </is>
      </c>
      <c r="E68" s="48" t="inlineStr">
        <is>
          <t>Model/PN</t>
        </is>
      </c>
      <c r="F68" s="48" t="inlineStr">
        <is>
          <t>Description</t>
        </is>
      </c>
      <c r="G68" s="50" t="inlineStr">
        <is>
          <t>Notes</t>
        </is>
      </c>
      <c r="P68" s="27" t="n"/>
      <c r="Q68" s="27" t="n"/>
      <c r="R68" s="27" t="n"/>
      <c r="S68" s="27" t="n"/>
    </row>
    <row r="69" ht="24.9" customFormat="1" customHeight="1" s="26">
      <c r="A69" s="51" t="inlineStr">
        <is>
          <t>N-S Leaf-Spine Link Leaf Xcvr</t>
        </is>
      </c>
      <c r="B69" s="51" t="n">
        <v>16</v>
      </c>
      <c r="C69" s="84" t="n">
        <v>0</v>
      </c>
      <c r="D69" s="84">
        <f>B69+C69</f>
        <v/>
      </c>
      <c r="E69" s="102" t="inlineStr">
        <is>
          <t>980-9I30G-F4NM00</t>
        </is>
      </c>
      <c r="F69" s="102" t="inlineStr">
        <is>
          <t>TWIN PORT TRANSCEIVER, 800GBPS,2X400GbE, OSFP, 2XMPO, 1310NM SMF, UP TO 500M, FINNED</t>
        </is>
      </c>
      <c r="G69" s="52" t="inlineStr">
        <is>
          <t>Optics: Leaf to Spine</t>
        </is>
      </c>
      <c r="P69" s="27" t="n"/>
      <c r="Q69" s="27" t="n"/>
      <c r="R69" s="27" t="n"/>
      <c r="S69" s="27" t="n"/>
    </row>
    <row r="70" customFormat="1" s="26">
      <c r="A70" s="51" t="inlineStr">
        <is>
          <t>N-S Leaf-Spine Link Leaf Xcvr Cable</t>
        </is>
      </c>
      <c r="B70" s="51">
        <f>B69*2</f>
        <v/>
      </c>
      <c r="C70" s="84" t="n">
        <v>0</v>
      </c>
      <c r="D70" s="84">
        <f>B70+C70</f>
        <v/>
      </c>
      <c r="E70" s="102" t="inlineStr">
        <is>
          <t>MFP7E30-N050</t>
        </is>
      </c>
      <c r="F70" s="102" t="inlineStr">
        <is>
          <t>MPO-12/APC to MPO-12/APC cable, 1310nm SMF OS2, 100m max, 50 M</t>
        </is>
      </c>
      <c r="G70" s="52" t="inlineStr">
        <is>
          <t>Cables: Leaf to Spine</t>
        </is>
      </c>
      <c r="P70" s="27" t="n"/>
      <c r="Q70" s="27" t="n"/>
      <c r="R70" s="27" t="n"/>
      <c r="S70" s="27" t="n"/>
    </row>
    <row r="71" ht="24.9" customFormat="1" customHeight="1" s="26">
      <c r="A71" s="51" t="inlineStr">
        <is>
          <t>N-S Leaf-Spine Link Spine Xcvr</t>
        </is>
      </c>
      <c r="B71" s="51">
        <f>B69</f>
        <v/>
      </c>
      <c r="C71" s="84" t="n">
        <v>0</v>
      </c>
      <c r="D71" s="84">
        <f>B71+C71</f>
        <v/>
      </c>
      <c r="E71" s="102" t="inlineStr">
        <is>
          <t>980-9I30G-F4NM00</t>
        </is>
      </c>
      <c r="F71" s="102" t="inlineStr">
        <is>
          <t>TWIN PORT TRANSCEIVER, 800GBPS,2X400GbE, OSFP, 2XMPO, 1310NM SMF, UP TO 500M, FINNED</t>
        </is>
      </c>
      <c r="G71" s="83" t="inlineStr">
        <is>
          <t>Optics: Spine to Leaf</t>
        </is>
      </c>
      <c r="P71" s="27" t="n"/>
      <c r="Q71" s="27" t="n"/>
      <c r="R71" s="27" t="n"/>
      <c r="S71" s="27" t="n"/>
    </row>
    <row r="72" ht="24.9" customFormat="1" customHeight="1" s="26">
      <c r="A72" s="51" t="n"/>
      <c r="B72" s="51" t="n"/>
      <c r="C72" s="84" t="n"/>
      <c r="D72" s="84" t="n"/>
      <c r="E72" s="102" t="n"/>
      <c r="F72" s="102" t="n"/>
      <c r="G72" s="87" t="n"/>
      <c r="P72" s="27" t="n"/>
      <c r="Q72" s="27" t="n"/>
      <c r="R72" s="27" t="n"/>
      <c r="S72" s="27" t="n"/>
    </row>
    <row r="73" ht="24.9" customFormat="1" customHeight="1" s="26">
      <c r="A73" s="168" t="inlineStr">
        <is>
          <t>North-South SPINE-Core : Transceiver and Fiber/Cable</t>
        </is>
      </c>
      <c r="B73" s="166" t="n"/>
      <c r="C73" s="166" t="n"/>
      <c r="D73" s="166" t="n"/>
      <c r="E73" s="166" t="n"/>
      <c r="F73" s="166" t="n"/>
      <c r="G73" s="167" t="n"/>
      <c r="P73" s="27" t="n"/>
      <c r="Q73" s="27" t="n"/>
      <c r="R73" s="27" t="n"/>
      <c r="S73" s="27" t="n"/>
    </row>
    <row r="74" ht="24.9" customFormat="1" customHeight="1" s="26">
      <c r="A74" s="50" t="inlineStr">
        <is>
          <t>Item</t>
        </is>
      </c>
      <c r="B74" s="50" t="inlineStr">
        <is>
          <t>Count</t>
        </is>
      </c>
      <c r="C74" s="50" t="inlineStr">
        <is>
          <t>Spares</t>
        </is>
      </c>
      <c r="D74" s="58" t="inlineStr">
        <is>
          <t>Sub-Total</t>
        </is>
      </c>
      <c r="E74" s="48" t="inlineStr">
        <is>
          <t>Model/PN</t>
        </is>
      </c>
      <c r="F74" s="48" t="inlineStr">
        <is>
          <t>Description</t>
        </is>
      </c>
      <c r="G74" s="50" t="inlineStr">
        <is>
          <t>Notes</t>
        </is>
      </c>
      <c r="P74" s="27" t="n"/>
      <c r="Q74" s="27" t="n"/>
      <c r="R74" s="27" t="n"/>
      <c r="S74" s="27" t="n"/>
    </row>
    <row r="75" ht="24.9" customFormat="1" customHeight="1" s="26">
      <c r="A75" s="51" t="inlineStr">
        <is>
          <t>N-S Spine-Core Link Spine Xcvr</t>
        </is>
      </c>
      <c r="B75" s="51" t="n">
        <v>0</v>
      </c>
      <c r="C75" s="84" t="n">
        <v>0</v>
      </c>
      <c r="D75" s="84">
        <f>B75+C75</f>
        <v/>
      </c>
      <c r="E75" s="102" t="inlineStr"/>
      <c r="F75" s="102" t="inlineStr"/>
      <c r="G75" s="52" t="inlineStr">
        <is>
          <t>Optics: Leaf to Spine</t>
        </is>
      </c>
      <c r="P75" s="27" t="n"/>
      <c r="Q75" s="27" t="n"/>
      <c r="R75" s="27" t="n"/>
      <c r="S75" s="27" t="n"/>
    </row>
    <row r="76" ht="24.9" customFormat="1" customHeight="1" s="26">
      <c r="A76" s="51" t="inlineStr">
        <is>
          <t>N-S Spine-Core Link Spine Cable</t>
        </is>
      </c>
      <c r="B76" s="51" t="n">
        <v>0</v>
      </c>
      <c r="C76" s="84" t="n">
        <v>0</v>
      </c>
      <c r="D76" s="84">
        <f>B76+C76</f>
        <v/>
      </c>
      <c r="E76" s="102" t="inlineStr"/>
      <c r="F76" s="102" t="inlineStr"/>
      <c r="G76" s="52" t="inlineStr">
        <is>
          <t>Cables: Leaf to Spine</t>
        </is>
      </c>
      <c r="P76" s="27" t="n"/>
      <c r="Q76" s="27" t="n"/>
      <c r="R76" s="27" t="n"/>
      <c r="S76" s="27" t="n"/>
    </row>
    <row r="77" ht="24.9" customFormat="1" customHeight="1" s="26">
      <c r="A77" s="51" t="inlineStr">
        <is>
          <t>N-S Spine-Core Link Core Xcvr</t>
        </is>
      </c>
      <c r="B77" s="51" t="n">
        <v>0</v>
      </c>
      <c r="C77" s="84" t="n">
        <v>0</v>
      </c>
      <c r="D77" s="84">
        <f>B77+C77</f>
        <v/>
      </c>
      <c r="E77" s="102" t="inlineStr"/>
      <c r="F77" s="102" t="inlineStr"/>
      <c r="G77" s="83" t="inlineStr">
        <is>
          <t>Optics: Spine to Leaf</t>
        </is>
      </c>
      <c r="P77" s="27" t="n"/>
      <c r="Q77" s="27" t="n"/>
      <c r="R77" s="27" t="n"/>
      <c r="S77" s="27" t="n"/>
    </row>
    <row r="78" customFormat="1" s="26">
      <c r="A78" s="51" t="n"/>
      <c r="B78" s="51" t="n"/>
      <c r="C78" s="84" t="n"/>
      <c r="D78" s="84" t="n"/>
      <c r="E78" s="51" t="n"/>
      <c r="F78" s="51" t="n"/>
      <c r="G78" s="54" t="n"/>
      <c r="P78" s="27" t="n"/>
      <c r="Q78" s="27" t="n"/>
      <c r="R78" s="27" t="n"/>
      <c r="S78" s="27" t="n"/>
    </row>
    <row r="79" customFormat="1" s="26">
      <c r="A79" s="168" t="inlineStr">
        <is>
          <t>North-South Storage POD: Transceiver and Fiber/Cable</t>
        </is>
      </c>
      <c r="B79" s="166" t="n"/>
      <c r="C79" s="166" t="n"/>
      <c r="D79" s="166" t="n"/>
      <c r="E79" s="166" t="n"/>
      <c r="F79" s="166" t="n"/>
      <c r="G79" s="167" t="n"/>
      <c r="P79" s="27" t="n"/>
      <c r="Q79" s="27" t="n"/>
      <c r="R79" s="27" t="n"/>
      <c r="S79" s="27" t="n"/>
    </row>
    <row r="80" customFormat="1" s="26">
      <c r="A80" s="50" t="inlineStr">
        <is>
          <t>Item</t>
        </is>
      </c>
      <c r="B80" s="50" t="inlineStr">
        <is>
          <t>Count</t>
        </is>
      </c>
      <c r="C80" s="50" t="inlineStr">
        <is>
          <t>Spares</t>
        </is>
      </c>
      <c r="D80" s="58" t="inlineStr">
        <is>
          <t>Sub-Total</t>
        </is>
      </c>
      <c r="E80" s="48" t="inlineStr">
        <is>
          <t>Model/PN</t>
        </is>
      </c>
      <c r="F80" s="48" t="inlineStr">
        <is>
          <t>Description</t>
        </is>
      </c>
      <c r="G80" s="50" t="inlineStr">
        <is>
          <t>Notes</t>
        </is>
      </c>
      <c r="P80" s="27" t="n"/>
      <c r="Q80" s="27" t="n"/>
      <c r="R80" s="27" t="n"/>
      <c r="S80" s="27" t="n"/>
    </row>
    <row r="81" customFormat="1" s="26">
      <c r="A81" s="51" t="inlineStr">
        <is>
          <t>N-S Storage Leaf-Spine Link Leaf Xcvr</t>
        </is>
      </c>
      <c r="B81" s="51">
        <f>B13*32</f>
        <v/>
      </c>
      <c r="C81" s="84" t="n">
        <v>0</v>
      </c>
      <c r="D81" s="84">
        <f>B81</f>
        <v/>
      </c>
      <c r="E81" s="102" t="inlineStr"/>
      <c r="F81" s="102" t="inlineStr"/>
      <c r="G81" s="52" t="inlineStr"/>
      <c r="P81" s="27" t="n"/>
      <c r="Q81" s="27" t="n"/>
      <c r="R81" s="27" t="n"/>
      <c r="S81" s="27" t="n"/>
    </row>
    <row r="82" customFormat="1" s="26">
      <c r="A82" s="51" t="inlineStr">
        <is>
          <t>N-S Storage  Leaf-Spine Link Leaf Xcvr Cable</t>
        </is>
      </c>
      <c r="B82" s="51">
        <f>B81*2</f>
        <v/>
      </c>
      <c r="C82" s="84" t="n">
        <v>0</v>
      </c>
      <c r="D82" s="84">
        <f>B82</f>
        <v/>
      </c>
      <c r="E82" s="102" t="inlineStr"/>
      <c r="F82" s="102" t="inlineStr"/>
      <c r="G82" s="52" t="inlineStr"/>
      <c r="P82" s="27" t="n"/>
      <c r="Q82" s="27" t="n"/>
      <c r="R82" s="27" t="n"/>
      <c r="S82" s="27" t="n"/>
    </row>
    <row r="83" customFormat="1" s="26">
      <c r="A83" s="51" t="inlineStr">
        <is>
          <t>N-S Storage Leaf-Spine Link Spine Xcvr</t>
        </is>
      </c>
      <c r="B83" s="51">
        <f>B81</f>
        <v/>
      </c>
      <c r="C83" s="84" t="n">
        <v>0</v>
      </c>
      <c r="D83" s="84">
        <f>B83</f>
        <v/>
      </c>
      <c r="E83" s="102" t="inlineStr"/>
      <c r="F83" s="102" t="inlineStr"/>
      <c r="G83" s="83" t="inlineStr"/>
      <c r="P83" s="27" t="n"/>
      <c r="Q83" s="27" t="n"/>
      <c r="R83" s="27" t="n"/>
      <c r="S83" s="27" t="n"/>
    </row>
    <row r="84" customFormat="1" s="26">
      <c r="A84" s="51" t="inlineStr">
        <is>
          <t>N-S Storage Leaf-Compute Link Leaf Xcvr</t>
        </is>
      </c>
      <c r="B84" s="51">
        <f>B13*36</f>
        <v/>
      </c>
      <c r="C84" s="84" t="n">
        <v>0</v>
      </c>
      <c r="D84" s="84">
        <f>B84</f>
        <v/>
      </c>
      <c r="E84" s="102" t="inlineStr"/>
      <c r="F84" s="102" t="inlineStr"/>
      <c r="G84" s="87" t="n"/>
      <c r="P84" s="27" t="n"/>
      <c r="Q84" s="27" t="n"/>
      <c r="R84" s="27" t="n"/>
      <c r="S84" s="27" t="n"/>
    </row>
    <row r="85" customFormat="1" s="26">
      <c r="A85" s="51" t="inlineStr">
        <is>
          <t>N-S Storage Leaf-Compute Link  Cable</t>
        </is>
      </c>
      <c r="B85" s="51" t="n">
        <v>0</v>
      </c>
      <c r="C85" s="84" t="n">
        <v>0</v>
      </c>
      <c r="D85" s="84" t="n">
        <v>0</v>
      </c>
      <c r="E85" s="102" t="inlineStr"/>
      <c r="F85" s="102" t="inlineStr"/>
      <c r="G85" s="87" t="n"/>
      <c r="P85" s="27" t="n"/>
      <c r="Q85" s="27" t="n"/>
      <c r="R85" s="27" t="n"/>
      <c r="S85" s="27" t="n"/>
    </row>
    <row r="86" ht="15.75" customFormat="1" customHeight="1" s="26">
      <c r="A86" s="51" t="inlineStr">
        <is>
          <t>N-S Storage Leaf-Compute Link  Xcvr</t>
        </is>
      </c>
      <c r="B86" s="51" t="inlineStr"/>
      <c r="C86" s="84" t="n">
        <v>0</v>
      </c>
      <c r="D86" s="84" t="inlineStr"/>
      <c r="E86" s="104" t="inlineStr"/>
      <c r="F86" s="105" t="inlineStr"/>
      <c r="G86" s="87" t="n"/>
      <c r="P86" s="27" t="n"/>
      <c r="Q86" s="27" t="n"/>
      <c r="R86" s="27" t="n"/>
      <c r="S86" s="27" t="n"/>
    </row>
    <row r="87" ht="15.75" customFormat="1" customHeight="1" s="26" thickBot="1">
      <c r="A87" s="51" t="n"/>
      <c r="B87" s="51" t="n"/>
      <c r="C87" s="84" t="n"/>
      <c r="D87" s="84" t="n"/>
      <c r="E87" s="106" t="inlineStr"/>
      <c r="F87" s="107" t="inlineStr"/>
      <c r="G87" s="107" t="inlineStr"/>
      <c r="P87" s="27" t="n"/>
      <c r="Q87" s="27" t="n"/>
      <c r="R87" s="27" t="n"/>
      <c r="S87" s="27" t="n"/>
    </row>
    <row r="88" customFormat="1" s="26">
      <c r="A88" s="168" t="inlineStr">
        <is>
          <t>North-South Control POD: Transceiver and Fiber/Cable</t>
        </is>
      </c>
      <c r="B88" s="166" t="n"/>
      <c r="C88" s="166" t="n"/>
      <c r="D88" s="166" t="n"/>
      <c r="E88" s="166" t="n"/>
      <c r="F88" s="166" t="n"/>
      <c r="G88" s="167" t="n"/>
      <c r="P88" s="27" t="n"/>
      <c r="Q88" s="27" t="n"/>
      <c r="R88" s="27" t="n"/>
      <c r="S88" s="27" t="n"/>
    </row>
    <row r="89" customFormat="1" s="26">
      <c r="A89" s="50" t="inlineStr">
        <is>
          <t>Item</t>
        </is>
      </c>
      <c r="B89" s="50" t="inlineStr">
        <is>
          <t>Count</t>
        </is>
      </c>
      <c r="C89" s="50" t="inlineStr">
        <is>
          <t>Spares</t>
        </is>
      </c>
      <c r="D89" s="58" t="inlineStr">
        <is>
          <t>Sub-Total</t>
        </is>
      </c>
      <c r="E89" s="48" t="inlineStr">
        <is>
          <t>Model/PN</t>
        </is>
      </c>
      <c r="F89" s="48" t="inlineStr">
        <is>
          <t>Description</t>
        </is>
      </c>
      <c r="G89" s="50" t="inlineStr">
        <is>
          <t>Notes</t>
        </is>
      </c>
      <c r="P89" s="27" t="n"/>
      <c r="Q89" s="27" t="n"/>
      <c r="R89" s="27" t="n"/>
      <c r="S89" s="27" t="n"/>
    </row>
    <row r="90" customFormat="1" s="26">
      <c r="A90" s="51" t="inlineStr">
        <is>
          <t>N-S Control Leaf-Spine Link Leaf Xcvr</t>
        </is>
      </c>
      <c r="B90" s="51">
        <f>B14*16</f>
        <v/>
      </c>
      <c r="C90" s="84" t="n">
        <v>0</v>
      </c>
      <c r="D90" s="84">
        <f>B90+C90</f>
        <v/>
      </c>
      <c r="E90" s="102" t="inlineStr"/>
      <c r="F90" s="102" t="inlineStr"/>
      <c r="G90" s="52" t="inlineStr">
        <is>
          <t>Optics: Leaf to Spine</t>
        </is>
      </c>
      <c r="P90" s="27" t="n"/>
      <c r="Q90" s="27" t="n"/>
      <c r="R90" s="27" t="n"/>
      <c r="S90" s="27" t="n"/>
    </row>
    <row r="91" customFormat="1" s="26">
      <c r="A91" s="51" t="inlineStr">
        <is>
          <t>N-S Control Leaf-Spine Link Leaf Xcvr Cable</t>
        </is>
      </c>
      <c r="B91" s="51">
        <f>B90*2</f>
        <v/>
      </c>
      <c r="C91" s="84" t="n">
        <v>0</v>
      </c>
      <c r="D91" s="84">
        <f>B91+C91</f>
        <v/>
      </c>
      <c r="E91" s="102" t="inlineStr"/>
      <c r="F91" s="102" t="inlineStr"/>
      <c r="G91" s="52" t="inlineStr">
        <is>
          <t>Cables: Leaf to Spine</t>
        </is>
      </c>
      <c r="P91" s="27" t="n"/>
      <c r="Q91" s="27" t="n"/>
      <c r="R91" s="27" t="n"/>
      <c r="S91" s="27" t="n"/>
    </row>
    <row r="92" customFormat="1" s="26">
      <c r="A92" s="51" t="inlineStr">
        <is>
          <t>N-S Control Leaf-Spine Link Spine Xcvr</t>
        </is>
      </c>
      <c r="B92" s="51" t="inlineStr"/>
      <c r="C92" s="84" t="n">
        <v>0</v>
      </c>
      <c r="D92" s="84" t="inlineStr"/>
      <c r="E92" s="102" t="inlineStr"/>
      <c r="F92" s="102" t="inlineStr"/>
      <c r="G92" s="83" t="inlineStr">
        <is>
          <t>Optics: Spine to Leaf</t>
        </is>
      </c>
      <c r="P92" s="27" t="n"/>
      <c r="Q92" s="27" t="n"/>
      <c r="R92" s="27" t="n"/>
      <c r="S92" s="27" t="n"/>
    </row>
    <row r="93" customFormat="1" s="26">
      <c r="A93" s="51" t="inlineStr">
        <is>
          <t>N-S Control Leaf-Compute Leaf Xcvr</t>
        </is>
      </c>
      <c r="B93" s="51">
        <f>B14*48</f>
        <v/>
      </c>
      <c r="C93" s="84" t="n">
        <v>0</v>
      </c>
      <c r="D93" s="84" t="n">
        <v>0</v>
      </c>
      <c r="E93" s="102" t="inlineStr"/>
      <c r="F93" s="102" t="inlineStr"/>
      <c r="G93" s="83" t="n"/>
      <c r="P93" s="27" t="n"/>
      <c r="Q93" s="27" t="n"/>
      <c r="R93" s="27" t="n"/>
      <c r="S93" s="27" t="n"/>
    </row>
    <row r="94" customFormat="1" s="26">
      <c r="A94" s="51" t="inlineStr">
        <is>
          <t>N-S Control Leaf-Compute Leaf Cable</t>
        </is>
      </c>
      <c r="B94" s="51">
        <f>B93*2</f>
        <v/>
      </c>
      <c r="C94" s="84" t="n">
        <v>0</v>
      </c>
      <c r="D94" s="84">
        <f>B94+C94</f>
        <v/>
      </c>
      <c r="E94" s="102" t="inlineStr"/>
      <c r="F94" s="102" t="inlineStr"/>
      <c r="G94" s="52" t="n"/>
      <c r="P94" s="27" t="n"/>
      <c r="Q94" s="27" t="n"/>
      <c r="R94" s="27" t="n"/>
      <c r="S94" s="27" t="n"/>
    </row>
    <row r="95" ht="15.75" customFormat="1" customHeight="1" s="26">
      <c r="A95" s="51" t="inlineStr">
        <is>
          <t>N-S Control Leaf-Compute Xcvr</t>
        </is>
      </c>
      <c r="B95" s="51" t="inlineStr"/>
      <c r="C95" s="84" t="n">
        <v>0</v>
      </c>
      <c r="D95" s="84" t="inlineStr"/>
      <c r="E95" s="104" t="inlineStr"/>
      <c r="F95" s="105" t="inlineStr"/>
      <c r="G95" s="54" t="inlineStr">
        <is>
          <t>BF3140 - connect to Z9864F at 200G</t>
        </is>
      </c>
      <c r="P95" s="27" t="n"/>
      <c r="Q95" s="27" t="n"/>
      <c r="R95" s="27" t="n"/>
      <c r="S95" s="27" t="n"/>
    </row>
    <row r="96" customFormat="1" s="27">
      <c r="A96" s="173" t="inlineStr">
        <is>
          <t>OOB Cluster : Transceiver and Fiber/Cable</t>
        </is>
      </c>
      <c r="B96" s="170" t="n"/>
      <c r="C96" s="170" t="n"/>
      <c r="D96" s="170" t="n"/>
      <c r="E96" s="170" t="n"/>
      <c r="F96" s="170" t="n"/>
      <c r="G96" s="171" t="n"/>
    </row>
    <row r="97" customFormat="1" s="26">
      <c r="A97" s="48" t="inlineStr">
        <is>
          <t>Item</t>
        </is>
      </c>
      <c r="B97" s="48" t="inlineStr">
        <is>
          <t>Count</t>
        </is>
      </c>
      <c r="C97" s="48" t="inlineStr">
        <is>
          <t>Spares</t>
        </is>
      </c>
      <c r="D97" s="49" t="inlineStr">
        <is>
          <t>Sub-Total</t>
        </is>
      </c>
      <c r="E97" s="48" t="inlineStr">
        <is>
          <t>Model/PN</t>
        </is>
      </c>
      <c r="F97" s="48" t="inlineStr">
        <is>
          <t>Description</t>
        </is>
      </c>
      <c r="G97" s="48" t="inlineStr">
        <is>
          <t>Notes</t>
        </is>
      </c>
      <c r="P97" s="27" t="n"/>
      <c r="Q97" s="27" t="n"/>
      <c r="R97" s="27" t="n"/>
      <c r="S97" s="27" t="n"/>
    </row>
    <row r="98" customFormat="1" s="27">
      <c r="A98" s="51" t="inlineStr">
        <is>
          <t>OOB ToR Cable to end nodes</t>
        </is>
      </c>
      <c r="B98" s="88">
        <f>12*40</f>
        <v/>
      </c>
      <c r="C98" s="84" t="n">
        <v>0</v>
      </c>
      <c r="D98" s="84">
        <f>SUM(B98:C98)</f>
        <v/>
      </c>
      <c r="E98" s="53" t="inlineStr">
        <is>
          <t>Cat 6</t>
        </is>
      </c>
      <c r="F98" s="51" t="inlineStr">
        <is>
          <t xml:space="preserve">Cat 6 </t>
        </is>
      </c>
      <c r="G98" s="51" t="n"/>
    </row>
    <row r="99" customFormat="1" s="27">
      <c r="A99" s="51" t="inlineStr">
        <is>
          <t>OOB ToR-AGG Link ToR Xcvr</t>
        </is>
      </c>
      <c r="B99" s="51" t="n">
        <v>24</v>
      </c>
      <c r="C99" s="84" t="n">
        <v>0</v>
      </c>
      <c r="D99" s="84">
        <f>SUM(B99:C99)</f>
        <v/>
      </c>
      <c r="E99" s="112" t="inlineStr">
        <is>
          <t xml:space="preserve">MMS1V70-CM </t>
        </is>
      </c>
      <c r="F99" s="96" t="inlineStr">
        <is>
          <t>QSFP28 LC LC DR</t>
        </is>
      </c>
      <c r="G99" s="96" t="inlineStr"/>
    </row>
    <row r="100" customFormat="1" s="27">
      <c r="A100" s="51" t="inlineStr">
        <is>
          <t>OOB ToR-AGG Link ToR Xcvr Cable</t>
        </is>
      </c>
      <c r="B100" s="51" t="n">
        <v>6</v>
      </c>
      <c r="C100" s="84" t="n">
        <v>0</v>
      </c>
      <c r="D100" s="84">
        <f>SUM(B100:C100)</f>
        <v/>
      </c>
      <c r="E100" s="98" t="inlineStr">
        <is>
          <t>J6TD3</t>
        </is>
      </c>
      <c r="F100" s="101" t="inlineStr">
        <is>
          <t>CBL-MPO12-4LC-SMF-5M</t>
        </is>
      </c>
      <c r="G100" s="51" t="inlineStr">
        <is>
          <t xml:space="preserve">only 5M is available </t>
        </is>
      </c>
    </row>
    <row r="101" customFormat="1" s="27">
      <c r="A101" s="51" t="inlineStr">
        <is>
          <t>OOB TOR Cable from Breakout Patch Panel</t>
        </is>
      </c>
      <c r="B101" s="51" t="n">
        <v>12</v>
      </c>
      <c r="C101" s="84" t="n">
        <v>0</v>
      </c>
      <c r="D101" s="84" t="n">
        <v>12</v>
      </c>
      <c r="E101" s="113" t="inlineStr">
        <is>
          <t xml:space="preserve">A7204378 </t>
        </is>
      </c>
      <c r="F101" s="114" t="inlineStr">
        <is>
          <t>Switch Xcvr to LC Patch Panel LC-LC short leg patch cable, Other end is MPO to 4xLC to OOB Spine</t>
        </is>
      </c>
      <c r="G101" s="51" t="n"/>
    </row>
    <row r="102" ht="15.75" customFormat="1" customHeight="1" s="27">
      <c r="A102" s="51" t="inlineStr">
        <is>
          <t xml:space="preserve">OOB ToR-AGG Link AGGR Xcvr </t>
        </is>
      </c>
      <c r="B102" s="51" t="n">
        <v>12</v>
      </c>
      <c r="C102" s="84" t="n">
        <v>0</v>
      </c>
      <c r="D102" s="84">
        <f>SUM(B102:C102)</f>
        <v/>
      </c>
      <c r="E102" s="111" t="inlineStr">
        <is>
          <t xml:space="preserve">980-9I16Y-00W000 </t>
        </is>
      </c>
      <c r="F102" s="97" t="inlineStr">
        <is>
          <t>400G-DR4</t>
        </is>
      </c>
      <c r="G102" s="51" t="n"/>
    </row>
    <row r="103" ht="15.75" customFormat="1" customHeight="1" s="27">
      <c r="A103" s="51" t="inlineStr">
        <is>
          <t>OOB AGG-Border leaf Link AGGR Xcvr</t>
        </is>
      </c>
      <c r="B103" s="51" t="n">
        <v>4</v>
      </c>
      <c r="C103" s="84">
        <f>B103*0.02</f>
        <v/>
      </c>
      <c r="D103" s="84">
        <f>SUM(B103:C103)</f>
        <v/>
      </c>
      <c r="E103" s="111" t="inlineStr">
        <is>
          <t xml:space="preserve">980-9I16Y-00W000 </t>
        </is>
      </c>
      <c r="F103" s="97" t="inlineStr">
        <is>
          <t>400G-DR4</t>
        </is>
      </c>
      <c r="G103" s="51" t="n"/>
    </row>
    <row r="104" customFormat="1" s="27">
      <c r="A104" s="51" t="inlineStr">
        <is>
          <t>OOB AGG-Border Link Border Xcvr Cable</t>
        </is>
      </c>
      <c r="B104" s="51" t="n">
        <v>4</v>
      </c>
      <c r="C104" s="84">
        <f>B104*0.02</f>
        <v/>
      </c>
      <c r="D104" s="84">
        <f>SUM(B104:C104)</f>
        <v/>
      </c>
      <c r="E104" s="102" t="inlineStr">
        <is>
          <t>MFP7E30-N050</t>
        </is>
      </c>
      <c r="F104" s="102" t="inlineStr">
        <is>
          <t>MPO-12/APC to MPO-12/APC cable, 1310nm SMF OS2, 100m max, 50 M</t>
        </is>
      </c>
      <c r="G104" s="51" t="n"/>
    </row>
    <row r="105" ht="15.75" customFormat="1" customHeight="1" s="27">
      <c r="A105" s="51" t="inlineStr">
        <is>
          <t xml:space="preserve">OOB AGG-Border Link Border Xcvr </t>
        </is>
      </c>
      <c r="B105" s="51" t="n">
        <v>4</v>
      </c>
      <c r="C105" s="84">
        <f>B105*0.02</f>
        <v/>
      </c>
      <c r="D105" s="84">
        <f>SUM(B105:C105)</f>
        <v/>
      </c>
      <c r="E105" s="111" t="inlineStr">
        <is>
          <t xml:space="preserve">980-9I16Y-00W000 </t>
        </is>
      </c>
      <c r="F105" s="97" t="inlineStr">
        <is>
          <t>400G-DR4</t>
        </is>
      </c>
      <c r="G105" s="51" t="n"/>
      <c r="H105" s="26" t="n"/>
      <c r="I105" s="26" t="n"/>
      <c r="J105" s="26" t="n"/>
      <c r="K105" s="26" t="n"/>
      <c r="L105" s="26" t="n"/>
      <c r="M105" s="26" t="n"/>
      <c r="N105" s="26" t="n"/>
      <c r="O105" s="26" t="n"/>
    </row>
    <row r="106" customFormat="1" s="27">
      <c r="A106" s="186" t="inlineStr">
        <is>
          <t>Border Leaf : Transceiver and Fiber/Cable</t>
        </is>
      </c>
      <c r="B106" s="166" t="n"/>
      <c r="C106" s="166" t="n"/>
      <c r="D106" s="166" t="n"/>
      <c r="E106" s="166" t="n"/>
      <c r="F106" s="166" t="n"/>
      <c r="G106" s="167" t="n"/>
      <c r="H106" s="26" t="n"/>
      <c r="I106" s="26" t="n"/>
      <c r="J106" s="26" t="n"/>
      <c r="K106" s="26" t="n"/>
      <c r="L106" s="26" t="n"/>
      <c r="M106" s="26" t="n"/>
      <c r="N106" s="26" t="n"/>
      <c r="O106" s="26" t="n"/>
    </row>
    <row r="107" customFormat="1" s="27">
      <c r="A107" s="186" t="inlineStr">
        <is>
          <t>Item</t>
        </is>
      </c>
      <c r="B107" s="186" t="inlineStr">
        <is>
          <t>Count</t>
        </is>
      </c>
      <c r="C107" s="186" t="inlineStr">
        <is>
          <t>Spares</t>
        </is>
      </c>
      <c r="D107" s="91" t="inlineStr">
        <is>
          <t>Sub-Total</t>
        </is>
      </c>
      <c r="E107" s="92" t="inlineStr">
        <is>
          <t>Model/PN</t>
        </is>
      </c>
      <c r="F107" s="186" t="inlineStr">
        <is>
          <t>Description</t>
        </is>
      </c>
      <c r="G107" s="186" t="inlineStr">
        <is>
          <t>Notes</t>
        </is>
      </c>
      <c r="H107" s="26" t="n"/>
      <c r="I107" s="26" t="n"/>
      <c r="J107" s="26" t="n"/>
      <c r="K107" s="26" t="n"/>
      <c r="L107" s="26" t="n"/>
      <c r="M107" s="26" t="n"/>
      <c r="N107" s="26" t="n"/>
      <c r="O107" s="26" t="n"/>
    </row>
    <row r="108" ht="15.75" customFormat="1" customHeight="1" s="27">
      <c r="A108" s="89" t="inlineStr">
        <is>
          <t xml:space="preserve">Border Leaf to Spine - Border leaf tranceiver </t>
        </is>
      </c>
      <c r="B108" s="89" t="n">
        <v>4</v>
      </c>
      <c r="C108" s="89" t="n">
        <v>0</v>
      </c>
      <c r="D108" s="93">
        <f>SUM(B108:C108)</f>
        <v/>
      </c>
      <c r="E108" s="111" t="inlineStr">
        <is>
          <t xml:space="preserve">980-9I16Y-00W000 </t>
        </is>
      </c>
      <c r="F108" s="97" t="inlineStr">
        <is>
          <t>400G-DR4</t>
        </is>
      </c>
      <c r="G108" s="89" t="n"/>
      <c r="H108" s="26" t="n"/>
      <c r="I108" s="26" t="n"/>
      <c r="J108" s="26" t="n"/>
      <c r="K108" s="26" t="n"/>
      <c r="L108" s="26" t="n"/>
      <c r="M108" s="26" t="n"/>
      <c r="N108" s="26" t="n"/>
      <c r="O108" s="26" t="n"/>
    </row>
    <row r="109" customFormat="1" s="27">
      <c r="A109" s="89" t="inlineStr">
        <is>
          <t>Border Leaf to Spine - Border leaf - Spine Cable</t>
        </is>
      </c>
      <c r="B109" s="89" t="n">
        <v>4</v>
      </c>
      <c r="C109" s="89" t="n">
        <v>0</v>
      </c>
      <c r="D109" s="93">
        <f>SUM(B109:C109)</f>
        <v/>
      </c>
      <c r="E109" s="102" t="inlineStr">
        <is>
          <t>MFP7E30-N050</t>
        </is>
      </c>
      <c r="F109" s="102" t="inlineStr">
        <is>
          <t>MPO-12/APC to MPO-12/APC cable, 1310nm SMF OS2, 100m max, 50 M</t>
        </is>
      </c>
      <c r="G109" s="89" t="n"/>
      <c r="H109" s="26" t="n"/>
      <c r="I109" s="26" t="n"/>
      <c r="J109" s="26" t="n"/>
      <c r="K109" s="26" t="n"/>
      <c r="L109" s="26" t="n"/>
      <c r="M109" s="26" t="n"/>
      <c r="N109" s="26" t="n"/>
      <c r="O109" s="26" t="n"/>
    </row>
    <row r="110" customFormat="1" s="27">
      <c r="A110" s="89" t="inlineStr">
        <is>
          <t xml:space="preserve">Border Leaf to Spine - Border Spine tranceiver </t>
        </is>
      </c>
      <c r="B110" s="89" t="n">
        <v>4</v>
      </c>
      <c r="C110" s="89" t="n">
        <v>0</v>
      </c>
      <c r="D110" s="93">
        <f>SUM(B110:C110)</f>
        <v/>
      </c>
      <c r="E110" s="102" t="inlineStr">
        <is>
          <t>980-9I30G-F4NM00</t>
        </is>
      </c>
      <c r="F110" s="102" t="inlineStr">
        <is>
          <t>TWIN PORT TRANSCEIVER, 800GBPS,2X400GbE, OSFP, 2XMPO, 1310NM SMF, UP TO 500M, FINNED</t>
        </is>
      </c>
      <c r="G110" s="89" t="n"/>
      <c r="H110" s="26" t="n"/>
      <c r="I110" s="26" t="n"/>
      <c r="J110" s="26" t="n"/>
      <c r="K110" s="26" t="n"/>
      <c r="L110" s="26" t="n"/>
      <c r="M110" s="26" t="n"/>
      <c r="N110" s="26" t="n"/>
      <c r="O110" s="26" t="n"/>
    </row>
    <row r="111" customFormat="1" s="27">
      <c r="A111" s="54" t="n"/>
      <c r="B111" s="54" t="n"/>
      <c r="C111" s="54" t="n"/>
      <c r="D111" s="54" t="n"/>
      <c r="E111" s="54" t="n"/>
      <c r="F111" s="54" t="n"/>
      <c r="G111" s="54" t="n"/>
      <c r="H111" s="26" t="n"/>
      <c r="I111" s="26" t="n"/>
      <c r="J111" s="26" t="n"/>
      <c r="K111" s="26" t="n"/>
      <c r="L111" s="26" t="n"/>
      <c r="M111" s="26" t="n"/>
      <c r="N111" s="26" t="n"/>
      <c r="O111" s="26" t="n"/>
    </row>
    <row r="112" ht="15.75" customHeight="1" s="184" thickBot="1">
      <c r="A112" s="72" t="n"/>
      <c r="B112" s="72" t="n"/>
      <c r="C112" s="72" t="n"/>
      <c r="D112" s="72" t="n"/>
      <c r="E112" s="72" t="n"/>
      <c r="F112" s="72" t="n"/>
      <c r="G112" s="72" t="n"/>
    </row>
    <row r="113" ht="37.5" customHeight="1" s="184" thickBot="1">
      <c r="A113" s="180" t="inlineStr">
        <is>
          <t>LIMITED EDITING BELOW THIS LINE</t>
        </is>
      </c>
      <c r="B113" s="181" t="n"/>
      <c r="C113" s="181" t="n"/>
      <c r="D113" s="181" t="n"/>
      <c r="E113" s="181" t="n"/>
      <c r="F113" s="181" t="n"/>
      <c r="G113" s="182" t="n"/>
    </row>
    <row r="114">
      <c r="A114" s="72" t="n"/>
      <c r="B114" s="72" t="n"/>
      <c r="C114" s="72" t="n"/>
      <c r="D114" s="72" t="n"/>
      <c r="E114" s="72" t="n"/>
      <c r="F114" s="72" t="n"/>
      <c r="G114" s="72" t="n"/>
    </row>
    <row r="115" ht="15.75" customHeight="1" s="184" thickBot="1">
      <c r="A115" s="72" t="n"/>
      <c r="B115" s="72" t="n"/>
      <c r="C115" s="72" t="n"/>
      <c r="D115" s="72" t="n"/>
      <c r="E115" s="72" t="n"/>
      <c r="F115" s="72" t="n"/>
      <c r="G115" s="72" t="n"/>
    </row>
    <row r="116" ht="39" customHeight="1" s="184">
      <c r="A116" s="73" t="inlineStr">
        <is>
          <t>Row End Range for Column D
 (MUST Be Set Correctly)</t>
        </is>
      </c>
      <c r="B116" s="185" t="inlineStr">
        <is>
          <t>Row End Range for Column E
 (MUST Be Set Correctly)</t>
        </is>
      </c>
      <c r="C116" s="175" t="n"/>
      <c r="D116" s="176" t="n"/>
      <c r="E116" s="74" t="inlineStr">
        <is>
          <t>Row End Range for Column F
 (MUST Be Set Correctly)</t>
        </is>
      </c>
      <c r="F116" s="46" t="n"/>
      <c r="G116" s="75" t="n"/>
      <c r="H116" s="44" t="n"/>
      <c r="I116" s="44" t="n"/>
    </row>
    <row r="117" ht="15.75" customHeight="1" s="184" thickBot="1">
      <c r="A117" s="76" t="inlineStr">
        <is>
          <t>D109</t>
        </is>
      </c>
      <c r="B117" s="177" t="inlineStr">
        <is>
          <t>E109</t>
        </is>
      </c>
      <c r="C117" s="178" t="n"/>
      <c r="D117" s="179" t="n"/>
      <c r="E117" s="77" t="inlineStr">
        <is>
          <t>F109</t>
        </is>
      </c>
      <c r="F117" s="46" t="n"/>
      <c r="G117" s="72" t="n"/>
      <c r="H117" s="40" t="n"/>
      <c r="I117" s="40" t="n"/>
    </row>
    <row r="118">
      <c r="A118" s="78" t="n"/>
      <c r="B118" s="72" t="n"/>
      <c r="C118" s="72" t="n"/>
      <c r="D118" s="72" t="n"/>
      <c r="E118" s="72" t="n"/>
      <c r="F118" s="72" t="n"/>
      <c r="G118" s="72" t="n"/>
    </row>
    <row r="119" ht="75.75" customHeight="1" s="184">
      <c r="A119" s="183" t="inlineStr">
        <is>
          <t>* READ: For the table below to work, be sure check that the "Row End Range" cell include the last row # of the table above.
                  Also, make sure each line item in the source table above has an associated "Model/PN" values. Also, do not change the heading "Model/PN" without updating the formula.
                  The Summary Table columns "Item Model/PN" and "Description" will auto adjust (grow/shrink) and auto sort itself alphabetically. 
                  Count will only auto calaculate but you must drag it down to grow.
                  Since the Summary Table has dynamic columns, if you manully enter info into columns DPN, SKU and Notes they will not automatically move along with the dynamic columns.</t>
        </is>
      </c>
    </row>
    <row r="120" ht="15.75" customHeight="1" s="184" thickBot="1">
      <c r="A120" s="72" t="n"/>
      <c r="B120" s="72" t="n"/>
      <c r="C120" s="54" t="n"/>
      <c r="D120" s="72" t="n"/>
      <c r="E120" s="72" t="n"/>
      <c r="F120" s="72" t="n"/>
      <c r="G120" s="72" t="n"/>
    </row>
    <row r="121">
      <c r="A121" s="57" t="n"/>
      <c r="B121" s="174" t="inlineStr">
        <is>
          <t>Summary Table</t>
        </is>
      </c>
      <c r="C121" s="175" t="n"/>
      <c r="D121" s="175" t="n"/>
      <c r="E121" s="175" t="n"/>
      <c r="F121" s="175" t="n"/>
      <c r="G121" s="176" t="n"/>
      <c r="H121" s="42" t="n"/>
      <c r="I121" s="42" t="n"/>
      <c r="J121" s="42" t="n"/>
      <c r="K121" s="42" t="n"/>
      <c r="L121" s="42" t="n"/>
      <c r="M121" s="42" t="n"/>
    </row>
    <row r="122">
      <c r="A122" s="54" t="n"/>
      <c r="B122" s="79" t="inlineStr">
        <is>
          <t>DPN</t>
        </is>
      </c>
      <c r="C122" s="79" t="inlineStr">
        <is>
          <t>SKU</t>
        </is>
      </c>
      <c r="D122" s="80" t="inlineStr">
        <is>
          <t>Count</t>
        </is>
      </c>
      <c r="E122" s="81" t="inlineStr">
        <is>
          <t>Item Model/PN</t>
        </is>
      </c>
      <c r="F122" s="81" t="inlineStr">
        <is>
          <t>Description</t>
        </is>
      </c>
      <c r="G122" s="82" t="inlineStr">
        <is>
          <t>Notes</t>
        </is>
      </c>
      <c r="H122" s="42" t="n"/>
      <c r="I122" s="42" t="n"/>
      <c r="J122" s="42" t="n"/>
      <c r="K122" s="42" t="n"/>
      <c r="L122" s="42" t="n"/>
      <c r="M122" s="42" t="n"/>
    </row>
    <row r="123">
      <c r="A123" s="54" t="n"/>
      <c r="B123" s="61" t="n"/>
      <c r="C123" s="61" t="n"/>
      <c r="D123" s="64">
        <f>SUMIF($E$2:INDIRECT($B$117),E123,$D$2:INDIRECT($A$117))</f>
        <v/>
      </c>
      <c r="E123" s="56">
        <f t="array" ref="E123:E143">IFERROR(_xlfn._xlws.SORT(_xlfn.UNIQUE(_xlfn._xlws.FILTER(E2:INDIRECT($B$117),(E2:INDIRECT($B$117)&lt;&gt;0)*(E2:INDIRECT($B$117)&lt;&gt;" ")*(ISERROR(SEARCH("Model",E2:INDIRECT($B$117))))))),"               [No Date in Source Table]")</f>
        <v/>
      </c>
      <c r="F123" s="56">
        <f>IFERROR(IF(INDEX($F$2:INDIRECT($E$117),MATCH(E123,$E$2:INDIRECT($B$117),0))=0," ",INDEX($F$2:INDIRECT($E$117),MATCH(E123,$E$2:INDIRECT($B$117),0))),"   [ Adjacent Item Model/PN cell is Empty ]")</f>
        <v/>
      </c>
      <c r="G123" s="56" t="n"/>
      <c r="H123" s="42" t="n"/>
      <c r="I123" s="42" t="n"/>
      <c r="J123" s="42" t="n"/>
      <c r="K123" s="42" t="n"/>
      <c r="L123" s="42" t="n"/>
      <c r="M123" s="42" t="n"/>
    </row>
    <row r="124">
      <c r="A124" s="54" t="n"/>
      <c r="B124" s="61" t="n"/>
      <c r="C124" s="61" t="n"/>
      <c r="D124" s="64">
        <f>SUMIF($E$2:INDIRECT($B$117),E124,$D$2:INDIRECT($A$117))</f>
        <v/>
      </c>
      <c r="E124" s="56" t="inlineStr">
        <is>
          <t>=</t>
        </is>
      </c>
      <c r="F124" s="56">
        <f>IFERROR(IF(INDEX($F$2:INDIRECT($E$117),MATCH(E124,$E$2:INDIRECT($B$117),0))=0," ",INDEX($F$2:INDIRECT($E$117),MATCH(E124,$E$2:INDIRECT($B$117),0))),"   [ Adjacent Item Model/PN cell is Empty ]")</f>
        <v/>
      </c>
      <c r="G124" s="61" t="n"/>
      <c r="H124" s="42" t="n"/>
      <c r="I124" s="42" t="n"/>
      <c r="J124" s="42" t="n"/>
      <c r="K124" s="42" t="n"/>
      <c r="L124" s="42" t="n"/>
      <c r="M124" s="42" t="n"/>
    </row>
    <row r="125">
      <c r="A125" s="54" t="n"/>
      <c r="B125" s="61" t="n"/>
      <c r="C125" s="61" t="n"/>
      <c r="D125" s="64">
        <f>SUMIF($E$2:INDIRECT($B$117),E125,$D$2:INDIRECT($A$117))</f>
        <v/>
      </c>
      <c r="E125" s="56" t="inlineStr">
        <is>
          <t>=</t>
        </is>
      </c>
      <c r="F125" s="56">
        <f>IFERROR(IF(INDEX($F$2:INDIRECT($E$117),MATCH(E125,$E$2:INDIRECT($B$117),0))=0," ",INDEX($F$2:INDIRECT($E$117),MATCH(E125,$E$2:INDIRECT($B$117),0))),"   [ Adjacent Item Model/PN cell is Empty ]")</f>
        <v/>
      </c>
      <c r="G125" s="61" t="n"/>
      <c r="H125" s="42" t="n"/>
      <c r="I125" s="42" t="n"/>
      <c r="J125" s="42" t="n"/>
      <c r="K125" s="42" t="n"/>
      <c r="L125" s="42" t="n"/>
      <c r="M125" s="42" t="n"/>
    </row>
    <row r="126">
      <c r="A126" s="54" t="n"/>
      <c r="B126" s="61" t="n"/>
      <c r="C126" s="61" t="n"/>
      <c r="D126" s="64">
        <f>SUMIF($E$2:INDIRECT($B$117),E126,$D$2:INDIRECT($A$117))</f>
        <v/>
      </c>
      <c r="E126" s="56" t="inlineStr">
        <is>
          <t>=</t>
        </is>
      </c>
      <c r="F126" s="56">
        <f>IFERROR(IF(INDEX($F$2:INDIRECT($E$117),MATCH(E126,$E$2:INDIRECT($B$117),0))=0," ",INDEX($F$2:INDIRECT($E$117),MATCH(E126,$E$2:INDIRECT($B$117),0))),"   [ Adjacent Item Model/PN cell is Empty ]")</f>
        <v/>
      </c>
      <c r="G126" s="61" t="n"/>
      <c r="H126" s="42" t="n"/>
      <c r="I126" s="42" t="n"/>
      <c r="J126" s="42" t="n"/>
      <c r="K126" s="42" t="n"/>
      <c r="L126" s="42" t="n"/>
      <c r="M126" s="42" t="n"/>
    </row>
    <row r="127">
      <c r="A127" s="54" t="n"/>
      <c r="B127" s="61" t="n"/>
      <c r="C127" s="61" t="n"/>
      <c r="D127" s="64">
        <f>SUMIF($E$2:INDIRECT($B$117),E127,$D$2:INDIRECT($A$117))</f>
        <v/>
      </c>
      <c r="E127" s="56" t="inlineStr">
        <is>
          <t>=</t>
        </is>
      </c>
      <c r="F127" s="56">
        <f>IFERROR(IF(INDEX($F$2:INDIRECT($E$117),MATCH(E127,$E$2:INDIRECT($B$117),0))=0," ",INDEX($F$2:INDIRECT($E$117),MATCH(E127,$E$2:INDIRECT($B$117),0))),"   [ Adjacent Item Model/PN cell is Empty ]")</f>
        <v/>
      </c>
      <c r="G127" s="61" t="n"/>
      <c r="H127" s="42" t="n"/>
      <c r="I127" s="42" t="n"/>
      <c r="J127" s="42" t="n"/>
      <c r="K127" s="42" t="n"/>
      <c r="L127" s="42" t="n"/>
      <c r="M127" s="42" t="n"/>
    </row>
    <row r="128">
      <c r="A128" s="54" t="n"/>
      <c r="B128" s="61" t="n"/>
      <c r="C128" s="61" t="n"/>
      <c r="D128" s="64">
        <f>SUMIF($E$2:INDIRECT($B$117),E128,$D$2:INDIRECT($A$117))</f>
        <v/>
      </c>
      <c r="E128" s="56" t="inlineStr">
        <is>
          <t>=</t>
        </is>
      </c>
      <c r="F128" s="56">
        <f>IFERROR(IF(INDEX($F$2:INDIRECT($E$117),MATCH(E128,$E$2:INDIRECT($B$117),0))=0," ",INDEX($F$2:INDIRECT($E$117),MATCH(E128,$E$2:INDIRECT($B$117),0))),"   [ Adjacent Item Model/PN cell is Empty ]")</f>
        <v/>
      </c>
      <c r="G128" s="61" t="n"/>
      <c r="H128" s="42" t="n"/>
      <c r="I128" s="42" t="n"/>
      <c r="J128" s="42" t="n"/>
      <c r="K128" s="42" t="n"/>
      <c r="L128" s="42" t="n"/>
      <c r="M128" s="42" t="n"/>
    </row>
    <row r="129">
      <c r="A129" s="54" t="n"/>
      <c r="B129" s="61" t="n"/>
      <c r="C129" s="61" t="n"/>
      <c r="D129" s="64">
        <f>SUMIF($E$2:INDIRECT($B$117),E129,$D$2:INDIRECT($A$117))</f>
        <v/>
      </c>
      <c r="E129" s="56" t="inlineStr">
        <is>
          <t>=</t>
        </is>
      </c>
      <c r="F129" s="56">
        <f>IFERROR(IF(INDEX($F$2:INDIRECT($E$117),MATCH(E129,$E$2:INDIRECT($B$117),0))=0," ",INDEX($F$2:INDIRECT($E$117),MATCH(E129,$E$2:INDIRECT($B$117),0))),"   [ Adjacent Item Model/PN cell is Empty ]")</f>
        <v/>
      </c>
      <c r="G129" s="61" t="n"/>
      <c r="H129" s="42" t="n"/>
      <c r="I129" s="42" t="n"/>
      <c r="J129" s="42" t="n"/>
      <c r="K129" s="42" t="n"/>
      <c r="L129" s="42" t="n"/>
      <c r="M129" s="42" t="n"/>
    </row>
    <row r="130">
      <c r="A130" s="54" t="n"/>
      <c r="B130" s="61" t="n"/>
      <c r="C130" s="61" t="n"/>
      <c r="D130" s="64">
        <f>SUMIF($E$2:INDIRECT($B$117),E130,$D$2:INDIRECT($A$117))</f>
        <v/>
      </c>
      <c r="E130" s="56" t="inlineStr">
        <is>
          <t>=</t>
        </is>
      </c>
      <c r="F130" s="56">
        <f>IFERROR(IF(INDEX($F$2:INDIRECT($E$117),MATCH(E130,$E$2:INDIRECT($B$117),0))=0," ",INDEX($F$2:INDIRECT($E$117),MATCH(E130,$E$2:INDIRECT($B$117),0))),"   [ Adjacent Item Model/PN cell is Empty ]")</f>
        <v/>
      </c>
      <c r="G130" s="61" t="n"/>
      <c r="H130" s="42" t="n"/>
      <c r="I130" s="42" t="n"/>
      <c r="J130" s="42" t="n"/>
      <c r="K130" s="42" t="n"/>
      <c r="L130" s="42" t="n"/>
      <c r="M130" s="42" t="n"/>
    </row>
    <row r="131">
      <c r="A131" s="54" t="n"/>
      <c r="B131" s="61" t="n"/>
      <c r="C131" s="61" t="n"/>
      <c r="D131" s="64">
        <f>SUMIF($E$2:INDIRECT($B$117),E131,$D$2:INDIRECT($A$117))</f>
        <v/>
      </c>
      <c r="E131" s="56" t="inlineStr">
        <is>
          <t>=</t>
        </is>
      </c>
      <c r="F131" s="56">
        <f>IFERROR(IF(INDEX($F$2:INDIRECT($E$117),MATCH(E131,$E$2:INDIRECT($B$117),0))=0," ",INDEX($F$2:INDIRECT($E$117),MATCH(E131,$E$2:INDIRECT($B$117),0))),"   [ Adjacent Item Model/PN cell is Empty ]")</f>
        <v/>
      </c>
      <c r="G131" s="61" t="n"/>
      <c r="H131" s="42" t="n"/>
      <c r="I131" s="42" t="n"/>
      <c r="J131" s="42" t="n"/>
      <c r="K131" s="42" t="n"/>
      <c r="L131" s="42" t="n"/>
      <c r="M131" s="42" t="n"/>
    </row>
    <row r="132">
      <c r="A132" s="54" t="n"/>
      <c r="B132" s="61" t="n"/>
      <c r="C132" s="61" t="n"/>
      <c r="D132" s="56">
        <f>SUMIF($E$2:INDIRECT($B$117),E132,$D$2:INDIRECT($A$117))</f>
        <v/>
      </c>
      <c r="E132" s="56" t="inlineStr">
        <is>
          <t>=</t>
        </is>
      </c>
      <c r="F132" s="56">
        <f>IFERROR(IF(INDEX($F$2:INDIRECT($E$117),MATCH(E132,$E$2:INDIRECT($B$117),0))=0," ",INDEX($F$2:INDIRECT($E$117),MATCH(E132,$E$2:INDIRECT($B$117),0))),"   [ Adjacent Item Model/PN cell is Empty ]")</f>
        <v/>
      </c>
      <c r="G132" s="61" t="n"/>
      <c r="H132" s="42" t="n"/>
      <c r="I132" s="42" t="n"/>
      <c r="J132" s="42" t="n"/>
      <c r="K132" s="42" t="n"/>
      <c r="L132" s="42" t="n"/>
      <c r="M132" s="42" t="n"/>
    </row>
    <row r="133">
      <c r="A133" s="54" t="n"/>
      <c r="B133" s="61" t="n"/>
      <c r="C133" s="61" t="n"/>
      <c r="D133" s="56">
        <f>SUMIF($E$2:INDIRECT($B$117),E133,$D$2:INDIRECT($A$117))</f>
        <v/>
      </c>
      <c r="E133" s="56" t="inlineStr">
        <is>
          <t>=</t>
        </is>
      </c>
      <c r="F133" s="56">
        <f>IFERROR(IF(INDEX($F$2:INDIRECT($E$117),MATCH(E133,$E$2:INDIRECT($B$117),0))=0," ",INDEX($F$2:INDIRECT($E$117),MATCH(E133,$E$2:INDIRECT($B$117),0))),"   [ Adjacent Item Model/PN cell is Empty ]")</f>
        <v/>
      </c>
      <c r="G133" s="61" t="n"/>
      <c r="H133" s="42" t="n"/>
      <c r="I133" s="42" t="n"/>
      <c r="J133" s="42" t="n"/>
      <c r="K133" s="42" t="n"/>
      <c r="L133" s="42" t="n"/>
      <c r="M133" s="42" t="n"/>
    </row>
    <row r="134">
      <c r="A134" s="54" t="n"/>
      <c r="B134" s="61" t="n"/>
      <c r="C134" s="61" t="n"/>
      <c r="D134" s="56">
        <f>SUMIF($E$2:INDIRECT($B$117),E134,$D$2:INDIRECT($A$117))</f>
        <v/>
      </c>
      <c r="E134" s="56" t="inlineStr">
        <is>
          <t>=</t>
        </is>
      </c>
      <c r="F134" s="56">
        <f>IFERROR(IF(INDEX($F$2:INDIRECT($E$117),MATCH(E134,$E$2:INDIRECT($B$117),0))=0," ",INDEX($F$2:INDIRECT($E$117),MATCH(E134,$E$2:INDIRECT($B$117),0))),"   [ Adjacent Item Model/PN cell is Empty ]")</f>
        <v/>
      </c>
      <c r="G134" s="61" t="n"/>
      <c r="H134" s="42" t="n"/>
      <c r="I134" s="42" t="n"/>
      <c r="J134" s="42" t="n"/>
      <c r="K134" s="42" t="n"/>
      <c r="L134" s="42" t="n"/>
      <c r="M134" s="42" t="n"/>
    </row>
    <row r="135">
      <c r="A135" s="54" t="n"/>
      <c r="B135" s="61" t="n"/>
      <c r="C135" s="61" t="n"/>
      <c r="D135" s="56">
        <f>SUMIF($E$2:INDIRECT($B$117),E135,$D$2:INDIRECT($A$117))</f>
        <v/>
      </c>
      <c r="E135" s="56" t="inlineStr">
        <is>
          <t>=</t>
        </is>
      </c>
      <c r="F135" s="56">
        <f>IFERROR(IF(INDEX($F$2:INDIRECT($E$117),MATCH(E135,$E$2:INDIRECT($B$117),0))=0," ",INDEX($F$2:INDIRECT($E$117),MATCH(E135,$E$2:INDIRECT($B$117),0))),"   [ Adjacent Item Model/PN cell is Empty ]")</f>
        <v/>
      </c>
      <c r="G135" s="61" t="n"/>
      <c r="H135" s="42" t="n"/>
      <c r="I135" s="42" t="n"/>
      <c r="J135" s="42" t="n"/>
      <c r="K135" s="42" t="n"/>
      <c r="L135" s="42" t="n"/>
      <c r="M135" s="42" t="n"/>
    </row>
    <row r="136">
      <c r="A136" s="54" t="n"/>
      <c r="B136" s="61" t="n"/>
      <c r="C136" s="61" t="n"/>
      <c r="D136" s="56">
        <f>SUMIF($E$2:INDIRECT($B$117),E136,$D$2:INDIRECT($A$117))</f>
        <v/>
      </c>
      <c r="E136" s="56" t="inlineStr">
        <is>
          <t>=</t>
        </is>
      </c>
      <c r="F136" s="56">
        <f>IFERROR(IF(INDEX($F$2:INDIRECT($E$117),MATCH(E136,$E$2:INDIRECT($B$117),0))=0," ",INDEX($F$2:INDIRECT($E$117),MATCH(E136,$E$2:INDIRECT($B$117),0))),"   [ Adjacent Item Model/PN cell is Empty ]")</f>
        <v/>
      </c>
      <c r="G136" s="56" t="n"/>
      <c r="H136" s="42" t="n"/>
      <c r="I136" s="42" t="n"/>
      <c r="J136" s="42" t="n"/>
      <c r="K136" s="42" t="n"/>
      <c r="L136" s="42" t="n"/>
      <c r="M136" s="42" t="n"/>
    </row>
    <row r="137">
      <c r="A137" s="54" t="n"/>
      <c r="B137" s="61" t="n"/>
      <c r="C137" s="61" t="n"/>
      <c r="D137" s="56">
        <f>SUMIF($E$2:INDIRECT($B$117),E137,$D$2:INDIRECT($A$117))</f>
        <v/>
      </c>
      <c r="E137" s="56" t="inlineStr">
        <is>
          <t>=</t>
        </is>
      </c>
      <c r="F137" s="56">
        <f>IFERROR(IF(INDEX($F$2:INDIRECT($E$117),MATCH(E137,$E$2:INDIRECT($B$117),0))=0," ",INDEX($F$2:INDIRECT($E$117),MATCH(E137,$E$2:INDIRECT($B$117),0))),"   [ Adjacent Item Model/PN cell is Empty ]")</f>
        <v/>
      </c>
      <c r="G137" s="56" t="n"/>
      <c r="H137" s="42" t="n"/>
      <c r="I137" s="42" t="n"/>
      <c r="J137" s="42" t="n"/>
      <c r="K137" s="42" t="n"/>
      <c r="L137" s="42" t="n"/>
      <c r="M137" s="42" t="n"/>
    </row>
    <row r="138">
      <c r="A138" s="54" t="n"/>
      <c r="B138" s="61" t="n"/>
      <c r="C138" s="61" t="n"/>
      <c r="D138" s="56">
        <f>SUMIF($E$2:INDIRECT($B$117),E138,$D$2:INDIRECT($A$117))</f>
        <v/>
      </c>
      <c r="E138" s="56" t="inlineStr">
        <is>
          <t>=</t>
        </is>
      </c>
      <c r="F138" s="56">
        <f>IFERROR(IF(INDEX($F$2:INDIRECT($E$117),MATCH(E138,$E$2:INDIRECT($B$117),0))=0," ",INDEX($F$2:INDIRECT($E$117),MATCH(E138,$E$2:INDIRECT($B$117),0))),"   [ Adjacent Item Model/PN cell is Empty ]")</f>
        <v/>
      </c>
      <c r="G138" s="56" t="n"/>
      <c r="H138" s="42" t="n"/>
      <c r="I138" s="42" t="n"/>
      <c r="J138" s="42" t="n"/>
      <c r="K138" s="42" t="n"/>
      <c r="L138" s="42" t="n"/>
      <c r="M138" s="42" t="n"/>
    </row>
    <row r="139">
      <c r="A139" s="54" t="n"/>
      <c r="B139" s="61" t="n"/>
      <c r="C139" s="56" t="n"/>
      <c r="D139" s="56">
        <f>SUMIF($E$2:INDIRECT($B$117),E139,$D$2:INDIRECT($A$117))</f>
        <v/>
      </c>
      <c r="E139" s="56" t="inlineStr">
        <is>
          <t>=</t>
        </is>
      </c>
      <c r="F139" s="56">
        <f>IFERROR(IF(INDEX($F$2:INDIRECT($E$117),MATCH(E139,$E$2:INDIRECT($B$117),0))=0," ",INDEX($F$2:INDIRECT($E$117),MATCH(E139,$E$2:INDIRECT($B$117),0))),"   [ Adjacent Item Model/PN cell is Empty ]")</f>
        <v/>
      </c>
      <c r="G139" s="56" t="n"/>
      <c r="H139" s="42" t="n"/>
      <c r="I139" s="42" t="n"/>
      <c r="J139" s="42" t="n"/>
      <c r="K139" s="42" t="n"/>
      <c r="L139" s="42" t="n"/>
      <c r="M139" s="42" t="n"/>
    </row>
    <row r="140">
      <c r="A140" s="54" t="n"/>
      <c r="B140" s="61" t="n"/>
      <c r="C140" s="56" t="n"/>
      <c r="D140" s="56">
        <f>SUMIF($E$2:INDIRECT($B$117),E140,$D$2:INDIRECT($A$117))</f>
        <v/>
      </c>
      <c r="E140" s="56" t="inlineStr">
        <is>
          <t>=</t>
        </is>
      </c>
      <c r="F140" s="56">
        <f>IFERROR(IF(INDEX($F$2:INDIRECT($E$117),MATCH(E140,$E$2:INDIRECT($B$117),0))=0," ",INDEX($F$2:INDIRECT($E$117),MATCH(E140,$E$2:INDIRECT($B$117),0))),"   [ Adjacent Item Model/PN cell is Empty ]")</f>
        <v/>
      </c>
      <c r="G140" s="56" t="n"/>
      <c r="H140" s="42" t="n"/>
      <c r="I140" s="42" t="n"/>
      <c r="J140" s="42" t="n"/>
      <c r="K140" s="42" t="n"/>
      <c r="L140" s="42" t="n"/>
      <c r="M140" s="42" t="n"/>
    </row>
    <row r="141">
      <c r="A141" s="54" t="n"/>
      <c r="B141" s="61" t="n"/>
      <c r="C141" s="56" t="n"/>
      <c r="D141" s="56">
        <f>SUMIF($E$2:INDIRECT($B$117),E141,$D$2:INDIRECT($A$117))</f>
        <v/>
      </c>
      <c r="E141" s="56" t="inlineStr">
        <is>
          <t>=</t>
        </is>
      </c>
      <c r="F141" s="56">
        <f>IFERROR(IF(INDEX($F$2:INDIRECT($E$117),MATCH(E141,$E$2:INDIRECT($B$117),0))=0," ",INDEX($F$2:INDIRECT($E$117),MATCH(E141,$E$2:INDIRECT($B$117),0))),"   [ Adjacent Item Model/PN cell is Empty ]")</f>
        <v/>
      </c>
      <c r="G141" s="56" t="n"/>
      <c r="H141" s="42" t="n"/>
      <c r="I141" s="42" t="n"/>
      <c r="J141" s="42" t="n"/>
      <c r="K141" s="42" t="n"/>
      <c r="L141" s="42" t="n"/>
      <c r="M141" s="42" t="n"/>
    </row>
    <row r="142">
      <c r="A142" s="54" t="n"/>
      <c r="B142" s="61" t="n"/>
      <c r="C142" s="56" t="n"/>
      <c r="D142" s="56">
        <f>SUMIF($E$2:INDIRECT($B$117),E142,$D$2:INDIRECT($A$117))</f>
        <v/>
      </c>
      <c r="E142" s="56" t="inlineStr">
        <is>
          <t>=</t>
        </is>
      </c>
      <c r="F142" s="56">
        <f>IFERROR(IF(INDEX($F$2:INDIRECT($E$117),MATCH(E142,$E$2:INDIRECT($B$117),0))=0," ",INDEX($F$2:INDIRECT($E$117),MATCH(E142,$E$2:INDIRECT($B$117),0))),"   [ Adjacent Item Model/PN cell is Empty ]")</f>
        <v/>
      </c>
      <c r="G142" s="56" t="n"/>
      <c r="H142" s="42" t="n"/>
      <c r="I142" s="42" t="n"/>
      <c r="J142" s="42" t="n"/>
      <c r="K142" s="42" t="n"/>
      <c r="L142" s="42" t="n"/>
      <c r="M142" s="42" t="n"/>
    </row>
    <row r="143">
      <c r="A143" s="54" t="n"/>
      <c r="B143" s="61" t="n"/>
      <c r="C143" s="56" t="n"/>
      <c r="D143" s="56">
        <f>SUMIF($E$2:INDIRECT($B$117),E143,$D$2:INDIRECT($A$117))</f>
        <v/>
      </c>
      <c r="E143" s="56" t="inlineStr">
        <is>
          <t>=</t>
        </is>
      </c>
      <c r="F143" s="56">
        <f>IFERROR(IF(INDEX($F$2:INDIRECT($E$117),MATCH(E143,$E$2:INDIRECT($B$117),0))=0," ",INDEX($F$2:INDIRECT($E$117),MATCH(E143,$E$2:INDIRECT($B$117),0))),"   [ Adjacent Item Model/PN cell is Empty ]")</f>
        <v/>
      </c>
      <c r="G143" s="56" t="n"/>
      <c r="H143" s="42" t="n"/>
      <c r="I143" s="42" t="n"/>
      <c r="J143" s="42" t="n"/>
      <c r="K143" s="42" t="n"/>
      <c r="L143" s="42" t="n"/>
      <c r="M143" s="42" t="n"/>
    </row>
    <row r="144">
      <c r="A144" s="54" t="n"/>
      <c r="B144" s="61" t="n"/>
      <c r="C144" s="56" t="n"/>
      <c r="D144" s="56">
        <f>SUMIF($E$2:INDIRECT($B$117),E144,$D$2:INDIRECT($A$117))</f>
        <v/>
      </c>
      <c r="E144" s="56" t="n"/>
      <c r="F144" s="56">
        <f>IFERROR(IF(INDEX($F$2:INDIRECT($E$117),MATCH(E144,$E$2:INDIRECT($B$117),0))=0," ",INDEX($F$2:INDIRECT($E$117),MATCH(E144,$E$2:INDIRECT($B$117),0))),"   [ Adjacent Item Model/PN cell is Empty ]")</f>
        <v/>
      </c>
      <c r="G144" s="61" t="n"/>
      <c r="H144" s="42" t="n"/>
      <c r="I144" s="42" t="n"/>
      <c r="J144" s="42" t="n"/>
      <c r="K144" s="42" t="n"/>
      <c r="L144" s="42" t="n"/>
      <c r="M144" s="42" t="n"/>
    </row>
    <row r="145">
      <c r="A145" s="54" t="n"/>
      <c r="B145" s="61" t="n"/>
      <c r="C145" s="56" t="n"/>
      <c r="D145" s="56">
        <f>SUMIF($E$2:INDIRECT($B$117),E145,$D$2:INDIRECT($A$117))</f>
        <v/>
      </c>
      <c r="E145" s="56" t="n"/>
      <c r="F145" s="56">
        <f>IFERROR(IF(INDEX($F$2:INDIRECT($E$117),MATCH(E145,$E$2:INDIRECT($B$117),0))=0," ",INDEX($F$2:INDIRECT($E$117),MATCH(E145,$E$2:INDIRECT($B$117),0))),"   [ Adjacent Item Model/PN cell is Empty ]")</f>
        <v/>
      </c>
      <c r="G145" s="61" t="n"/>
      <c r="H145" s="42" t="n"/>
      <c r="I145" s="42" t="n"/>
      <c r="J145" s="42" t="n"/>
      <c r="K145" s="42" t="n"/>
      <c r="L145" s="42" t="n"/>
      <c r="M145" s="42" t="n"/>
    </row>
    <row r="146">
      <c r="A146" s="54" t="n"/>
      <c r="B146" s="61" t="n"/>
      <c r="C146" s="56" t="n"/>
      <c r="D146" s="56">
        <f>SUMIF($E$2:INDIRECT($B$117),E146,$D$2:INDIRECT($A$117))</f>
        <v/>
      </c>
      <c r="E146" s="56" t="n"/>
      <c r="F146" s="56">
        <f>IFERROR(IF(INDEX($F$2:INDIRECT($E$117),MATCH(E146,$E$2:INDIRECT($B$117),0))=0," ",INDEX($F$2:INDIRECT($E$117),MATCH(E146,$E$2:INDIRECT($B$117),0))),"   [ Adjacent Item Model/PN cell is Empty ]")</f>
        <v/>
      </c>
      <c r="G146" s="61" t="n"/>
      <c r="H146" s="42" t="n"/>
      <c r="I146" s="42" t="n"/>
      <c r="J146" s="42" t="n"/>
      <c r="K146" s="42" t="n"/>
      <c r="L146" s="42" t="n"/>
      <c r="M146" s="42" t="n"/>
    </row>
    <row r="147">
      <c r="A147" s="54" t="n"/>
      <c r="B147" s="61" t="n"/>
      <c r="C147" s="56" t="n"/>
      <c r="D147" s="56">
        <f>SUMIF($E$2:INDIRECT($B$117),E147,$D$2:INDIRECT($A$117))</f>
        <v/>
      </c>
      <c r="E147" s="56" t="n"/>
      <c r="F147" s="56">
        <f>IFERROR(IF(INDEX($F$2:INDIRECT($E$117),MATCH(E147,$E$2:INDIRECT($B$117),0))=0," ",INDEX($F$2:INDIRECT($E$117),MATCH(E147,$E$2:INDIRECT($B$117),0))),"   [ Adjacent Item Model/PN cell is Empty ]")</f>
        <v/>
      </c>
      <c r="G147" s="61" t="n"/>
      <c r="H147" s="42" t="n"/>
      <c r="I147" s="42" t="n"/>
      <c r="J147" s="42" t="n"/>
      <c r="K147" s="42" t="n"/>
      <c r="L147" s="42" t="n"/>
      <c r="M147" s="42" t="n"/>
    </row>
    <row r="148">
      <c r="A148" s="54" t="n"/>
      <c r="B148" s="61" t="n"/>
      <c r="C148" s="56" t="n"/>
      <c r="D148" s="56">
        <f>SUMIF($E$2:INDIRECT($B$117),E148,$D$2:INDIRECT($A$117))</f>
        <v/>
      </c>
      <c r="E148" s="56" t="n"/>
      <c r="F148" s="56">
        <f>IFERROR(IF(INDEX($F$2:INDIRECT($E$117),MATCH(E148,$E$2:INDIRECT($B$117),0))=0," ",INDEX($F$2:INDIRECT($E$117),MATCH(E148,$E$2:INDIRECT($B$117),0))),"   [ Adjacent Item Model/PN cell is Empty ]")</f>
        <v/>
      </c>
      <c r="G148" s="61" t="n"/>
      <c r="H148" s="42" t="n"/>
      <c r="I148" s="42" t="n"/>
      <c r="J148" s="42" t="n"/>
      <c r="K148" s="42" t="n"/>
      <c r="L148" s="42" t="n"/>
      <c r="M148" s="42" t="n"/>
    </row>
    <row r="149">
      <c r="A149" s="54" t="n"/>
      <c r="B149" s="61" t="n"/>
      <c r="C149" s="56" t="n"/>
      <c r="D149" s="56">
        <f>SUMIF($E$2:INDIRECT($B$117),E149,$D$2:INDIRECT($A$117))</f>
        <v/>
      </c>
      <c r="E149" s="56" t="n"/>
      <c r="F149" s="56">
        <f>IFERROR(IF(INDEX($F$2:INDIRECT($E$117),MATCH(E149,$E$2:INDIRECT($B$117),0))=0," ",INDEX($F$2:INDIRECT($E$117),MATCH(E149,$E$2:INDIRECT($B$117),0))),"   [ Adjacent Item Model/PN cell is Empty ]")</f>
        <v/>
      </c>
      <c r="G149" s="61" t="n"/>
      <c r="H149" s="42" t="n"/>
      <c r="I149" s="42" t="n"/>
      <c r="J149" s="42" t="n"/>
      <c r="K149" s="42" t="n"/>
      <c r="L149" s="42" t="n"/>
      <c r="M149" s="42" t="n"/>
    </row>
    <row r="150">
      <c r="A150" s="54" t="n"/>
      <c r="B150" s="61" t="n"/>
      <c r="C150" s="56" t="n"/>
      <c r="D150" s="56">
        <f>SUMIF($E$2:INDIRECT($B$117),E150,$D$2:INDIRECT($A$117))</f>
        <v/>
      </c>
      <c r="E150" s="56" t="n"/>
      <c r="F150" s="56">
        <f>IFERROR(IF(INDEX($F$2:INDIRECT($E$117),MATCH(E150,$E$2:INDIRECT($B$117),0))=0," ",INDEX($F$2:INDIRECT($E$117),MATCH(E150,$E$2:INDIRECT($B$117),0))),"   [ Adjacent Item Model/PN cell is Empty ]")</f>
        <v/>
      </c>
      <c r="G150" s="61" t="n"/>
      <c r="H150" s="42" t="n"/>
      <c r="I150" s="42" t="n"/>
      <c r="J150" s="42" t="n"/>
      <c r="K150" s="42" t="n"/>
      <c r="L150" s="42" t="n"/>
      <c r="M150" s="42" t="n"/>
    </row>
    <row r="151">
      <c r="A151" s="54" t="n"/>
      <c r="B151" s="61" t="n"/>
      <c r="C151" s="56" t="n"/>
      <c r="D151" s="56">
        <f>SUMIF($E$2:INDIRECT($B$117),E151,$D$2:INDIRECT($A$117))</f>
        <v/>
      </c>
      <c r="E151" s="56" t="n"/>
      <c r="F151" s="56">
        <f>IFERROR(IF(INDEX($F$2:INDIRECT($E$117),MATCH(E151,$E$2:INDIRECT($B$117),0))=0," ",INDEX($F$2:INDIRECT($E$117),MATCH(E151,$E$2:INDIRECT($B$117),0))),"   [ Adjacent Item Model/PN cell is Empty ]")</f>
        <v/>
      </c>
      <c r="G151" s="61" t="n"/>
      <c r="H151" s="42" t="n"/>
      <c r="I151" s="42" t="n"/>
      <c r="J151" s="42" t="n"/>
      <c r="K151" s="42" t="n"/>
      <c r="L151" s="42" t="n"/>
      <c r="M151" s="42" t="n"/>
    </row>
    <row r="152">
      <c r="A152" s="54" t="n"/>
      <c r="B152" s="61" t="n"/>
      <c r="C152" s="56" t="n"/>
      <c r="D152" s="56">
        <f>SUMIF($E$2:INDIRECT($B$117),E152,$D$2:INDIRECT($A$117))</f>
        <v/>
      </c>
      <c r="E152" s="61" t="n"/>
      <c r="F152" s="56">
        <f>IFERROR(IF(INDEX($F$2:INDIRECT($E$117),MATCH(E152,$E$2:INDIRECT($B$117),0))=0," ",INDEX($F$2:INDIRECT($E$117),MATCH(E152,$E$2:INDIRECT($B$117),0))),"   [ Adjacent Item Model/PN cell is Empty ]")</f>
        <v/>
      </c>
      <c r="G152" s="61" t="n"/>
      <c r="H152" s="42" t="n"/>
      <c r="I152" s="42" t="n"/>
      <c r="J152" s="42" t="n"/>
      <c r="K152" s="42" t="n"/>
      <c r="L152" s="42" t="n"/>
      <c r="M152" s="42" t="n"/>
    </row>
    <row r="153">
      <c r="A153" s="54" t="n"/>
      <c r="B153" s="54" t="n"/>
      <c r="C153" s="54" t="n"/>
      <c r="D153" s="54" t="n"/>
      <c r="E153" s="54" t="n"/>
      <c r="F153" s="54" t="n"/>
      <c r="G153" s="46" t="n"/>
      <c r="H153" s="42" t="n"/>
      <c r="I153" s="42" t="n"/>
      <c r="J153" s="42" t="n"/>
      <c r="K153" s="42" t="n"/>
      <c r="L153" s="42" t="n"/>
      <c r="M153" s="42" t="n"/>
    </row>
    <row r="154">
      <c r="A154" s="42" t="n"/>
      <c r="B154" s="42" t="n"/>
      <c r="C154" s="42" t="n"/>
      <c r="D154" s="42" t="n"/>
      <c r="E154" s="42" t="n"/>
      <c r="F154" s="42" t="n"/>
      <c r="H154" s="42" t="n"/>
      <c r="I154" s="42" t="n"/>
      <c r="J154" s="42" t="n"/>
      <c r="K154" s="42" t="n"/>
      <c r="L154" s="42" t="n"/>
      <c r="M154" s="42" t="n"/>
    </row>
    <row r="155">
      <c r="A155" s="42" t="n"/>
      <c r="B155" s="42" t="n"/>
      <c r="C155" s="42" t="n"/>
      <c r="D155" s="42" t="n"/>
      <c r="E155" s="42" t="n"/>
      <c r="F155" s="42" t="n"/>
      <c r="H155" s="42" t="n"/>
      <c r="I155" s="42" t="n"/>
      <c r="J155" s="42" t="n"/>
      <c r="K155" s="42" t="n"/>
      <c r="L155" s="42" t="n"/>
      <c r="M155" s="42" t="n"/>
    </row>
    <row r="156">
      <c r="A156" s="42" t="n"/>
      <c r="C156" s="42" t="n"/>
      <c r="D156" s="42" t="n"/>
      <c r="E156" s="42" t="n"/>
      <c r="F156" s="42" t="n"/>
      <c r="G156" s="42" t="n"/>
      <c r="H156" s="42" t="n"/>
      <c r="I156" s="42" t="n"/>
      <c r="J156" s="42" t="n"/>
      <c r="K156" s="42" t="n"/>
      <c r="L156" s="42" t="n"/>
      <c r="M156" s="42" t="n"/>
    </row>
    <row r="157"/>
    <row r="158"/>
    <row r="159"/>
    <row r="160">
      <c r="D160" s="42" t="n"/>
      <c r="E160" s="42" t="n"/>
      <c r="G160" s="42" t="n"/>
    </row>
    <row r="161"/>
    <row r="162"/>
    <row r="163">
      <c r="G163" s="42" t="n"/>
    </row>
    <row r="164">
      <c r="G164" s="42" t="n"/>
    </row>
    <row r="165"/>
    <row r="166">
      <c r="G166" s="42" t="n"/>
    </row>
    <row r="167">
      <c r="G167" s="43" t="n"/>
    </row>
    <row r="168">
      <c r="G168" s="42" t="n"/>
    </row>
    <row r="169">
      <c r="G169" s="42" t="n"/>
    </row>
    <row r="170">
      <c r="G170" s="42" t="n"/>
    </row>
    <row r="171">
      <c r="G171" s="42" t="n"/>
    </row>
    <row r="172">
      <c r="G172" s="42" t="n"/>
    </row>
  </sheetData>
  <mergeCells count="19">
    <mergeCell ref="A17:G17"/>
    <mergeCell ref="A106:G106"/>
    <mergeCell ref="B117:D117"/>
    <mergeCell ref="A96:G96"/>
    <mergeCell ref="B116:D116"/>
    <mergeCell ref="A9:G9"/>
    <mergeCell ref="A67:G67"/>
    <mergeCell ref="A60:G60"/>
    <mergeCell ref="A73:G73"/>
    <mergeCell ref="A119:G119"/>
    <mergeCell ref="A88:G88"/>
    <mergeCell ref="A79:G79"/>
    <mergeCell ref="A54:G54"/>
    <mergeCell ref="A37:G37"/>
    <mergeCell ref="B121:G121"/>
    <mergeCell ref="A26:G26"/>
    <mergeCell ref="A2:G2"/>
    <mergeCell ref="A113:G113"/>
    <mergeCell ref="A47:G47"/>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1"/>
  <sheetViews>
    <sheetView topLeftCell="A27" workbookViewId="0">
      <selection activeCell="Q14" sqref="Q14"/>
    </sheetView>
  </sheetViews>
  <sheetFormatPr baseColWidth="8" defaultRowHeight="14.4"/>
  <sheetData/>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V1005"/>
  <sheetViews>
    <sheetView topLeftCell="AL1" workbookViewId="0">
      <selection activeCell="AM37" sqref="AM37"/>
    </sheetView>
  </sheetViews>
  <sheetFormatPr baseColWidth="8" defaultRowHeight="14.4"/>
  <cols>
    <col width="23.33203125" customWidth="1" style="184" min="36" max="36"/>
    <col width="22.88671875" customWidth="1" style="184" min="37" max="37"/>
    <col width="29.88671875" customWidth="1" style="184" min="38" max="38"/>
    <col width="29.44140625" customWidth="1" style="184" min="39" max="39"/>
    <col width="34.33203125" customWidth="1" style="184" min="41" max="41"/>
    <col width="35.33203125" customWidth="1" style="184" min="44" max="44"/>
    <col width="24.88671875" customWidth="1" style="184" min="47" max="47"/>
  </cols>
  <sheetData>
    <row r="1">
      <c r="AI1" s="116" t="n"/>
      <c r="AJ1" s="116" t="n"/>
      <c r="AK1" s="116" t="n"/>
      <c r="AL1" s="116" t="n"/>
      <c r="AM1" s="116" t="n"/>
      <c r="AN1" s="116" t="n"/>
      <c r="AO1" s="116" t="n"/>
      <c r="AP1" s="116" t="n"/>
      <c r="AQ1" s="116" t="n"/>
      <c r="AR1" s="116" t="n"/>
      <c r="AS1" s="116" t="n"/>
      <c r="AT1" s="116" t="n"/>
      <c r="AU1" s="116" t="n"/>
      <c r="AV1" s="116" t="n"/>
    </row>
    <row r="2">
      <c r="AI2" s="116" t="n"/>
      <c r="AJ2" s="116" t="n"/>
      <c r="AK2" s="116" t="n"/>
      <c r="AL2" s="116" t="n"/>
      <c r="AM2" s="116" t="n"/>
      <c r="AN2" s="116" t="n"/>
      <c r="AO2" s="116" t="n"/>
      <c r="AP2" s="116" t="n"/>
      <c r="AQ2" s="116" t="n"/>
      <c r="AR2" s="116" t="n"/>
      <c r="AS2" s="116" t="n"/>
      <c r="AT2" s="116" t="n"/>
      <c r="AU2" s="116" t="n"/>
      <c r="AV2" s="116" t="n"/>
    </row>
    <row r="3">
      <c r="AI3" s="116" t="n"/>
      <c r="AJ3" s="116" t="n"/>
      <c r="AK3" s="116" t="n"/>
      <c r="AL3" s="116" t="n"/>
      <c r="AM3" s="116" t="n"/>
      <c r="AN3" s="116" t="n"/>
      <c r="AO3" s="116" t="n"/>
      <c r="AP3" s="116" t="n"/>
      <c r="AQ3" s="116" t="n"/>
      <c r="AR3" s="116" t="n"/>
      <c r="AS3" s="116" t="n"/>
      <c r="AT3" s="116" t="n"/>
      <c r="AU3" s="116" t="n"/>
      <c r="AV3" s="116" t="n"/>
    </row>
    <row r="4">
      <c r="AI4" s="116" t="n"/>
      <c r="AJ4" s="116" t="n"/>
      <c r="AK4" s="116" t="n"/>
      <c r="AL4" s="116" t="n"/>
      <c r="AM4" s="116" t="n"/>
      <c r="AN4" s="116" t="n"/>
      <c r="AO4" s="116" t="n"/>
      <c r="AP4" s="116" t="n"/>
      <c r="AQ4" s="116" t="n"/>
      <c r="AR4" s="116" t="n"/>
      <c r="AS4" s="116" t="n"/>
      <c r="AT4" s="116" t="n"/>
      <c r="AU4" s="116" t="n"/>
      <c r="AV4" s="116" t="n"/>
    </row>
    <row r="5">
      <c r="AI5" s="116" t="n"/>
      <c r="AJ5" s="116" t="n"/>
      <c r="AK5" s="116" t="n"/>
      <c r="AL5" s="116" t="n"/>
      <c r="AM5" s="116" t="n"/>
      <c r="AN5" s="116" t="n"/>
      <c r="AO5" s="116" t="n"/>
      <c r="AP5" s="116" t="n"/>
      <c r="AQ5" s="116" t="n"/>
      <c r="AR5" s="116" t="n"/>
      <c r="AS5" s="116" t="n"/>
      <c r="AT5" s="116" t="n"/>
      <c r="AU5" s="116" t="n"/>
      <c r="AV5" s="116" t="n"/>
    </row>
    <row r="6">
      <c r="AI6" s="116" t="n"/>
      <c r="AJ6" s="116" t="n"/>
      <c r="AK6" s="116" t="n"/>
      <c r="AL6" s="116" t="n"/>
      <c r="AM6" s="116" t="n"/>
      <c r="AN6" s="116" t="n"/>
      <c r="AO6" s="116" t="n"/>
      <c r="AP6" s="116" t="n"/>
      <c r="AQ6" s="116" t="n"/>
      <c r="AR6" s="116" t="n"/>
      <c r="AS6" s="116" t="n"/>
      <c r="AT6" s="116" t="n"/>
      <c r="AU6" s="116" t="n"/>
      <c r="AV6" s="116" t="n"/>
    </row>
    <row r="7">
      <c r="AI7" s="116" t="n"/>
      <c r="AJ7" s="116" t="n"/>
      <c r="AK7" s="116" t="n"/>
      <c r="AL7" s="116" t="n"/>
      <c r="AM7" s="116" t="n"/>
      <c r="AN7" s="40" t="n"/>
      <c r="AO7" s="116" t="n"/>
      <c r="AP7" s="40" t="n"/>
      <c r="AQ7" s="40" t="n"/>
      <c r="AR7" s="116" t="n"/>
      <c r="AS7" s="116" t="n"/>
      <c r="AT7" s="40" t="n"/>
      <c r="AU7" s="40" t="n"/>
      <c r="AV7" s="116" t="n"/>
    </row>
    <row r="8">
      <c r="AI8" s="116" t="n"/>
      <c r="AJ8" s="116" t="n"/>
      <c r="AK8" s="116" t="n"/>
      <c r="AL8" s="116" t="n"/>
      <c r="AM8" s="116" t="n"/>
      <c r="AN8" s="40" t="n"/>
      <c r="AO8" s="40" t="inlineStr">
        <is>
          <t>x1</t>
        </is>
      </c>
      <c r="AP8" s="40" t="n"/>
      <c r="AQ8" s="40" t="n"/>
      <c r="AR8" s="40" t="inlineStr">
        <is>
          <t>x1</t>
        </is>
      </c>
      <c r="AS8" s="40" t="n"/>
      <c r="AT8" s="40" t="n"/>
      <c r="AU8" s="40" t="inlineStr">
        <is>
          <t>x1</t>
        </is>
      </c>
      <c r="AV8" s="116" t="n"/>
    </row>
    <row r="9" ht="18.75" customHeight="1" s="184">
      <c r="AI9" s="116" t="n"/>
      <c r="AJ9" s="116" t="n"/>
      <c r="AK9" s="116" t="n"/>
      <c r="AL9" s="116" t="n"/>
      <c r="AM9" s="116" t="n"/>
      <c r="AN9" s="117" t="n"/>
      <c r="AO9" s="116" t="n"/>
      <c r="AP9" s="117" t="n"/>
      <c r="AQ9" s="117" t="n"/>
      <c r="AR9" s="116" t="n"/>
      <c r="AS9" s="116" t="n"/>
      <c r="AT9" s="117" t="n"/>
      <c r="AU9" s="118" t="n"/>
      <c r="AV9" s="116" t="n"/>
    </row>
    <row r="10">
      <c r="AI10" s="116" t="n"/>
      <c r="AJ10" s="116" t="inlineStr">
        <is>
          <t>750mm IR9000</t>
        </is>
      </c>
      <c r="AK10" s="116" t="inlineStr">
        <is>
          <t>750mm IR9000</t>
        </is>
      </c>
      <c r="AL10" s="116" t="inlineStr">
        <is>
          <t>750mm IR9000</t>
        </is>
      </c>
      <c r="AM10" s="116" t="inlineStr">
        <is>
          <t>750mm IR9000</t>
        </is>
      </c>
      <c r="AN10" s="40" t="n"/>
      <c r="AO10" s="119" t="inlineStr">
        <is>
          <t>750mm IR9000</t>
        </is>
      </c>
      <c r="AP10" s="40" t="n"/>
      <c r="AQ10" s="40" t="n"/>
      <c r="AR10" s="119" t="inlineStr">
        <is>
          <t>750mm IR9000</t>
        </is>
      </c>
      <c r="AS10" s="116" t="n"/>
      <c r="AT10" s="40" t="n"/>
      <c r="AU10" s="40" t="inlineStr">
        <is>
          <t>IR 5000 /750mm</t>
        </is>
      </c>
      <c r="AV10" s="116" t="n"/>
    </row>
    <row r="11" ht="15.75" customHeight="1" s="184">
      <c r="AI11" s="120" t="n"/>
      <c r="AJ11" s="121" t="inlineStr">
        <is>
          <t>Rack1</t>
        </is>
      </c>
      <c r="AK11" s="121" t="inlineStr">
        <is>
          <t>Rack2</t>
        </is>
      </c>
      <c r="AL11" s="121" t="inlineStr">
        <is>
          <t>Rack3</t>
        </is>
      </c>
      <c r="AM11" s="121" t="inlineStr">
        <is>
          <t>Rack4</t>
        </is>
      </c>
      <c r="AN11" s="122" t="inlineStr">
        <is>
          <t>RU</t>
        </is>
      </c>
      <c r="AO11" s="44" t="inlineStr">
        <is>
          <t>T1/T2 E-W</t>
        </is>
      </c>
      <c r="AP11" s="40" t="n"/>
      <c r="AQ11" s="122" t="inlineStr">
        <is>
          <t>RU</t>
        </is>
      </c>
      <c r="AR11" s="44" t="inlineStr">
        <is>
          <t>T1/T2 E-W</t>
        </is>
      </c>
      <c r="AS11" s="44" t="n"/>
      <c r="AT11" s="122" t="inlineStr">
        <is>
          <t>RU</t>
        </is>
      </c>
      <c r="AU11" s="44" t="inlineStr">
        <is>
          <t>T1/T2 N-S</t>
        </is>
      </c>
      <c r="AV11" s="116" t="n"/>
    </row>
    <row r="12">
      <c r="AI12" s="123" t="inlineStr">
        <is>
          <t>48 RU</t>
        </is>
      </c>
      <c r="AJ12" s="124" t="inlineStr">
        <is>
          <t>OOB ToR #2</t>
        </is>
      </c>
      <c r="AK12" s="124" t="inlineStr">
        <is>
          <t>OOB ToR #2</t>
        </is>
      </c>
      <c r="AL12" s="124" t="inlineStr">
        <is>
          <t>OOB ToR #2</t>
        </is>
      </c>
      <c r="AM12" s="124" t="inlineStr">
        <is>
          <t>OOB ToR #2</t>
        </is>
      </c>
      <c r="AN12" s="125" t="n">
        <v>48</v>
      </c>
      <c r="AO12" s="126" t="inlineStr">
        <is>
          <t> </t>
        </is>
      </c>
      <c r="AP12" s="225" t="inlineStr">
        <is>
          <t> </t>
        </is>
      </c>
      <c r="AQ12" s="127" t="n">
        <v>48</v>
      </c>
      <c r="AR12" s="128" t="inlineStr">
        <is>
          <t> </t>
        </is>
      </c>
      <c r="AS12" s="216" t="inlineStr">
        <is>
          <t> </t>
        </is>
      </c>
      <c r="AT12" s="125" t="n">
        <v>48</v>
      </c>
      <c r="AU12" s="129" t="inlineStr">
        <is>
          <t> </t>
        </is>
      </c>
      <c r="AV12" s="116" t="n"/>
    </row>
    <row r="13">
      <c r="AI13" s="130" t="inlineStr">
        <is>
          <t>47 RU</t>
        </is>
      </c>
      <c r="AJ13" s="124" t="inlineStr">
        <is>
          <t>OOB ToR #1</t>
        </is>
      </c>
      <c r="AK13" s="124" t="inlineStr">
        <is>
          <t>OOB ToR #1</t>
        </is>
      </c>
      <c r="AL13" s="124" t="inlineStr">
        <is>
          <t>OOB ToR #1</t>
        </is>
      </c>
      <c r="AM13" s="124" t="inlineStr">
        <is>
          <t>OOB ToR #1</t>
        </is>
      </c>
      <c r="AN13" s="131" t="n">
        <v>47</v>
      </c>
      <c r="AO13" s="129" t="inlineStr">
        <is>
          <t> </t>
        </is>
      </c>
      <c r="AP13" s="217" t="n"/>
      <c r="AQ13" s="132" t="n">
        <v>47</v>
      </c>
      <c r="AR13" s="133" t="inlineStr">
        <is>
          <t> </t>
        </is>
      </c>
      <c r="AS13" s="217" t="n"/>
      <c r="AT13" s="131" t="n">
        <v>47</v>
      </c>
      <c r="AU13" s="134" t="inlineStr">
        <is>
          <t>OOB ToR #3</t>
        </is>
      </c>
      <c r="AV13" s="116" t="n"/>
    </row>
    <row r="14">
      <c r="AI14" s="130" t="inlineStr">
        <is>
          <t>46 RU</t>
        </is>
      </c>
      <c r="AJ14" s="203" t="inlineStr">
        <is>
          <t>3RU POWER SHELF</t>
        </is>
      </c>
      <c r="AK14" s="203" t="inlineStr">
        <is>
          <t>3RU POWER SHELF</t>
        </is>
      </c>
      <c r="AL14" s="213" t="inlineStr">
        <is>
          <t>3RU POWER SHELF</t>
        </is>
      </c>
      <c r="AM14" s="213" t="inlineStr">
        <is>
          <t>3RU POWER SHELF</t>
        </is>
      </c>
      <c r="AN14" s="131" t="n">
        <v>46</v>
      </c>
      <c r="AO14" s="116" t="n"/>
      <c r="AP14" s="217" t="n"/>
      <c r="AQ14" s="132" t="n">
        <v>46</v>
      </c>
      <c r="AR14" s="137" t="inlineStr">
        <is>
          <t> </t>
        </is>
      </c>
      <c r="AS14" s="217" t="n"/>
      <c r="AT14" s="131" t="n">
        <v>46</v>
      </c>
      <c r="AU14" s="134" t="inlineStr">
        <is>
          <t>OOB ToR #2</t>
        </is>
      </c>
      <c r="AV14" s="116" t="n"/>
    </row>
    <row r="15">
      <c r="AI15" s="130" t="inlineStr">
        <is>
          <t>45 RU</t>
        </is>
      </c>
      <c r="AJ15" s="191" t="n"/>
      <c r="AK15" s="191" t="n"/>
      <c r="AL15" s="194" t="n"/>
      <c r="AM15" s="194" t="n"/>
      <c r="AN15" s="131" t="n">
        <v>45</v>
      </c>
      <c r="AO15" s="116" t="n"/>
      <c r="AP15" s="217" t="n"/>
      <c r="AQ15" s="132" t="n">
        <v>45</v>
      </c>
      <c r="AR15" s="137" t="inlineStr">
        <is>
          <t> </t>
        </is>
      </c>
      <c r="AS15" s="217" t="n"/>
      <c r="AT15" s="131" t="n">
        <v>45</v>
      </c>
      <c r="AU15" s="134" t="inlineStr">
        <is>
          <t>OOB ToR #1</t>
        </is>
      </c>
      <c r="AV15" s="116" t="n"/>
    </row>
    <row r="16">
      <c r="AI16" s="130" t="inlineStr">
        <is>
          <t>44 RU</t>
        </is>
      </c>
      <c r="AJ16" s="192" t="n"/>
      <c r="AK16" s="192" t="n"/>
      <c r="AL16" s="195" t="n"/>
      <c r="AM16" s="195" t="n"/>
      <c r="AN16" s="131" t="n">
        <v>44</v>
      </c>
      <c r="AO16" s="221" t="inlineStr">
        <is>
          <t>36 4x4Shuffle [6 blade]</t>
        </is>
      </c>
      <c r="AP16" s="217" t="n"/>
      <c r="AQ16" s="132" t="n">
        <v>44</v>
      </c>
      <c r="AR16" s="221" t="inlineStr">
        <is>
          <t>36 4x4Shuffle [6 blade]</t>
        </is>
      </c>
      <c r="AS16" s="217" t="n"/>
      <c r="AT16" s="131" t="n">
        <v>44</v>
      </c>
      <c r="AU16" s="134" t="inlineStr">
        <is>
          <t>OOB for OOB ToR #1</t>
        </is>
      </c>
      <c r="AV16" s="116" t="n"/>
    </row>
    <row r="17">
      <c r="AI17" s="130" t="inlineStr">
        <is>
          <t>43 RU</t>
        </is>
      </c>
      <c r="AJ17" s="190" t="inlineStr">
        <is>
          <t>3RU POWER SHELF</t>
        </is>
      </c>
      <c r="AK17" s="190" t="inlineStr">
        <is>
          <t>3RU POWER SHELF</t>
        </is>
      </c>
      <c r="AL17" s="193" t="inlineStr">
        <is>
          <t>3RU POWER SHELF</t>
        </is>
      </c>
      <c r="AM17" s="193" t="inlineStr">
        <is>
          <t>3RU POWER SHELF</t>
        </is>
      </c>
      <c r="AN17" s="131" t="n">
        <v>43</v>
      </c>
      <c r="AO17" s="205" t="n"/>
      <c r="AP17" s="217" t="n"/>
      <c r="AQ17" s="132" t="n">
        <v>43</v>
      </c>
      <c r="AR17" s="205" t="n"/>
      <c r="AS17" s="217" t="n"/>
      <c r="AT17" s="131" t="n">
        <v>43</v>
      </c>
      <c r="AU17" s="138" t="inlineStr">
        <is>
          <t> </t>
        </is>
      </c>
      <c r="AV17" s="116" t="n"/>
    </row>
    <row r="18">
      <c r="AI18" s="130" t="inlineStr">
        <is>
          <t>42 RU</t>
        </is>
      </c>
      <c r="AJ18" s="191" t="n"/>
      <c r="AK18" s="191" t="n"/>
      <c r="AL18" s="194" t="n"/>
      <c r="AM18" s="194" t="n"/>
      <c r="AN18" s="131" t="n">
        <v>42</v>
      </c>
      <c r="AO18" s="138" t="inlineStr">
        <is>
          <t> </t>
        </is>
      </c>
      <c r="AP18" s="217" t="n"/>
      <c r="AQ18" s="132" t="n">
        <v>42</v>
      </c>
      <c r="AR18" s="133" t="inlineStr">
        <is>
          <t> </t>
        </is>
      </c>
      <c r="AS18" s="217" t="n"/>
      <c r="AT18" s="131" t="n">
        <v>42</v>
      </c>
      <c r="AU18" s="138" t="inlineStr">
        <is>
          <t> </t>
        </is>
      </c>
      <c r="AV18" s="116" t="n"/>
    </row>
    <row r="19">
      <c r="AI19" s="130" t="inlineStr">
        <is>
          <t>41 RU</t>
        </is>
      </c>
      <c r="AJ19" s="192" t="n"/>
      <c r="AK19" s="192" t="n"/>
      <c r="AL19" s="195" t="n"/>
      <c r="AM19" s="195" t="n"/>
      <c r="AN19" s="131" t="n">
        <v>41</v>
      </c>
      <c r="AO19" s="135" t="inlineStr">
        <is>
          <t>1RU POWER SHELF</t>
        </is>
      </c>
      <c r="AP19" s="217" t="n"/>
      <c r="AQ19" s="132" t="n">
        <v>41</v>
      </c>
      <c r="AR19" s="139" t="inlineStr">
        <is>
          <t>1RU POWER SHELF</t>
        </is>
      </c>
      <c r="AS19" s="217" t="n"/>
      <c r="AT19" s="131" t="n">
        <v>41</v>
      </c>
      <c r="AU19" s="140" t="inlineStr">
        <is>
          <t>OOB AGG #1 SN4700</t>
        </is>
      </c>
      <c r="AV19" s="116" t="n"/>
    </row>
    <row r="20">
      <c r="AI20" s="130" t="inlineStr">
        <is>
          <t>40 RU</t>
        </is>
      </c>
      <c r="AJ20" s="141" t="inlineStr">
        <is>
          <t>Dell IRC</t>
        </is>
      </c>
      <c r="AK20" s="141" t="inlineStr">
        <is>
          <t>Dell IRC</t>
        </is>
      </c>
      <c r="AL20" s="141" t="inlineStr">
        <is>
          <t>Dell IRC</t>
        </is>
      </c>
      <c r="AM20" s="141" t="inlineStr">
        <is>
          <t>Dell IRC</t>
        </is>
      </c>
      <c r="AN20" s="131" t="n">
        <v>40</v>
      </c>
      <c r="AO20" s="142" t="inlineStr">
        <is>
          <t>Dell IRC</t>
        </is>
      </c>
      <c r="AP20" s="217" t="n"/>
      <c r="AQ20" s="132" t="n">
        <v>40</v>
      </c>
      <c r="AR20" s="143" t="inlineStr">
        <is>
          <t>Dell IRC</t>
        </is>
      </c>
      <c r="AS20" s="217" t="n"/>
      <c r="AT20" s="131" t="n">
        <v>40</v>
      </c>
      <c r="AU20" s="138" t="inlineStr">
        <is>
          <t> </t>
        </is>
      </c>
      <c r="AV20" s="116" t="n"/>
    </row>
    <row r="21">
      <c r="AI21" s="130" t="inlineStr">
        <is>
          <t>39 RU</t>
        </is>
      </c>
      <c r="AJ21" s="144" t="inlineStr">
        <is>
          <t>Cross-Brace</t>
        </is>
      </c>
      <c r="AK21" s="144" t="inlineStr">
        <is>
          <t>Cross-Brace</t>
        </is>
      </c>
      <c r="AL21" s="144" t="inlineStr">
        <is>
          <t>Cross-Brace</t>
        </is>
      </c>
      <c r="AM21" s="144" t="inlineStr">
        <is>
          <t>Cross-Brace</t>
        </is>
      </c>
      <c r="AN21" s="131" t="n">
        <v>39</v>
      </c>
      <c r="AO21" s="145" t="inlineStr">
        <is>
          <t>Cross-Brace</t>
        </is>
      </c>
      <c r="AP21" s="217" t="n"/>
      <c r="AQ21" s="132" t="n">
        <v>39</v>
      </c>
      <c r="AR21" s="146" t="inlineStr">
        <is>
          <t>Cross-Brace</t>
        </is>
      </c>
      <c r="AS21" s="217" t="n"/>
      <c r="AT21" s="131" t="n">
        <v>39</v>
      </c>
      <c r="AU21" s="138" t="inlineStr">
        <is>
          <t> </t>
        </is>
      </c>
      <c r="AV21" s="116" t="n"/>
    </row>
    <row r="22">
      <c r="AI22" s="130" t="inlineStr">
        <is>
          <t>38 RU</t>
        </is>
      </c>
      <c r="AJ22" s="147" t="inlineStr">
        <is>
          <t>GPU Tray #18</t>
        </is>
      </c>
      <c r="AK22" s="147" t="inlineStr">
        <is>
          <t>GPU Tray #18</t>
        </is>
      </c>
      <c r="AL22" s="147" t="inlineStr">
        <is>
          <t>GPU Tray #18</t>
        </is>
      </c>
      <c r="AM22" s="147" t="inlineStr">
        <is>
          <t>GPU Tray #18</t>
        </is>
      </c>
      <c r="AN22" s="131" t="n">
        <v>38</v>
      </c>
      <c r="AO22" s="204" t="inlineStr">
        <is>
          <t>E-W Leaf #1 (GPU4) SN6600-LD Plane 3 &amp; 4</t>
        </is>
      </c>
      <c r="AP22" s="217" t="n"/>
      <c r="AQ22" s="132" t="n">
        <v>38</v>
      </c>
      <c r="AR22" s="206" t="inlineStr">
        <is>
          <t>E-W Leaf #1 (GPU4) SN6600-LD Plane7&amp;8</t>
        </is>
      </c>
      <c r="AS22" s="217" t="n"/>
      <c r="AT22" s="131" t="n">
        <v>38</v>
      </c>
      <c r="AU22" s="138" t="inlineStr">
        <is>
          <t> </t>
        </is>
      </c>
      <c r="AV22" s="116" t="n"/>
    </row>
    <row r="23">
      <c r="AI23" s="130" t="inlineStr">
        <is>
          <t>37 RU</t>
        </is>
      </c>
      <c r="AJ23" s="147" t="inlineStr">
        <is>
          <t>GPU Tray #17</t>
        </is>
      </c>
      <c r="AK23" s="147" t="inlineStr">
        <is>
          <t>GPU Tray #17</t>
        </is>
      </c>
      <c r="AL23" s="147" t="inlineStr">
        <is>
          <t>GPU Tray #17</t>
        </is>
      </c>
      <c r="AM23" s="147" t="inlineStr">
        <is>
          <t>GPU Tray #17</t>
        </is>
      </c>
      <c r="AN23" s="131" t="n">
        <v>37</v>
      </c>
      <c r="AO23" s="205" t="n"/>
      <c r="AP23" s="217" t="n"/>
      <c r="AQ23" s="132" t="n">
        <v>37</v>
      </c>
      <c r="AR23" s="207" t="n"/>
      <c r="AS23" s="217" t="n"/>
      <c r="AT23" s="131" t="n">
        <v>37</v>
      </c>
      <c r="AU23" s="148" t="inlineStr">
        <is>
          <t> </t>
        </is>
      </c>
      <c r="AV23" s="116" t="n"/>
    </row>
    <row r="24">
      <c r="AI24" s="130" t="inlineStr">
        <is>
          <t>36 RU</t>
        </is>
      </c>
      <c r="AJ24" s="147" t="inlineStr">
        <is>
          <t>GPU Tray #16</t>
        </is>
      </c>
      <c r="AK24" s="147" t="inlineStr">
        <is>
          <t>GPU Tray #16</t>
        </is>
      </c>
      <c r="AL24" s="147" t="inlineStr">
        <is>
          <t>GPU Tray #16</t>
        </is>
      </c>
      <c r="AM24" s="147" t="inlineStr">
        <is>
          <t>GPU Tray #16</t>
        </is>
      </c>
      <c r="AN24" s="131" t="n">
        <v>36</v>
      </c>
      <c r="AO24" s="204" t="inlineStr">
        <is>
          <t>E-W Leaf #1 (GPU4) SN6600-LD Plane 3 &amp; 4</t>
        </is>
      </c>
      <c r="AP24" s="217" t="n"/>
      <c r="AQ24" s="132" t="n">
        <v>36</v>
      </c>
      <c r="AR24" s="206" t="inlineStr">
        <is>
          <t>E-W Leaf #1 (GPU3) SN6600-LD Plane7&amp;8</t>
        </is>
      </c>
      <c r="AS24" s="217" t="n"/>
      <c r="AT24" s="131" t="n">
        <v>36</v>
      </c>
      <c r="AU24" s="138" t="inlineStr">
        <is>
          <t> </t>
        </is>
      </c>
      <c r="AV24" s="116" t="n"/>
    </row>
    <row r="25">
      <c r="AI25" s="130" t="inlineStr">
        <is>
          <t>35 RU</t>
        </is>
      </c>
      <c r="AJ25" s="147" t="inlineStr">
        <is>
          <t>GPU Tray #15</t>
        </is>
      </c>
      <c r="AK25" s="147" t="inlineStr">
        <is>
          <t>GPU Tray #15</t>
        </is>
      </c>
      <c r="AL25" s="147" t="inlineStr">
        <is>
          <t>GPU Tray #15</t>
        </is>
      </c>
      <c r="AM25" s="147" t="inlineStr">
        <is>
          <t>GPU Tray #15</t>
        </is>
      </c>
      <c r="AN25" s="131" t="n">
        <v>35</v>
      </c>
      <c r="AO25" s="205" t="n"/>
      <c r="AP25" s="217" t="n"/>
      <c r="AQ25" s="132" t="n">
        <v>35</v>
      </c>
      <c r="AR25" s="207" t="n"/>
      <c r="AS25" s="217" t="n"/>
      <c r="AT25" s="131" t="n">
        <v>35</v>
      </c>
      <c r="AU25" s="138" t="inlineStr">
        <is>
          <t> </t>
        </is>
      </c>
      <c r="AV25" s="116" t="n"/>
    </row>
    <row r="26">
      <c r="AI26" s="130" t="inlineStr">
        <is>
          <t>34 RU</t>
        </is>
      </c>
      <c r="AJ26" s="147" t="inlineStr">
        <is>
          <t>GPU Tray #14</t>
        </is>
      </c>
      <c r="AK26" s="147" t="inlineStr">
        <is>
          <t>GPU Tray #14</t>
        </is>
      </c>
      <c r="AL26" s="147" t="inlineStr">
        <is>
          <t>GPU Tray #14</t>
        </is>
      </c>
      <c r="AM26" s="147" t="inlineStr">
        <is>
          <t>GPU Tray #14</t>
        </is>
      </c>
      <c r="AN26" s="131" t="n">
        <v>34</v>
      </c>
      <c r="AO26" s="204" t="inlineStr">
        <is>
          <t>E-W Leaf #1 (GPU2) SN6600-LD Plane3&amp; 4</t>
        </is>
      </c>
      <c r="AP26" s="217" t="n"/>
      <c r="AQ26" s="132" t="n">
        <v>34</v>
      </c>
      <c r="AR26" s="206" t="inlineStr">
        <is>
          <t>E-W Leaf #1 (GPU2) SN6600-LD Plane7&amp;8</t>
        </is>
      </c>
      <c r="AS26" s="217" t="n"/>
      <c r="AT26" s="131" t="n">
        <v>34</v>
      </c>
      <c r="AU26" s="138" t="inlineStr">
        <is>
          <t> </t>
        </is>
      </c>
      <c r="AV26" s="116" t="n"/>
    </row>
    <row r="27">
      <c r="AI27" s="130" t="inlineStr">
        <is>
          <t>33 RU</t>
        </is>
      </c>
      <c r="AJ27" s="147" t="inlineStr">
        <is>
          <t>GPU Tray #13</t>
        </is>
      </c>
      <c r="AK27" s="147" t="inlineStr">
        <is>
          <t>GPU Tray #13</t>
        </is>
      </c>
      <c r="AL27" s="147" t="inlineStr">
        <is>
          <t>GPU Tray #13</t>
        </is>
      </c>
      <c r="AM27" s="147" t="inlineStr">
        <is>
          <t>GPU Tray #13</t>
        </is>
      </c>
      <c r="AN27" s="131" t="n">
        <v>33</v>
      </c>
      <c r="AO27" s="205" t="n"/>
      <c r="AP27" s="217" t="n"/>
      <c r="AQ27" s="132" t="n">
        <v>33</v>
      </c>
      <c r="AR27" s="207" t="n"/>
      <c r="AS27" s="217" t="n"/>
      <c r="AT27" s="131" t="n">
        <v>33</v>
      </c>
      <c r="AU27" s="138" t="inlineStr">
        <is>
          <t> </t>
        </is>
      </c>
      <c r="AV27" s="116" t="n"/>
    </row>
    <row r="28">
      <c r="AI28" s="130" t="inlineStr">
        <is>
          <t>32 RU</t>
        </is>
      </c>
      <c r="AJ28" s="147" t="inlineStr">
        <is>
          <t>GPU Tray #12</t>
        </is>
      </c>
      <c r="AK28" s="147" t="inlineStr">
        <is>
          <t>GPU Tray #12</t>
        </is>
      </c>
      <c r="AL28" s="147" t="inlineStr">
        <is>
          <t>GPU Tray #12</t>
        </is>
      </c>
      <c r="AM28" s="147" t="inlineStr">
        <is>
          <t>GPU Tray #12</t>
        </is>
      </c>
      <c r="AN28" s="131" t="n">
        <v>32</v>
      </c>
      <c r="AO28" s="204" t="inlineStr">
        <is>
          <t>E-W Leaf #1 (GPU1) SN6600-LD Plane3 &amp; 4</t>
        </is>
      </c>
      <c r="AP28" s="217" t="n"/>
      <c r="AQ28" s="132" t="n">
        <v>32</v>
      </c>
      <c r="AR28" s="206" t="inlineStr">
        <is>
          <t>E-W Leaf #1 (GPU1) SN6600-LD Plane7&amp;8</t>
        </is>
      </c>
      <c r="AS28" s="217" t="n"/>
      <c r="AT28" s="131" t="n">
        <v>32</v>
      </c>
      <c r="AU28" s="138" t="inlineStr">
        <is>
          <t> </t>
        </is>
      </c>
      <c r="AV28" s="116" t="n"/>
    </row>
    <row r="29">
      <c r="AI29" s="130" t="inlineStr">
        <is>
          <t>31 RU</t>
        </is>
      </c>
      <c r="AJ29" s="147" t="inlineStr">
        <is>
          <t>GPU Tray #11</t>
        </is>
      </c>
      <c r="AK29" s="147" t="inlineStr">
        <is>
          <t>GPU Tray #11</t>
        </is>
      </c>
      <c r="AL29" s="147" t="inlineStr">
        <is>
          <t>GPU Tray #11</t>
        </is>
      </c>
      <c r="AM29" s="147" t="inlineStr">
        <is>
          <t>GPU Tray #11</t>
        </is>
      </c>
      <c r="AN29" s="131" t="n">
        <v>31</v>
      </c>
      <c r="AO29" s="205" t="n"/>
      <c r="AP29" s="217" t="n"/>
      <c r="AQ29" s="132" t="n">
        <v>31</v>
      </c>
      <c r="AR29" s="207" t="n"/>
      <c r="AS29" s="217" t="n"/>
      <c r="AT29" s="131" t="n">
        <v>31</v>
      </c>
      <c r="AU29" s="199" t="inlineStr">
        <is>
          <t>SN5610 N-S Spine #2</t>
        </is>
      </c>
      <c r="AV29" s="116" t="n"/>
    </row>
    <row r="30">
      <c r="AI30" s="130" t="inlineStr">
        <is>
          <t>30 RU</t>
        </is>
      </c>
      <c r="AJ30" s="147" t="inlineStr">
        <is>
          <t>GPU Tray #10</t>
        </is>
      </c>
      <c r="AK30" s="147" t="inlineStr">
        <is>
          <t>GPU Tray #10</t>
        </is>
      </c>
      <c r="AL30" s="147" t="inlineStr">
        <is>
          <t>GPU Tray #10</t>
        </is>
      </c>
      <c r="AM30" s="147" t="inlineStr">
        <is>
          <t>GPU Tray #10</t>
        </is>
      </c>
      <c r="AN30" s="131" t="n">
        <v>30</v>
      </c>
      <c r="AO30" s="138" t="inlineStr">
        <is>
          <t> </t>
        </is>
      </c>
      <c r="AP30" s="217" t="n"/>
      <c r="AQ30" s="132" t="n">
        <v>30</v>
      </c>
      <c r="AR30" s="133" t="inlineStr">
        <is>
          <t> </t>
        </is>
      </c>
      <c r="AS30" s="217" t="n"/>
      <c r="AT30" s="131" t="n">
        <v>30</v>
      </c>
      <c r="AU30" s="200" t="n"/>
      <c r="AV30" s="116" t="n"/>
    </row>
    <row r="31">
      <c r="AI31" s="130" t="inlineStr">
        <is>
          <t>29 RU</t>
        </is>
      </c>
      <c r="AJ31" s="147" t="inlineStr">
        <is>
          <t>GPU Tray #9</t>
        </is>
      </c>
      <c r="AK31" s="147" t="inlineStr">
        <is>
          <t>GPU Tray #9</t>
        </is>
      </c>
      <c r="AL31" s="147" t="inlineStr">
        <is>
          <t>GPU Tray #9</t>
        </is>
      </c>
      <c r="AM31" s="147" t="inlineStr">
        <is>
          <t>GPU Tray #9</t>
        </is>
      </c>
      <c r="AN31" s="131" t="n">
        <v>29</v>
      </c>
      <c r="AO31" s="212" t="inlineStr">
        <is>
          <t>E-W Spine#2  SN6600-LD Plane 3 &amp; 4</t>
        </is>
      </c>
      <c r="AP31" s="217" t="n"/>
      <c r="AQ31" s="132" t="n">
        <v>29</v>
      </c>
      <c r="AR31" s="208" t="inlineStr">
        <is>
          <t>E-W Spine#2  SN6600-LD Plane 7 &amp; 8</t>
        </is>
      </c>
      <c r="AS31" s="217" t="n"/>
      <c r="AT31" s="131" t="n">
        <v>29</v>
      </c>
      <c r="AU31" s="138" t="inlineStr">
        <is>
          <t> </t>
        </is>
      </c>
      <c r="AV31" s="116" t="n"/>
    </row>
    <row r="32">
      <c r="AI32" s="130" t="inlineStr">
        <is>
          <t>28 RU</t>
        </is>
      </c>
      <c r="AJ32" s="149" t="inlineStr">
        <is>
          <t>SW Tray-9</t>
        </is>
      </c>
      <c r="AK32" s="149" t="inlineStr">
        <is>
          <t>SW Tray-9</t>
        </is>
      </c>
      <c r="AL32" s="149" t="inlineStr">
        <is>
          <t>SW Tray-9</t>
        </is>
      </c>
      <c r="AM32" s="149" t="inlineStr">
        <is>
          <t>SW Tray-9</t>
        </is>
      </c>
      <c r="AN32" s="131" t="n">
        <v>28</v>
      </c>
      <c r="AO32" s="205" t="n"/>
      <c r="AP32" s="217" t="n"/>
      <c r="AQ32" s="132" t="n">
        <v>28</v>
      </c>
      <c r="AR32" s="207" t="n"/>
      <c r="AS32" s="217" t="n"/>
      <c r="AT32" s="131" t="n">
        <v>28</v>
      </c>
      <c r="AU32" s="148" t="inlineStr">
        <is>
          <t> </t>
        </is>
      </c>
      <c r="AV32" s="116" t="n"/>
    </row>
    <row r="33">
      <c r="AI33" s="130" t="inlineStr">
        <is>
          <t>27 RU</t>
        </is>
      </c>
      <c r="AJ33" s="149" t="inlineStr">
        <is>
          <t>SW Tray-8</t>
        </is>
      </c>
      <c r="AK33" s="149" t="inlineStr">
        <is>
          <t>SW Tray-8</t>
        </is>
      </c>
      <c r="AL33" s="149" t="inlineStr">
        <is>
          <t>SW Tray-8</t>
        </is>
      </c>
      <c r="AM33" s="149" t="inlineStr">
        <is>
          <t>SW Tray-8</t>
        </is>
      </c>
      <c r="AN33" s="131" t="n">
        <v>27</v>
      </c>
      <c r="AO33" s="212" t="inlineStr">
        <is>
          <t>E-W Spine#1  SN6600-LD Plane 3 &amp; 4</t>
        </is>
      </c>
      <c r="AP33" s="217" t="n"/>
      <c r="AQ33" s="132" t="n">
        <v>27</v>
      </c>
      <c r="AR33" s="208" t="inlineStr">
        <is>
          <t>E-W Spine#1  SN6600-LD Plane 7 &amp; 8</t>
        </is>
      </c>
      <c r="AS33" s="217" t="n"/>
      <c r="AT33" s="131" t="n">
        <v>27</v>
      </c>
      <c r="AU33" s="199" t="inlineStr">
        <is>
          <t>SN5610 N-S Spine #1</t>
        </is>
      </c>
      <c r="AV33" s="116" t="n"/>
    </row>
    <row r="34">
      <c r="AI34" s="130" t="inlineStr">
        <is>
          <t>26 RU</t>
        </is>
      </c>
      <c r="AJ34" s="149" t="inlineStr">
        <is>
          <t>SW Tray-7</t>
        </is>
      </c>
      <c r="AK34" s="149" t="inlineStr">
        <is>
          <t>SW Tray-7</t>
        </is>
      </c>
      <c r="AL34" s="149" t="inlineStr">
        <is>
          <t>SW Tray-7</t>
        </is>
      </c>
      <c r="AM34" s="149" t="inlineStr">
        <is>
          <t>SW Tray-7</t>
        </is>
      </c>
      <c r="AN34" s="131" t="n">
        <v>26</v>
      </c>
      <c r="AO34" s="205" t="n"/>
      <c r="AP34" s="217" t="n"/>
      <c r="AQ34" s="132" t="n">
        <v>26</v>
      </c>
      <c r="AR34" s="207" t="n"/>
      <c r="AS34" s="217" t="n"/>
      <c r="AT34" s="131" t="n">
        <v>26</v>
      </c>
      <c r="AU34" s="200" t="n"/>
      <c r="AV34" s="116" t="n"/>
    </row>
    <row r="35">
      <c r="AI35" s="130" t="inlineStr">
        <is>
          <t>25 RU</t>
        </is>
      </c>
      <c r="AJ35" s="149" t="inlineStr">
        <is>
          <t>SW Tray-6</t>
        </is>
      </c>
      <c r="AK35" s="149" t="inlineStr">
        <is>
          <t>SW Tray-6</t>
        </is>
      </c>
      <c r="AL35" s="149" t="inlineStr">
        <is>
          <t>SW Tray-6</t>
        </is>
      </c>
      <c r="AM35" s="149" t="inlineStr">
        <is>
          <t>SW Tray-6</t>
        </is>
      </c>
      <c r="AN35" s="131" t="n">
        <v>25</v>
      </c>
      <c r="AO35" s="150" t="inlineStr">
        <is>
          <t> </t>
        </is>
      </c>
      <c r="AP35" s="217" t="n"/>
      <c r="AQ35" s="132" t="n">
        <v>25</v>
      </c>
      <c r="AR35" s="137" t="inlineStr">
        <is>
          <t> </t>
        </is>
      </c>
      <c r="AS35" s="217" t="n"/>
      <c r="AT35" s="131" t="n">
        <v>25</v>
      </c>
      <c r="AU35" s="148" t="inlineStr">
        <is>
          <t> </t>
        </is>
      </c>
      <c r="AV35" s="116" t="n"/>
    </row>
    <row r="36">
      <c r="AI36" s="130" t="inlineStr">
        <is>
          <t>24 RU</t>
        </is>
      </c>
      <c r="AJ36" s="149" t="inlineStr">
        <is>
          <t>SW Tray-5</t>
        </is>
      </c>
      <c r="AK36" s="149" t="inlineStr">
        <is>
          <t>SW Tray-5</t>
        </is>
      </c>
      <c r="AL36" s="149" t="inlineStr">
        <is>
          <t>SW Tray-5</t>
        </is>
      </c>
      <c r="AM36" s="149" t="inlineStr">
        <is>
          <t>SW Tray-5</t>
        </is>
      </c>
      <c r="AN36" s="131" t="n">
        <v>24</v>
      </c>
      <c r="AO36" s="150" t="inlineStr">
        <is>
          <t> </t>
        </is>
      </c>
      <c r="AP36" s="217" t="n"/>
      <c r="AQ36" s="132" t="n">
        <v>24</v>
      </c>
      <c r="AR36" s="137" t="inlineStr">
        <is>
          <t> </t>
        </is>
      </c>
      <c r="AS36" s="217" t="n"/>
      <c r="AT36" s="131" t="n">
        <v>24</v>
      </c>
      <c r="AU36" s="138" t="inlineStr">
        <is>
          <t> </t>
        </is>
      </c>
      <c r="AV36" s="116" t="n"/>
    </row>
    <row r="37">
      <c r="AI37" s="130" t="inlineStr">
        <is>
          <t>23 RU</t>
        </is>
      </c>
      <c r="AJ37" s="149" t="inlineStr">
        <is>
          <t>SW Tray-4</t>
        </is>
      </c>
      <c r="AK37" s="149" t="inlineStr">
        <is>
          <t>SW Tray-4</t>
        </is>
      </c>
      <c r="AL37" s="149" t="inlineStr">
        <is>
          <t>SW Tray-4</t>
        </is>
      </c>
      <c r="AM37" s="149" t="inlineStr">
        <is>
          <t>SW Tray-4</t>
        </is>
      </c>
      <c r="AN37" s="131" t="n">
        <v>23</v>
      </c>
      <c r="AO37" s="116" t="n"/>
      <c r="AP37" s="217" t="n"/>
      <c r="AQ37" s="132" t="n">
        <v>23</v>
      </c>
      <c r="AR37" s="137" t="inlineStr">
        <is>
          <t> </t>
        </is>
      </c>
      <c r="AS37" s="217" t="n"/>
      <c r="AT37" s="131" t="n">
        <v>23</v>
      </c>
      <c r="AU37" s="138" t="inlineStr">
        <is>
          <t> </t>
        </is>
      </c>
      <c r="AV37" s="116" t="n"/>
    </row>
    <row r="38">
      <c r="AI38" s="130" t="inlineStr">
        <is>
          <t>22 RU</t>
        </is>
      </c>
      <c r="AJ38" s="149" t="inlineStr">
        <is>
          <t>SW Tray-3</t>
        </is>
      </c>
      <c r="AK38" s="149" t="inlineStr">
        <is>
          <t>SW Tray-3</t>
        </is>
      </c>
      <c r="AL38" s="149" t="inlineStr">
        <is>
          <t>SW Tray-3</t>
        </is>
      </c>
      <c r="AM38" s="149" t="inlineStr">
        <is>
          <t>SW Tray-3</t>
        </is>
      </c>
      <c r="AN38" s="131" t="n">
        <v>22</v>
      </c>
      <c r="AO38" s="116" t="n"/>
      <c r="AP38" s="217" t="n"/>
      <c r="AQ38" s="132" t="n">
        <v>22</v>
      </c>
      <c r="AR38" s="137" t="inlineStr">
        <is>
          <t> </t>
        </is>
      </c>
      <c r="AS38" s="217" t="n"/>
      <c r="AT38" s="131" t="n">
        <v>22</v>
      </c>
      <c r="AU38" s="138" t="inlineStr">
        <is>
          <t> </t>
        </is>
      </c>
      <c r="AV38" s="116" t="n"/>
    </row>
    <row r="39">
      <c r="AI39" s="130" t="inlineStr">
        <is>
          <t>21 RU</t>
        </is>
      </c>
      <c r="AJ39" s="149" t="inlineStr">
        <is>
          <t>SW Tray-2</t>
        </is>
      </c>
      <c r="AK39" s="149" t="inlineStr">
        <is>
          <t>SW Tray-2</t>
        </is>
      </c>
      <c r="AL39" s="149" t="inlineStr">
        <is>
          <t>SW Tray-2</t>
        </is>
      </c>
      <c r="AM39" s="149" t="inlineStr">
        <is>
          <t>SW Tray-2</t>
        </is>
      </c>
      <c r="AN39" s="131" t="n">
        <v>21</v>
      </c>
      <c r="AO39" s="221" t="inlineStr">
        <is>
          <t>36 4x4Shuffle [6 blade]</t>
        </is>
      </c>
      <c r="AP39" s="217" t="n"/>
      <c r="AQ39" s="132" t="n">
        <v>21</v>
      </c>
      <c r="AR39" s="221" t="inlineStr">
        <is>
          <t>36 4x4Shuffle [6 blade]</t>
        </is>
      </c>
      <c r="AS39" s="217" t="n"/>
      <c r="AT39" s="131" t="n">
        <v>21</v>
      </c>
      <c r="AU39" s="138" t="inlineStr">
        <is>
          <t> </t>
        </is>
      </c>
      <c r="AV39" s="116" t="n"/>
    </row>
    <row r="40">
      <c r="AI40" s="130" t="inlineStr">
        <is>
          <t>20 RU</t>
        </is>
      </c>
      <c r="AJ40" s="149" t="inlineStr">
        <is>
          <t>SW Tray-1</t>
        </is>
      </c>
      <c r="AK40" s="149" t="inlineStr">
        <is>
          <t>SW Tray-1</t>
        </is>
      </c>
      <c r="AL40" s="149" t="inlineStr">
        <is>
          <t>SW Tray-1</t>
        </is>
      </c>
      <c r="AM40" s="149" t="inlineStr">
        <is>
          <t>SW Tray-1</t>
        </is>
      </c>
      <c r="AN40" s="131" t="n">
        <v>20</v>
      </c>
      <c r="AO40" s="205" t="n"/>
      <c r="AP40" s="217" t="n"/>
      <c r="AQ40" s="132" t="n">
        <v>20</v>
      </c>
      <c r="AR40" s="205" t="n"/>
      <c r="AS40" s="217" t="n"/>
      <c r="AT40" s="131" t="n">
        <v>20</v>
      </c>
      <c r="AU40" s="138" t="inlineStr">
        <is>
          <t> </t>
        </is>
      </c>
      <c r="AV40" s="116" t="n"/>
    </row>
    <row r="41">
      <c r="AI41" s="130" t="inlineStr">
        <is>
          <t>19 RU</t>
        </is>
      </c>
      <c r="AJ41" s="147" t="inlineStr">
        <is>
          <t>GPU Tray #8</t>
        </is>
      </c>
      <c r="AK41" s="147" t="inlineStr">
        <is>
          <t>GPU Tray #8</t>
        </is>
      </c>
      <c r="AL41" s="147" t="inlineStr">
        <is>
          <t>GPU Tray #8</t>
        </is>
      </c>
      <c r="AM41" s="147" t="inlineStr">
        <is>
          <t>GPU Tray #8</t>
        </is>
      </c>
      <c r="AN41" s="131" t="n">
        <v>19</v>
      </c>
      <c r="AO41" s="138" t="inlineStr">
        <is>
          <t> </t>
        </is>
      </c>
      <c r="AP41" s="217" t="n"/>
      <c r="AQ41" s="132" t="n">
        <v>19</v>
      </c>
      <c r="AR41" s="133" t="inlineStr">
        <is>
          <t> </t>
        </is>
      </c>
      <c r="AS41" s="217" t="n"/>
      <c r="AT41" s="131" t="n">
        <v>19</v>
      </c>
      <c r="AU41" s="138" t="inlineStr">
        <is>
          <t> </t>
        </is>
      </c>
      <c r="AV41" s="116" t="n"/>
    </row>
    <row r="42">
      <c r="AI42" s="130" t="inlineStr">
        <is>
          <t>18 RU</t>
        </is>
      </c>
      <c r="AJ42" s="147" t="inlineStr">
        <is>
          <t>GPU Tray #7</t>
        </is>
      </c>
      <c r="AK42" s="147" t="inlineStr">
        <is>
          <t>GPU Tray #7</t>
        </is>
      </c>
      <c r="AL42" s="147" t="inlineStr">
        <is>
          <t>GPU Tray #7</t>
        </is>
      </c>
      <c r="AM42" s="147" t="inlineStr">
        <is>
          <t>GPU Tray #7</t>
        </is>
      </c>
      <c r="AN42" s="131" t="n">
        <v>18</v>
      </c>
      <c r="AO42" s="219" t="inlineStr">
        <is>
          <t>E-W Leaf #1 (GPU4) SN6600-LD Plane1 &amp; 2</t>
        </is>
      </c>
      <c r="AP42" s="217" t="n"/>
      <c r="AQ42" s="132" t="n">
        <v>18</v>
      </c>
      <c r="AR42" s="210" t="inlineStr">
        <is>
          <t>E-W Leaf #1 (GPU4) SN6600-LD Plane 5&amp; 6</t>
        </is>
      </c>
      <c r="AS42" s="217" t="n"/>
      <c r="AT42" s="131" t="n">
        <v>18</v>
      </c>
      <c r="AU42" s="138" t="inlineStr">
        <is>
          <t> </t>
        </is>
      </c>
      <c r="AV42" s="116" t="n"/>
    </row>
    <row r="43">
      <c r="AI43" s="130" t="inlineStr">
        <is>
          <t>17 RU</t>
        </is>
      </c>
      <c r="AJ43" s="147" t="inlineStr">
        <is>
          <t>GPU Tray #6</t>
        </is>
      </c>
      <c r="AK43" s="147" t="inlineStr">
        <is>
          <t>GPU Tray #6</t>
        </is>
      </c>
      <c r="AL43" s="147" t="inlineStr">
        <is>
          <t>GPU Tray #6</t>
        </is>
      </c>
      <c r="AM43" s="147" t="inlineStr">
        <is>
          <t>GPU Tray #6</t>
        </is>
      </c>
      <c r="AN43" s="131" t="n">
        <v>17</v>
      </c>
      <c r="AO43" s="197" t="n"/>
      <c r="AP43" s="217" t="n"/>
      <c r="AQ43" s="132" t="n">
        <v>17</v>
      </c>
      <c r="AR43" s="211" t="n"/>
      <c r="AS43" s="217" t="n"/>
      <c r="AT43" s="131" t="n">
        <v>17</v>
      </c>
      <c r="AU43" s="138" t="inlineStr">
        <is>
          <t> </t>
        </is>
      </c>
      <c r="AV43" s="116" t="n"/>
    </row>
    <row r="44">
      <c r="AI44" s="130" t="inlineStr">
        <is>
          <t>16 RU</t>
        </is>
      </c>
      <c r="AJ44" s="147" t="inlineStr">
        <is>
          <t>GPU Tray #5</t>
        </is>
      </c>
      <c r="AK44" s="147" t="inlineStr">
        <is>
          <t>GPU Tray #5</t>
        </is>
      </c>
      <c r="AL44" s="147" t="inlineStr">
        <is>
          <t>GPU Tray #5</t>
        </is>
      </c>
      <c r="AM44" s="147" t="inlineStr">
        <is>
          <t>GPU Tray #5</t>
        </is>
      </c>
      <c r="AN44" s="131" t="n">
        <v>16</v>
      </c>
      <c r="AO44" s="196" t="inlineStr">
        <is>
          <t>E-W Leaf #1 (GPU3) SN6600-LD Plane1 &amp; 2</t>
        </is>
      </c>
      <c r="AP44" s="217" t="n"/>
      <c r="AQ44" s="132" t="n">
        <v>16</v>
      </c>
      <c r="AR44" s="201" t="inlineStr">
        <is>
          <t>E-W Leaf #1 (GPU3) SN6600-LD Plane 5&amp;6</t>
        </is>
      </c>
      <c r="AS44" s="217" t="n"/>
      <c r="AT44" s="131" t="n">
        <v>16</v>
      </c>
      <c r="AU44" s="138" t="inlineStr">
        <is>
          <t> </t>
        </is>
      </c>
      <c r="AV44" s="116" t="n"/>
    </row>
    <row r="45">
      <c r="AI45" s="130" t="inlineStr">
        <is>
          <t>15 RU</t>
        </is>
      </c>
      <c r="AJ45" s="147" t="inlineStr">
        <is>
          <t>GPU Tray #4</t>
        </is>
      </c>
      <c r="AK45" s="147" t="inlineStr">
        <is>
          <t>GPU Tray #4</t>
        </is>
      </c>
      <c r="AL45" s="147" t="inlineStr">
        <is>
          <t>GPU Tray #4</t>
        </is>
      </c>
      <c r="AM45" s="147" t="inlineStr">
        <is>
          <t>GPU Tray #4</t>
        </is>
      </c>
      <c r="AN45" s="131" t="n">
        <v>15</v>
      </c>
      <c r="AO45" s="197" t="n"/>
      <c r="AP45" s="217" t="n"/>
      <c r="AQ45" s="132" t="n">
        <v>15</v>
      </c>
      <c r="AR45" s="202" t="n"/>
      <c r="AS45" s="217" t="n"/>
      <c r="AT45" s="131" t="n">
        <v>15</v>
      </c>
      <c r="AU45" s="138" t="inlineStr">
        <is>
          <t> </t>
        </is>
      </c>
      <c r="AV45" s="116" t="n"/>
    </row>
    <row r="46">
      <c r="AI46" s="130" t="inlineStr">
        <is>
          <t>14 RU</t>
        </is>
      </c>
      <c r="AJ46" s="147" t="inlineStr">
        <is>
          <t>GPU Tray #3</t>
        </is>
      </c>
      <c r="AK46" s="147" t="inlineStr">
        <is>
          <t>GPU Tray #3</t>
        </is>
      </c>
      <c r="AL46" s="147" t="inlineStr">
        <is>
          <t>GPU Tray #3</t>
        </is>
      </c>
      <c r="AM46" s="147" t="inlineStr">
        <is>
          <t>GPU Tray #3</t>
        </is>
      </c>
      <c r="AN46" s="131" t="n">
        <v>14</v>
      </c>
      <c r="AO46" s="196" t="inlineStr">
        <is>
          <t>E-W Leaf #1 (GPU2) SN6600-LD Plane1 &amp; 2</t>
        </is>
      </c>
      <c r="AP46" s="217" t="n"/>
      <c r="AQ46" s="132" t="n">
        <v>14</v>
      </c>
      <c r="AR46" s="201" t="inlineStr">
        <is>
          <t>E-W Leaf #1 (GPU2) SN6600-LD Plane5&amp;6</t>
        </is>
      </c>
      <c r="AS46" s="217" t="n"/>
      <c r="AT46" s="131" t="n">
        <v>14</v>
      </c>
      <c r="AU46" s="138" t="inlineStr">
        <is>
          <t> </t>
        </is>
      </c>
      <c r="AV46" s="116" t="n"/>
    </row>
    <row r="47">
      <c r="AI47" s="130" t="inlineStr">
        <is>
          <t>13 RU</t>
        </is>
      </c>
      <c r="AJ47" s="147" t="inlineStr">
        <is>
          <t>GPU Tray #2</t>
        </is>
      </c>
      <c r="AK47" s="147" t="inlineStr">
        <is>
          <t>GPU Tray #2</t>
        </is>
      </c>
      <c r="AL47" s="147" t="inlineStr">
        <is>
          <t>GPU Tray #2</t>
        </is>
      </c>
      <c r="AM47" s="147" t="inlineStr">
        <is>
          <t>GPU Tray #2</t>
        </is>
      </c>
      <c r="AN47" s="131" t="n">
        <v>13</v>
      </c>
      <c r="AO47" s="197" t="n"/>
      <c r="AP47" s="217" t="n"/>
      <c r="AQ47" s="132" t="n">
        <v>13</v>
      </c>
      <c r="AR47" s="202" t="n"/>
      <c r="AS47" s="217" t="n"/>
      <c r="AT47" s="131" t="n">
        <v>13</v>
      </c>
      <c r="AU47" s="209" t="inlineStr">
        <is>
          <t>SN5610 N-S Leaf #2</t>
        </is>
      </c>
      <c r="AV47" s="116" t="n"/>
    </row>
    <row r="48">
      <c r="AI48" s="130" t="inlineStr">
        <is>
          <t>12 RU</t>
        </is>
      </c>
      <c r="AJ48" s="147" t="inlineStr">
        <is>
          <t>GPU Tray #1</t>
        </is>
      </c>
      <c r="AK48" s="147" t="inlineStr">
        <is>
          <t>GPU Tray #1</t>
        </is>
      </c>
      <c r="AL48" s="147" t="inlineStr">
        <is>
          <t>GPU Tray #1</t>
        </is>
      </c>
      <c r="AM48" s="147" t="inlineStr">
        <is>
          <t>GPU Tray #1</t>
        </is>
      </c>
      <c r="AN48" s="131" t="n">
        <v>12</v>
      </c>
      <c r="AO48" s="224" t="inlineStr">
        <is>
          <t>E-W Leaf #1 (GPU1) SN6600-LD Plane1 &amp; 2</t>
        </is>
      </c>
      <c r="AP48" s="217" t="n"/>
      <c r="AQ48" s="132" t="n">
        <v>12</v>
      </c>
      <c r="AR48" s="222" t="inlineStr">
        <is>
          <t>E-W Leaf #1 (GPU1) SN6600-LD Plane5&amp;6</t>
        </is>
      </c>
      <c r="AS48" s="217" t="n"/>
      <c r="AT48" s="131" t="n">
        <v>12</v>
      </c>
      <c r="AU48" s="200" t="n"/>
      <c r="AV48" s="116" t="n"/>
    </row>
    <row r="49">
      <c r="AI49" s="130" t="inlineStr">
        <is>
          <t>11 RU</t>
        </is>
      </c>
      <c r="AJ49" s="151" t="inlineStr">
        <is>
          <t>Cross-Brace &amp; Drip Pan</t>
        </is>
      </c>
      <c r="AK49" s="151" t="inlineStr">
        <is>
          <t>Cross-Brace &amp; Drip Pan</t>
        </is>
      </c>
      <c r="AL49" s="151" t="inlineStr">
        <is>
          <t>Cross-Brace &amp; Drip Pan</t>
        </is>
      </c>
      <c r="AM49" s="151" t="inlineStr">
        <is>
          <t>Cross-Brace &amp; Drip Pan</t>
        </is>
      </c>
      <c r="AN49" s="131" t="n">
        <v>11</v>
      </c>
      <c r="AO49" s="205" t="n"/>
      <c r="AP49" s="217" t="n"/>
      <c r="AQ49" s="132" t="n">
        <v>11</v>
      </c>
      <c r="AR49" s="215" t="n"/>
      <c r="AS49" s="217" t="n"/>
      <c r="AT49" s="131" t="n">
        <v>11</v>
      </c>
      <c r="AU49" s="138" t="inlineStr">
        <is>
          <t> </t>
        </is>
      </c>
      <c r="AV49" s="116" t="n"/>
    </row>
    <row r="50">
      <c r="AI50" s="130" t="inlineStr">
        <is>
          <t>10 RU</t>
        </is>
      </c>
      <c r="AJ50" s="203" t="inlineStr">
        <is>
          <t>3RU POWER SHELF</t>
        </is>
      </c>
      <c r="AK50" s="203" t="inlineStr">
        <is>
          <t>3RU POWER SHELF</t>
        </is>
      </c>
      <c r="AL50" s="213" t="inlineStr">
        <is>
          <t>3RU POWER SHELF</t>
        </is>
      </c>
      <c r="AM50" s="213" t="inlineStr">
        <is>
          <t>3RU POWER SHELF</t>
        </is>
      </c>
      <c r="AN50" s="131" t="n">
        <v>10</v>
      </c>
      <c r="AO50" s="145" t="inlineStr">
        <is>
          <t>Cross-Brace &amp; Drip Pan</t>
        </is>
      </c>
      <c r="AP50" s="217" t="n"/>
      <c r="AQ50" s="132" t="n">
        <v>10</v>
      </c>
      <c r="AR50" s="146" t="inlineStr">
        <is>
          <t>Cross-Brace &amp; Drip Pan</t>
        </is>
      </c>
      <c r="AS50" s="217" t="n"/>
      <c r="AT50" s="131" t="n">
        <v>10</v>
      </c>
      <c r="AU50" s="209" t="inlineStr">
        <is>
          <t>SN5610 N-S Leaf #1</t>
        </is>
      </c>
      <c r="AV50" s="116" t="n"/>
    </row>
    <row r="51">
      <c r="AI51" s="130" t="inlineStr">
        <is>
          <t>9 RU</t>
        </is>
      </c>
      <c r="AJ51" s="191" t="n"/>
      <c r="AK51" s="191" t="n"/>
      <c r="AL51" s="194" t="n"/>
      <c r="AM51" s="194" t="n"/>
      <c r="AN51" s="131" t="n">
        <v>9</v>
      </c>
      <c r="AO51" s="190" t="inlineStr">
        <is>
          <t>1RU POWER SHELF</t>
        </is>
      </c>
      <c r="AP51" s="217" t="n"/>
      <c r="AQ51" s="132" t="n">
        <v>9</v>
      </c>
      <c r="AR51" s="152" t="inlineStr">
        <is>
          <t>1RU POWER SHELF</t>
        </is>
      </c>
      <c r="AS51" s="217" t="n"/>
      <c r="AT51" s="131" t="n">
        <v>9</v>
      </c>
      <c r="AU51" s="200" t="n"/>
      <c r="AV51" s="116" t="n"/>
    </row>
    <row r="52">
      <c r="AI52" s="130" t="inlineStr">
        <is>
          <t>8 RU</t>
        </is>
      </c>
      <c r="AJ52" s="192" t="n"/>
      <c r="AK52" s="192" t="n"/>
      <c r="AL52" s="195" t="n"/>
      <c r="AM52" s="195" t="n"/>
      <c r="AN52" s="131" t="n">
        <v>8</v>
      </c>
      <c r="AO52" s="116" t="n"/>
      <c r="AP52" s="217" t="n"/>
      <c r="AQ52" s="132" t="n">
        <v>8</v>
      </c>
      <c r="AR52" s="137" t="inlineStr">
        <is>
          <t> </t>
        </is>
      </c>
      <c r="AS52" s="217" t="n"/>
      <c r="AT52" s="131" t="n">
        <v>8</v>
      </c>
      <c r="AU52" s="138" t="inlineStr">
        <is>
          <t> </t>
        </is>
      </c>
      <c r="AV52" s="116" t="n"/>
    </row>
    <row r="53">
      <c r="AI53" s="130" t="inlineStr">
        <is>
          <t>7 RU</t>
        </is>
      </c>
      <c r="AJ53" s="190" t="inlineStr">
        <is>
          <t>3RU POWER SHELF</t>
        </is>
      </c>
      <c r="AK53" s="190" t="inlineStr">
        <is>
          <t>3RU POWER SHELF</t>
        </is>
      </c>
      <c r="AL53" s="193" t="inlineStr">
        <is>
          <t>3RU POWER SHELF</t>
        </is>
      </c>
      <c r="AM53" s="193" t="inlineStr">
        <is>
          <t>3RU POWER SHELF</t>
        </is>
      </c>
      <c r="AN53" s="131" t="n">
        <v>7</v>
      </c>
      <c r="AO53" s="223" t="inlineStr">
        <is>
          <t>E-W Spine#2  SN6600-LD Plane 1 &amp; 2</t>
        </is>
      </c>
      <c r="AP53" s="217" t="n"/>
      <c r="AQ53" s="132" t="n">
        <v>7</v>
      </c>
      <c r="AR53" s="214" t="inlineStr">
        <is>
          <t>E-W Spine#2  SN6600-LD 5 &amp; 6</t>
        </is>
      </c>
      <c r="AS53" s="217" t="n"/>
      <c r="AT53" s="131" t="n">
        <v>7</v>
      </c>
      <c r="AU53" s="138" t="inlineStr">
        <is>
          <t> </t>
        </is>
      </c>
      <c r="AV53" s="116" t="n"/>
    </row>
    <row r="54">
      <c r="AI54" s="130" t="inlineStr">
        <is>
          <t>6 RU</t>
        </is>
      </c>
      <c r="AJ54" s="191" t="n"/>
      <c r="AK54" s="191" t="n"/>
      <c r="AL54" s="194" t="n"/>
      <c r="AM54" s="194" t="n"/>
      <c r="AN54" s="131" t="n">
        <v>6</v>
      </c>
      <c r="AO54" s="205" t="n"/>
      <c r="AP54" s="217" t="n"/>
      <c r="AQ54" s="132" t="n">
        <v>6</v>
      </c>
      <c r="AR54" s="215" t="n"/>
      <c r="AS54" s="217" t="n"/>
      <c r="AT54" s="131" t="n">
        <v>6</v>
      </c>
      <c r="AU54" s="138" t="inlineStr">
        <is>
          <t> </t>
        </is>
      </c>
      <c r="AV54" s="116" t="n"/>
    </row>
    <row r="55">
      <c r="AI55" s="130" t="inlineStr">
        <is>
          <t>5 RU</t>
        </is>
      </c>
      <c r="AJ55" s="192" t="n"/>
      <c r="AK55" s="192" t="n"/>
      <c r="AL55" s="195" t="n"/>
      <c r="AM55" s="195" t="n"/>
      <c r="AN55" s="131" t="n">
        <v>5</v>
      </c>
      <c r="AO55" s="212" t="inlineStr">
        <is>
          <t>E-W Spine#1  SN6600-LD Plane 1&amp; 2</t>
        </is>
      </c>
      <c r="AP55" s="217" t="n"/>
      <c r="AQ55" s="132" t="n">
        <v>5</v>
      </c>
      <c r="AR55" s="208" t="inlineStr">
        <is>
          <t>E-W Spine#1  SN6600-LD 5 &amp; 6</t>
        </is>
      </c>
      <c r="AS55" s="217" t="n"/>
      <c r="AT55" s="131" t="n">
        <v>5</v>
      </c>
      <c r="AU55" s="138" t="inlineStr">
        <is>
          <t> </t>
        </is>
      </c>
      <c r="AV55" s="116" t="n"/>
    </row>
    <row r="56">
      <c r="AI56" s="130" t="inlineStr">
        <is>
          <t>4 RU</t>
        </is>
      </c>
      <c r="AJ56" s="198" t="inlineStr">
        <is>
          <t>blank</t>
        </is>
      </c>
      <c r="AK56" s="198" t="inlineStr">
        <is>
          <t>blank</t>
        </is>
      </c>
      <c r="AL56" s="220" t="inlineStr">
        <is>
          <t>blank</t>
        </is>
      </c>
      <c r="AM56" s="220" t="inlineStr">
        <is>
          <t>blank</t>
        </is>
      </c>
      <c r="AN56" s="131" t="n">
        <v>4</v>
      </c>
      <c r="AO56" s="205" t="n"/>
      <c r="AP56" s="217" t="n"/>
      <c r="AQ56" s="132" t="n">
        <v>4</v>
      </c>
      <c r="AR56" s="207" t="n"/>
      <c r="AS56" s="217" t="n"/>
      <c r="AT56" s="131" t="n">
        <v>4</v>
      </c>
      <c r="AU56" s="138" t="inlineStr">
        <is>
          <t> </t>
        </is>
      </c>
      <c r="AV56" s="116" t="n"/>
    </row>
    <row r="57">
      <c r="AI57" s="130" t="inlineStr">
        <is>
          <t>3 RU</t>
        </is>
      </c>
      <c r="AJ57" s="191" t="n"/>
      <c r="AK57" s="191" t="n"/>
      <c r="AL57" s="194" t="n"/>
      <c r="AM57" s="194" t="n"/>
      <c r="AN57" s="131" t="n">
        <v>3</v>
      </c>
      <c r="AO57" s="138" t="inlineStr">
        <is>
          <t> </t>
        </is>
      </c>
      <c r="AP57" s="217" t="n"/>
      <c r="AQ57" s="132" t="n">
        <v>3</v>
      </c>
      <c r="AR57" s="133" t="inlineStr">
        <is>
          <t> </t>
        </is>
      </c>
      <c r="AS57" s="217" t="n"/>
      <c r="AT57" s="131" t="n">
        <v>3</v>
      </c>
      <c r="AU57" s="138" t="inlineStr">
        <is>
          <t> </t>
        </is>
      </c>
      <c r="AV57" s="116" t="n"/>
    </row>
    <row r="58">
      <c r="AI58" s="130" t="inlineStr">
        <is>
          <t>2 RU</t>
        </is>
      </c>
      <c r="AJ58" s="191" t="n"/>
      <c r="AK58" s="191" t="n"/>
      <c r="AL58" s="194" t="n"/>
      <c r="AM58" s="194" t="n"/>
      <c r="AN58" s="131" t="n">
        <v>2</v>
      </c>
      <c r="AO58" s="138" t="inlineStr">
        <is>
          <t> </t>
        </is>
      </c>
      <c r="AP58" s="217" t="n"/>
      <c r="AQ58" s="132" t="n">
        <v>2</v>
      </c>
      <c r="AR58" s="133" t="inlineStr">
        <is>
          <t> </t>
        </is>
      </c>
      <c r="AS58" s="217" t="n"/>
      <c r="AT58" s="131" t="n">
        <v>2</v>
      </c>
      <c r="AU58" s="138" t="inlineStr">
        <is>
          <t> </t>
        </is>
      </c>
      <c r="AV58" s="116" t="n"/>
    </row>
    <row r="59">
      <c r="AI59" s="153" t="inlineStr">
        <is>
          <t>1 RU</t>
        </is>
      </c>
      <c r="AJ59" s="192" t="n"/>
      <c r="AK59" s="192" t="n"/>
      <c r="AL59" s="195" t="n"/>
      <c r="AM59" s="195" t="n"/>
      <c r="AN59" s="154" t="n">
        <v>1</v>
      </c>
      <c r="AO59" s="138" t="inlineStr">
        <is>
          <t> </t>
        </is>
      </c>
      <c r="AP59" s="218" t="n"/>
      <c r="AQ59" s="155" t="n">
        <v>1</v>
      </c>
      <c r="AR59" s="156" t="inlineStr">
        <is>
          <t> </t>
        </is>
      </c>
      <c r="AS59" s="218" t="n"/>
      <c r="AT59" s="154" t="n">
        <v>1</v>
      </c>
      <c r="AU59" s="138" t="inlineStr">
        <is>
          <t> </t>
        </is>
      </c>
      <c r="AV59" s="116" t="n"/>
    </row>
    <row r="60">
      <c r="AI60" s="116" t="n"/>
      <c r="AJ60" s="116" t="n"/>
      <c r="AK60" s="116" t="n"/>
      <c r="AL60" s="116" t="n"/>
      <c r="AM60" s="116" t="n"/>
      <c r="AN60" s="40" t="n"/>
      <c r="AO60" s="116" t="n"/>
      <c r="AP60" s="40" t="n"/>
      <c r="AQ60" s="40" t="n"/>
      <c r="AR60" s="116" t="n"/>
      <c r="AS60" s="116" t="n"/>
      <c r="AT60" s="40" t="n"/>
      <c r="AU60" s="40" t="n"/>
      <c r="AV60" s="116" t="n"/>
    </row>
    <row r="61">
      <c r="AI61" s="116" t="n"/>
      <c r="AJ61" s="116" t="n"/>
      <c r="AK61" s="116" t="n"/>
      <c r="AL61" s="116" t="n"/>
      <c r="AM61" s="116" t="n"/>
      <c r="AN61" s="40" t="n"/>
      <c r="AO61" s="116" t="n"/>
      <c r="AP61" s="40" t="n"/>
      <c r="AQ61" s="40" t="n"/>
      <c r="AR61" s="116" t="n"/>
      <c r="AS61" s="116" t="n"/>
      <c r="AT61" s="40" t="n"/>
      <c r="AU61" s="40" t="n"/>
      <c r="AV61" s="116" t="n"/>
    </row>
    <row r="62">
      <c r="AI62" s="116" t="n"/>
      <c r="AJ62" s="116" t="n"/>
      <c r="AK62" s="116" t="n"/>
      <c r="AL62" s="116" t="n"/>
      <c r="AM62" s="116" t="n"/>
      <c r="AN62" s="40" t="n"/>
      <c r="AO62" s="116" t="n"/>
      <c r="AP62" s="40" t="n"/>
      <c r="AQ62" s="40" t="n"/>
      <c r="AR62" s="116" t="n"/>
      <c r="AS62" s="116" t="n"/>
      <c r="AT62" s="40" t="n"/>
      <c r="AU62" s="40" t="n"/>
      <c r="AV62" s="116" t="n"/>
    </row>
    <row r="63">
      <c r="AI63" s="116" t="n"/>
      <c r="AJ63" s="116" t="n"/>
      <c r="AK63" s="116" t="n"/>
      <c r="AL63" s="116" t="n"/>
      <c r="AM63" s="116" t="n"/>
      <c r="AN63" s="116" t="n"/>
      <c r="AO63" s="116" t="n"/>
      <c r="AP63" s="116" t="n"/>
      <c r="AQ63" s="116" t="n"/>
      <c r="AR63" s="116" t="n"/>
      <c r="AS63" s="116" t="n"/>
      <c r="AT63" s="116" t="n"/>
      <c r="AU63" s="116" t="n"/>
      <c r="AV63" s="116" t="n"/>
    </row>
    <row r="64">
      <c r="AI64" s="116" t="n"/>
      <c r="AJ64" s="116" t="n"/>
      <c r="AK64" s="116" t="n"/>
      <c r="AL64" s="116" t="n"/>
      <c r="AM64" s="116" t="n"/>
      <c r="AN64" s="116" t="n"/>
      <c r="AO64" s="116" t="n"/>
      <c r="AP64" s="116" t="n"/>
      <c r="AQ64" s="116" t="n"/>
      <c r="AR64" s="116" t="n"/>
      <c r="AS64" s="116" t="n"/>
      <c r="AT64" s="116" t="n"/>
      <c r="AU64" s="116" t="n"/>
      <c r="AV64" s="116" t="n"/>
    </row>
    <row r="65">
      <c r="AI65" s="116" t="n"/>
      <c r="AJ65" s="116" t="n"/>
      <c r="AK65" s="116" t="n"/>
      <c r="AL65" s="116" t="n"/>
      <c r="AM65" s="116" t="n"/>
      <c r="AN65" s="116" t="n"/>
      <c r="AO65" s="116" t="n"/>
      <c r="AP65" s="116" t="n"/>
      <c r="AQ65" s="116" t="n"/>
      <c r="AR65" s="116" t="n"/>
      <c r="AS65" s="116" t="n"/>
      <c r="AT65" s="116" t="n"/>
      <c r="AU65" s="116" t="n"/>
      <c r="AV65" s="116" t="n"/>
    </row>
    <row r="66">
      <c r="AI66" s="116" t="n"/>
      <c r="AJ66" s="116" t="n"/>
      <c r="AK66" s="116" t="n"/>
      <c r="AL66" s="116" t="n"/>
      <c r="AM66" s="116" t="n"/>
      <c r="AN66" s="116" t="n"/>
      <c r="AO66" s="116" t="n"/>
      <c r="AP66" s="116" t="n"/>
      <c r="AQ66" s="116" t="n"/>
      <c r="AR66" s="116" t="n"/>
      <c r="AS66" s="116" t="n"/>
      <c r="AT66" s="116" t="n"/>
      <c r="AU66" s="116" t="n"/>
      <c r="AV66" s="116" t="n"/>
    </row>
    <row r="67">
      <c r="AI67" s="116" t="n"/>
      <c r="AJ67" s="116" t="n"/>
      <c r="AK67" s="116" t="n"/>
      <c r="AL67" s="116" t="n"/>
      <c r="AM67" s="116" t="n"/>
      <c r="AN67" s="116" t="n"/>
      <c r="AO67" s="116" t="n"/>
      <c r="AP67" s="116" t="n"/>
      <c r="AQ67" s="116" t="n"/>
      <c r="AR67" s="116" t="n"/>
      <c r="AS67" s="116" t="n"/>
      <c r="AT67" s="116" t="n"/>
      <c r="AU67" s="116" t="n"/>
      <c r="AV67" s="116" t="n"/>
    </row>
    <row r="68">
      <c r="AI68" s="116" t="n"/>
      <c r="AJ68" s="116" t="n"/>
      <c r="AK68" s="116" t="n"/>
      <c r="AL68" s="116" t="n"/>
      <c r="AM68" s="116" t="n"/>
      <c r="AN68" s="116" t="n"/>
      <c r="AO68" s="116" t="n"/>
      <c r="AP68" s="116" t="n"/>
      <c r="AQ68" s="116" t="n"/>
      <c r="AR68" s="116" t="n"/>
      <c r="AS68" s="116" t="n"/>
      <c r="AT68" s="116" t="n"/>
      <c r="AU68" s="116" t="n"/>
      <c r="AV68" s="116" t="n"/>
    </row>
    <row r="69">
      <c r="AI69" s="116" t="n"/>
      <c r="AJ69" s="116" t="n"/>
      <c r="AK69" s="116" t="n"/>
      <c r="AL69" s="116" t="n"/>
      <c r="AM69" s="116" t="n"/>
      <c r="AN69" s="116" t="n"/>
      <c r="AO69" s="116" t="n"/>
      <c r="AP69" s="116" t="n"/>
      <c r="AQ69" s="116" t="n"/>
      <c r="AR69" s="116" t="n"/>
      <c r="AS69" s="116" t="n"/>
      <c r="AT69" s="116" t="n"/>
      <c r="AU69" s="116" t="n"/>
      <c r="AV69" s="116" t="n"/>
    </row>
    <row r="70">
      <c r="AI70" s="116" t="n"/>
      <c r="AJ70" s="116" t="n"/>
      <c r="AK70" s="116" t="n"/>
      <c r="AL70" s="116" t="n"/>
      <c r="AM70" s="116" t="n"/>
      <c r="AN70" s="116" t="n"/>
      <c r="AO70" s="116" t="n"/>
      <c r="AP70" s="116" t="n"/>
      <c r="AQ70" s="116" t="n"/>
      <c r="AR70" s="116" t="n"/>
      <c r="AS70" s="116" t="n"/>
      <c r="AT70" s="116" t="n"/>
      <c r="AU70" s="116" t="n"/>
      <c r="AV70" s="116" t="n"/>
    </row>
    <row r="71">
      <c r="AI71" s="116" t="n"/>
      <c r="AJ71" s="116" t="n"/>
      <c r="AK71" s="116" t="n"/>
      <c r="AL71" s="116" t="n"/>
      <c r="AM71" s="116" t="n"/>
      <c r="AN71" s="116" t="n"/>
      <c r="AO71" s="116" t="n"/>
      <c r="AP71" s="116" t="n"/>
      <c r="AQ71" s="116" t="n"/>
      <c r="AR71" s="116" t="n"/>
      <c r="AS71" s="116" t="n"/>
      <c r="AT71" s="116" t="n"/>
      <c r="AU71" s="116" t="n"/>
      <c r="AV71" s="116" t="n"/>
    </row>
    <row r="72">
      <c r="AI72" s="116" t="n"/>
      <c r="AJ72" s="116" t="n"/>
      <c r="AK72" s="116" t="n"/>
      <c r="AL72" s="116" t="n"/>
      <c r="AM72" s="116" t="n"/>
      <c r="AN72" s="116" t="n"/>
      <c r="AO72" s="116" t="n"/>
      <c r="AP72" s="116" t="n"/>
      <c r="AQ72" s="116" t="n"/>
      <c r="AR72" s="116" t="n"/>
      <c r="AS72" s="116" t="n"/>
      <c r="AT72" s="116" t="n"/>
      <c r="AU72" s="116" t="n"/>
      <c r="AV72" s="116" t="n"/>
    </row>
    <row r="73">
      <c r="AI73" s="116" t="n"/>
      <c r="AJ73" s="116" t="n"/>
      <c r="AK73" s="116" t="n"/>
      <c r="AL73" s="116" t="n"/>
      <c r="AM73" s="116" t="n"/>
      <c r="AN73" s="116" t="n"/>
      <c r="AO73" s="116" t="n"/>
      <c r="AP73" s="116" t="n"/>
      <c r="AQ73" s="116" t="n"/>
      <c r="AR73" s="116" t="n"/>
      <c r="AS73" s="116" t="n"/>
      <c r="AT73" s="116" t="n"/>
      <c r="AU73" s="116" t="n"/>
      <c r="AV73" s="116" t="n"/>
    </row>
    <row r="74">
      <c r="AI74" s="116" t="n"/>
      <c r="AJ74" s="116" t="n"/>
      <c r="AK74" s="116" t="n"/>
      <c r="AL74" s="116" t="n"/>
      <c r="AM74" s="116" t="n"/>
      <c r="AN74" s="116" t="n"/>
      <c r="AO74" s="116" t="n"/>
      <c r="AP74" s="116" t="n"/>
      <c r="AQ74" s="116" t="n"/>
      <c r="AR74" s="116" t="n"/>
      <c r="AS74" s="116" t="n"/>
      <c r="AT74" s="116" t="n"/>
      <c r="AU74" s="116" t="n"/>
      <c r="AV74" s="116" t="n"/>
    </row>
    <row r="75">
      <c r="AI75" s="116" t="n"/>
      <c r="AJ75" s="116" t="n"/>
      <c r="AK75" s="116" t="n"/>
      <c r="AL75" s="116" t="n"/>
      <c r="AM75" s="116" t="n"/>
      <c r="AN75" s="116" t="n"/>
      <c r="AO75" s="116" t="n"/>
      <c r="AP75" s="116" t="n"/>
      <c r="AQ75" s="116" t="n"/>
      <c r="AR75" s="116" t="n"/>
      <c r="AS75" s="116" t="n"/>
      <c r="AT75" s="116" t="n"/>
      <c r="AU75" s="116" t="n"/>
      <c r="AV75" s="116" t="n"/>
    </row>
    <row r="76">
      <c r="AI76" s="116" t="n"/>
      <c r="AJ76" s="116" t="n"/>
      <c r="AK76" s="116" t="n"/>
      <c r="AL76" s="116" t="n"/>
      <c r="AM76" s="116" t="n"/>
      <c r="AN76" s="116" t="n"/>
      <c r="AO76" s="116" t="n"/>
      <c r="AP76" s="116" t="n"/>
      <c r="AQ76" s="116" t="n"/>
      <c r="AR76" s="116" t="n"/>
      <c r="AS76" s="116" t="n"/>
      <c r="AT76" s="116" t="n"/>
      <c r="AU76" s="116" t="n"/>
      <c r="AV76" s="116" t="n"/>
    </row>
    <row r="77">
      <c r="AI77" s="116" t="n"/>
      <c r="AJ77" s="116" t="n"/>
      <c r="AK77" s="116" t="n"/>
      <c r="AL77" s="116" t="n"/>
      <c r="AM77" s="116" t="n"/>
      <c r="AN77" s="116" t="n"/>
      <c r="AO77" s="116" t="n"/>
      <c r="AP77" s="116" t="n"/>
      <c r="AQ77" s="116" t="n"/>
      <c r="AR77" s="116" t="n"/>
      <c r="AS77" s="116" t="n"/>
      <c r="AT77" s="116" t="n"/>
      <c r="AU77" s="116" t="n"/>
      <c r="AV77" s="116" t="n"/>
    </row>
    <row r="78">
      <c r="AI78" s="116" t="n"/>
      <c r="AJ78" s="116" t="n"/>
      <c r="AK78" s="116" t="n"/>
      <c r="AL78" s="116" t="n"/>
      <c r="AM78" s="116" t="n"/>
      <c r="AN78" s="116" t="n"/>
      <c r="AO78" s="116" t="n"/>
      <c r="AP78" s="116" t="n"/>
      <c r="AQ78" s="116" t="n"/>
      <c r="AR78" s="116" t="n"/>
      <c r="AS78" s="116" t="n"/>
      <c r="AT78" s="116" t="n"/>
      <c r="AU78" s="116" t="n"/>
      <c r="AV78" s="116" t="n"/>
    </row>
    <row r="79">
      <c r="AI79" s="116" t="n"/>
      <c r="AJ79" s="116" t="n"/>
      <c r="AK79" s="116" t="n"/>
      <c r="AL79" s="116" t="n"/>
      <c r="AM79" s="116" t="n"/>
      <c r="AN79" s="116" t="n"/>
      <c r="AO79" s="116" t="n"/>
      <c r="AP79" s="116" t="n"/>
      <c r="AQ79" s="116" t="n"/>
      <c r="AR79" s="116" t="n"/>
      <c r="AS79" s="116" t="n"/>
      <c r="AT79" s="116" t="n"/>
      <c r="AU79" s="116" t="n"/>
      <c r="AV79" s="116" t="n"/>
    </row>
    <row r="80">
      <c r="AI80" s="116" t="n"/>
      <c r="AJ80" s="116" t="n"/>
      <c r="AK80" s="116" t="n"/>
      <c r="AL80" s="116" t="n"/>
      <c r="AM80" s="116" t="n"/>
      <c r="AN80" s="116" t="n"/>
      <c r="AO80" s="116" t="n"/>
      <c r="AP80" s="116" t="n"/>
      <c r="AQ80" s="116" t="n"/>
      <c r="AR80" s="116" t="n"/>
      <c r="AS80" s="116" t="n"/>
      <c r="AT80" s="116" t="n"/>
      <c r="AU80" s="116" t="n"/>
      <c r="AV80" s="116" t="n"/>
    </row>
    <row r="81">
      <c r="AI81" s="116" t="n"/>
      <c r="AJ81" s="116" t="n"/>
      <c r="AK81" s="116" t="n"/>
      <c r="AL81" s="116" t="n"/>
      <c r="AM81" s="116" t="n"/>
      <c r="AN81" s="116" t="n"/>
      <c r="AO81" s="116" t="n"/>
      <c r="AP81" s="116" t="n"/>
      <c r="AQ81" s="116" t="n"/>
      <c r="AR81" s="116" t="n"/>
      <c r="AS81" s="116" t="n"/>
      <c r="AT81" s="116" t="n"/>
      <c r="AU81" s="116" t="n"/>
      <c r="AV81" s="116" t="n"/>
    </row>
    <row r="82">
      <c r="AI82" s="116" t="n"/>
      <c r="AJ82" s="116" t="n"/>
      <c r="AK82" s="116" t="n"/>
      <c r="AL82" s="116" t="n"/>
      <c r="AM82" s="116" t="n"/>
      <c r="AN82" s="116" t="n"/>
      <c r="AO82" s="116" t="n"/>
      <c r="AP82" s="116" t="n"/>
      <c r="AQ82" s="116" t="n"/>
      <c r="AR82" s="116" t="n"/>
      <c r="AS82" s="116" t="n"/>
      <c r="AT82" s="116" t="n"/>
      <c r="AU82" s="116" t="n"/>
      <c r="AV82" s="116" t="n"/>
    </row>
    <row r="83">
      <c r="AI83" s="116" t="n"/>
      <c r="AJ83" s="116" t="n"/>
      <c r="AK83" s="116" t="n"/>
      <c r="AL83" s="116" t="n"/>
      <c r="AM83" s="116" t="n"/>
      <c r="AN83" s="116" t="n"/>
      <c r="AO83" s="116" t="n"/>
      <c r="AP83" s="116" t="n"/>
      <c r="AQ83" s="116" t="n"/>
      <c r="AR83" s="116" t="n"/>
      <c r="AS83" s="116" t="n"/>
      <c r="AT83" s="116" t="n"/>
      <c r="AU83" s="116" t="n"/>
      <c r="AV83" s="116" t="n"/>
    </row>
    <row r="84">
      <c r="AI84" s="116" t="n"/>
      <c r="AJ84" s="116" t="n"/>
      <c r="AK84" s="116" t="n"/>
      <c r="AL84" s="116" t="n"/>
      <c r="AM84" s="116" t="n"/>
      <c r="AN84" s="116" t="n"/>
      <c r="AO84" s="116" t="n"/>
      <c r="AP84" s="116" t="n"/>
      <c r="AQ84" s="116" t="n"/>
      <c r="AR84" s="116" t="n"/>
      <c r="AS84" s="116" t="n"/>
      <c r="AT84" s="116" t="n"/>
      <c r="AU84" s="116" t="n"/>
      <c r="AV84" s="116" t="n"/>
    </row>
    <row r="85">
      <c r="AI85" s="116" t="n"/>
      <c r="AJ85" s="116" t="n"/>
      <c r="AK85" s="116" t="n"/>
      <c r="AL85" s="116" t="n"/>
      <c r="AM85" s="116" t="n"/>
      <c r="AN85" s="116" t="n"/>
      <c r="AO85" s="116" t="n"/>
      <c r="AP85" s="116" t="n"/>
      <c r="AQ85" s="116" t="n"/>
      <c r="AR85" s="116" t="n"/>
      <c r="AS85" s="116" t="n"/>
      <c r="AT85" s="116" t="n"/>
      <c r="AU85" s="116" t="n"/>
      <c r="AV85" s="116" t="n"/>
    </row>
    <row r="86">
      <c r="AI86" s="116" t="n"/>
      <c r="AJ86" s="116" t="n"/>
      <c r="AK86" s="116" t="n"/>
      <c r="AL86" s="116" t="n"/>
      <c r="AM86" s="116" t="n"/>
      <c r="AN86" s="116" t="n"/>
      <c r="AO86" s="116" t="n"/>
      <c r="AP86" s="116" t="n"/>
      <c r="AQ86" s="116" t="n"/>
      <c r="AR86" s="116" t="n"/>
      <c r="AS86" s="116" t="n"/>
      <c r="AT86" s="116" t="n"/>
      <c r="AU86" s="116" t="n"/>
      <c r="AV86" s="116" t="n"/>
    </row>
    <row r="87">
      <c r="AI87" s="116" t="n"/>
      <c r="AJ87" s="116" t="n"/>
      <c r="AK87" s="116" t="n"/>
      <c r="AL87" s="116" t="n"/>
      <c r="AM87" s="116" t="n"/>
      <c r="AN87" s="116" t="n"/>
      <c r="AO87" s="116" t="n"/>
      <c r="AP87" s="116" t="n"/>
      <c r="AQ87" s="116" t="n"/>
      <c r="AR87" s="116" t="n"/>
      <c r="AS87" s="116" t="n"/>
      <c r="AT87" s="116" t="n"/>
      <c r="AU87" s="116" t="n"/>
      <c r="AV87" s="116" t="n"/>
    </row>
    <row r="88">
      <c r="AI88" s="116" t="n"/>
      <c r="AJ88" s="116" t="n"/>
      <c r="AK88" s="116" t="n"/>
      <c r="AL88" s="116" t="n"/>
      <c r="AM88" s="116" t="n"/>
      <c r="AN88" s="116" t="n"/>
      <c r="AO88" s="116" t="n"/>
      <c r="AP88" s="116" t="n"/>
      <c r="AQ88" s="116" t="n"/>
      <c r="AR88" s="116" t="n"/>
      <c r="AS88" s="116" t="n"/>
      <c r="AT88" s="116" t="n"/>
      <c r="AU88" s="116" t="n"/>
      <c r="AV88" s="116" t="n"/>
    </row>
    <row r="89">
      <c r="AI89" s="116" t="n"/>
      <c r="AJ89" s="116" t="n"/>
      <c r="AK89" s="116" t="n"/>
      <c r="AL89" s="116" t="n"/>
      <c r="AM89" s="116" t="n"/>
      <c r="AN89" s="116" t="n"/>
      <c r="AO89" s="116" t="n"/>
      <c r="AP89" s="116" t="n"/>
      <c r="AQ89" s="116" t="n"/>
      <c r="AR89" s="116" t="n"/>
      <c r="AS89" s="116" t="n"/>
      <c r="AT89" s="116" t="n"/>
      <c r="AU89" s="116" t="n"/>
      <c r="AV89" s="116" t="n"/>
    </row>
    <row r="90">
      <c r="AI90" s="116" t="n"/>
      <c r="AJ90" s="116" t="n"/>
      <c r="AK90" s="116" t="n"/>
      <c r="AL90" s="116" t="n"/>
      <c r="AM90" s="116" t="n"/>
      <c r="AN90" s="116" t="n"/>
      <c r="AO90" s="116" t="n"/>
      <c r="AP90" s="116" t="n"/>
      <c r="AQ90" s="116" t="n"/>
      <c r="AR90" s="116" t="n"/>
      <c r="AS90" s="116" t="n"/>
      <c r="AT90" s="116" t="n"/>
      <c r="AU90" s="116" t="n"/>
      <c r="AV90" s="116" t="n"/>
    </row>
    <row r="91">
      <c r="AI91" s="116" t="n"/>
      <c r="AJ91" s="116" t="n"/>
      <c r="AK91" s="116" t="n"/>
      <c r="AL91" s="116" t="n"/>
      <c r="AM91" s="116" t="n"/>
      <c r="AN91" s="116" t="n"/>
      <c r="AO91" s="116" t="n"/>
      <c r="AP91" s="116" t="n"/>
      <c r="AQ91" s="116" t="n"/>
      <c r="AR91" s="116" t="n"/>
      <c r="AS91" s="116" t="n"/>
      <c r="AT91" s="116" t="n"/>
      <c r="AU91" s="116" t="n"/>
      <c r="AV91" s="116" t="n"/>
    </row>
    <row r="92">
      <c r="AI92" s="116" t="n"/>
      <c r="AJ92" s="116" t="n"/>
      <c r="AK92" s="116" t="n"/>
      <c r="AL92" s="116" t="n"/>
      <c r="AM92" s="116" t="n"/>
      <c r="AN92" s="116" t="n"/>
      <c r="AO92" s="116" t="n"/>
      <c r="AP92" s="116" t="n"/>
      <c r="AQ92" s="116" t="n"/>
      <c r="AR92" s="116" t="n"/>
      <c r="AS92" s="116" t="n"/>
      <c r="AT92" s="116" t="n"/>
      <c r="AU92" s="116" t="n"/>
      <c r="AV92" s="116" t="n"/>
    </row>
    <row r="93">
      <c r="AI93" s="116" t="n"/>
      <c r="AJ93" s="116" t="n"/>
      <c r="AK93" s="116" t="n"/>
      <c r="AL93" s="116" t="n"/>
      <c r="AM93" s="116" t="n"/>
      <c r="AN93" s="116" t="n"/>
      <c r="AO93" s="116" t="n"/>
      <c r="AP93" s="116" t="n"/>
      <c r="AQ93" s="116" t="n"/>
      <c r="AR93" s="116" t="n"/>
      <c r="AS93" s="116" t="n"/>
      <c r="AT93" s="116" t="n"/>
      <c r="AU93" s="116" t="n"/>
      <c r="AV93" s="116" t="n"/>
    </row>
    <row r="94">
      <c r="AI94" s="116" t="n"/>
      <c r="AJ94" s="116" t="n"/>
      <c r="AK94" s="116" t="n"/>
      <c r="AL94" s="116" t="n"/>
      <c r="AM94" s="116" t="n"/>
      <c r="AN94" s="116" t="n"/>
      <c r="AO94" s="116" t="n"/>
      <c r="AP94" s="116" t="n"/>
      <c r="AQ94" s="116" t="n"/>
      <c r="AR94" s="116" t="n"/>
      <c r="AS94" s="116" t="n"/>
      <c r="AT94" s="116" t="n"/>
      <c r="AU94" s="116" t="n"/>
      <c r="AV94" s="116" t="n"/>
    </row>
    <row r="95">
      <c r="AI95" s="116" t="n"/>
      <c r="AJ95" s="116" t="n"/>
      <c r="AK95" s="116" t="n"/>
      <c r="AL95" s="116" t="n"/>
      <c r="AM95" s="116" t="n"/>
      <c r="AN95" s="116" t="n"/>
      <c r="AO95" s="116" t="n"/>
      <c r="AP95" s="116" t="n"/>
      <c r="AQ95" s="116" t="n"/>
      <c r="AR95" s="116" t="n"/>
      <c r="AS95" s="116" t="n"/>
      <c r="AT95" s="116" t="n"/>
      <c r="AU95" s="116" t="n"/>
      <c r="AV95" s="116" t="n"/>
    </row>
    <row r="96">
      <c r="AI96" s="116" t="n"/>
      <c r="AJ96" s="116" t="n"/>
      <c r="AK96" s="116" t="n"/>
      <c r="AL96" s="116" t="n"/>
      <c r="AM96" s="116" t="n"/>
      <c r="AN96" s="116" t="n"/>
      <c r="AO96" s="116" t="n"/>
      <c r="AP96" s="116" t="n"/>
      <c r="AQ96" s="116" t="n"/>
      <c r="AR96" s="116" t="n"/>
      <c r="AS96" s="116" t="n"/>
      <c r="AT96" s="116" t="n"/>
      <c r="AU96" s="116" t="n"/>
      <c r="AV96" s="116" t="n"/>
    </row>
    <row r="97">
      <c r="AI97" s="116" t="n"/>
      <c r="AJ97" s="116" t="n"/>
      <c r="AK97" s="116" t="n"/>
      <c r="AL97" s="116" t="n"/>
      <c r="AM97" s="116" t="n"/>
      <c r="AN97" s="116" t="n"/>
      <c r="AO97" s="116" t="n"/>
      <c r="AP97" s="116" t="n"/>
      <c r="AQ97" s="116" t="n"/>
      <c r="AR97" s="116" t="n"/>
      <c r="AS97" s="116" t="n"/>
      <c r="AT97" s="116" t="n"/>
      <c r="AU97" s="116" t="n"/>
      <c r="AV97" s="116" t="n"/>
    </row>
    <row r="98">
      <c r="AI98" s="116" t="n"/>
      <c r="AJ98" s="116" t="n"/>
      <c r="AK98" s="116" t="n"/>
      <c r="AL98" s="116" t="n"/>
      <c r="AM98" s="116" t="n"/>
      <c r="AN98" s="116" t="n"/>
      <c r="AO98" s="116" t="n"/>
      <c r="AP98" s="116" t="n"/>
      <c r="AQ98" s="116" t="n"/>
      <c r="AR98" s="116" t="n"/>
      <c r="AS98" s="116" t="n"/>
      <c r="AT98" s="116" t="n"/>
      <c r="AU98" s="116" t="n"/>
      <c r="AV98" s="116" t="n"/>
    </row>
    <row r="99">
      <c r="AI99" s="116" t="n"/>
      <c r="AJ99" s="116" t="n"/>
      <c r="AK99" s="116" t="n"/>
      <c r="AL99" s="116" t="n"/>
      <c r="AM99" s="116" t="n"/>
      <c r="AN99" s="116" t="n"/>
      <c r="AO99" s="116" t="n"/>
      <c r="AP99" s="116" t="n"/>
      <c r="AQ99" s="116" t="n"/>
      <c r="AR99" s="116" t="n"/>
      <c r="AS99" s="116" t="n"/>
      <c r="AT99" s="116" t="n"/>
      <c r="AU99" s="116" t="n"/>
      <c r="AV99" s="116" t="n"/>
    </row>
    <row r="100">
      <c r="AI100" s="116" t="n"/>
      <c r="AJ100" s="116" t="n"/>
      <c r="AK100" s="116" t="n"/>
      <c r="AL100" s="116" t="n"/>
      <c r="AM100" s="116" t="n"/>
      <c r="AN100" s="116" t="n"/>
      <c r="AO100" s="116" t="n"/>
      <c r="AP100" s="116" t="n"/>
      <c r="AQ100" s="116" t="n"/>
      <c r="AR100" s="116" t="n"/>
      <c r="AS100" s="116" t="n"/>
      <c r="AT100" s="116" t="n"/>
      <c r="AU100" s="116" t="n"/>
      <c r="AV100" s="116" t="n"/>
    </row>
    <row r="101">
      <c r="AI101" s="116" t="n"/>
      <c r="AJ101" s="116" t="n"/>
      <c r="AK101" s="116" t="n"/>
      <c r="AL101" s="116" t="n"/>
      <c r="AM101" s="116" t="n"/>
      <c r="AN101" s="116" t="n"/>
      <c r="AO101" s="116" t="n"/>
      <c r="AP101" s="116" t="n"/>
      <c r="AQ101" s="116" t="n"/>
      <c r="AR101" s="116" t="n"/>
      <c r="AS101" s="116" t="n"/>
      <c r="AT101" s="116" t="n"/>
      <c r="AU101" s="116" t="n"/>
      <c r="AV101" s="116" t="n"/>
    </row>
    <row r="102">
      <c r="AI102" s="116" t="n"/>
      <c r="AJ102" s="116" t="n"/>
      <c r="AK102" s="116" t="n"/>
      <c r="AL102" s="116" t="n"/>
      <c r="AM102" s="116" t="n"/>
      <c r="AN102" s="116" t="n"/>
      <c r="AO102" s="116" t="n"/>
      <c r="AP102" s="116" t="n"/>
      <c r="AQ102" s="116" t="n"/>
      <c r="AR102" s="116" t="n"/>
      <c r="AS102" s="116" t="n"/>
      <c r="AT102" s="116" t="n"/>
      <c r="AU102" s="116" t="n"/>
      <c r="AV102" s="116" t="n"/>
    </row>
    <row r="103">
      <c r="AI103" s="116" t="n"/>
      <c r="AJ103" s="116" t="n"/>
      <c r="AK103" s="116" t="n"/>
      <c r="AL103" s="116" t="n"/>
      <c r="AM103" s="116" t="n"/>
      <c r="AN103" s="116" t="n"/>
      <c r="AO103" s="116" t="n"/>
      <c r="AP103" s="116" t="n"/>
      <c r="AQ103" s="116" t="n"/>
      <c r="AR103" s="116" t="n"/>
      <c r="AS103" s="116" t="n"/>
      <c r="AT103" s="116" t="n"/>
      <c r="AU103" s="116" t="n"/>
      <c r="AV103" s="116" t="n"/>
    </row>
    <row r="104">
      <c r="AI104" s="116" t="n"/>
      <c r="AJ104" s="116" t="n"/>
      <c r="AK104" s="116" t="n"/>
      <c r="AL104" s="116" t="n"/>
      <c r="AM104" s="116" t="n"/>
      <c r="AN104" s="116" t="n"/>
      <c r="AO104" s="116" t="n"/>
      <c r="AP104" s="116" t="n"/>
      <c r="AQ104" s="116" t="n"/>
      <c r="AR104" s="116" t="n"/>
      <c r="AS104" s="116" t="n"/>
      <c r="AT104" s="116" t="n"/>
      <c r="AU104" s="116" t="n"/>
      <c r="AV104" s="116" t="n"/>
    </row>
    <row r="105">
      <c r="AI105" s="116" t="n"/>
      <c r="AJ105" s="116" t="n"/>
      <c r="AK105" s="116" t="n"/>
      <c r="AL105" s="116" t="n"/>
      <c r="AM105" s="116" t="n"/>
      <c r="AN105" s="116" t="n"/>
      <c r="AO105" s="116" t="n"/>
      <c r="AP105" s="116" t="n"/>
      <c r="AQ105" s="116" t="n"/>
      <c r="AR105" s="116" t="n"/>
      <c r="AS105" s="116" t="n"/>
      <c r="AT105" s="116" t="n"/>
      <c r="AU105" s="116" t="n"/>
      <c r="AV105" s="116" t="n"/>
    </row>
    <row r="106">
      <c r="AI106" s="116" t="n"/>
      <c r="AJ106" s="116" t="n"/>
      <c r="AK106" s="116" t="n"/>
      <c r="AL106" s="116" t="n"/>
      <c r="AM106" s="116" t="n"/>
      <c r="AN106" s="116" t="n"/>
      <c r="AO106" s="116" t="n"/>
      <c r="AP106" s="116" t="n"/>
      <c r="AQ106" s="116" t="n"/>
      <c r="AR106" s="116" t="n"/>
      <c r="AS106" s="116" t="n"/>
      <c r="AT106" s="116" t="n"/>
      <c r="AU106" s="116" t="n"/>
      <c r="AV106" s="116" t="n"/>
    </row>
    <row r="107">
      <c r="AI107" s="116" t="n"/>
      <c r="AJ107" s="116" t="n"/>
      <c r="AK107" s="116" t="n"/>
      <c r="AL107" s="116" t="n"/>
      <c r="AM107" s="116" t="n"/>
      <c r="AN107" s="116" t="n"/>
      <c r="AO107" s="116" t="n"/>
      <c r="AP107" s="116" t="n"/>
      <c r="AQ107" s="116" t="n"/>
      <c r="AR107" s="116" t="n"/>
      <c r="AS107" s="116" t="n"/>
      <c r="AT107" s="116" t="n"/>
      <c r="AU107" s="116" t="n"/>
      <c r="AV107" s="116" t="n"/>
    </row>
    <row r="108">
      <c r="AI108" s="116" t="n"/>
      <c r="AJ108" s="116" t="n"/>
      <c r="AK108" s="116" t="n"/>
      <c r="AL108" s="116" t="n"/>
      <c r="AM108" s="116" t="n"/>
      <c r="AN108" s="116" t="n"/>
      <c r="AO108" s="116" t="n"/>
      <c r="AP108" s="116" t="n"/>
      <c r="AQ108" s="116" t="n"/>
      <c r="AR108" s="116" t="n"/>
      <c r="AS108" s="116" t="n"/>
      <c r="AT108" s="116" t="n"/>
      <c r="AU108" s="116" t="n"/>
      <c r="AV108" s="116" t="n"/>
    </row>
    <row r="109">
      <c r="AI109" s="116" t="n"/>
      <c r="AJ109" s="116" t="n"/>
      <c r="AK109" s="116" t="n"/>
      <c r="AL109" s="116" t="n"/>
      <c r="AM109" s="116" t="n"/>
      <c r="AN109" s="116" t="n"/>
      <c r="AO109" s="116" t="n"/>
      <c r="AP109" s="116" t="n"/>
      <c r="AQ109" s="116" t="n"/>
      <c r="AR109" s="116" t="n"/>
      <c r="AS109" s="116" t="n"/>
      <c r="AT109" s="116" t="n"/>
      <c r="AU109" s="116" t="n"/>
      <c r="AV109" s="116" t="n"/>
    </row>
    <row r="110">
      <c r="AI110" s="116" t="n"/>
      <c r="AJ110" s="116" t="n"/>
      <c r="AK110" s="116" t="n"/>
      <c r="AL110" s="116" t="n"/>
      <c r="AM110" s="116" t="n"/>
      <c r="AN110" s="116" t="n"/>
      <c r="AO110" s="116" t="n"/>
      <c r="AP110" s="116" t="n"/>
      <c r="AQ110" s="116" t="n"/>
      <c r="AR110" s="116" t="n"/>
      <c r="AS110" s="116" t="n"/>
      <c r="AT110" s="116" t="n"/>
      <c r="AU110" s="116" t="n"/>
      <c r="AV110" s="116" t="n"/>
    </row>
    <row r="111">
      <c r="AI111" s="116" t="n"/>
      <c r="AJ111" s="116" t="n"/>
      <c r="AK111" s="116" t="n"/>
      <c r="AL111" s="116" t="n"/>
      <c r="AM111" s="116" t="n"/>
      <c r="AN111" s="116" t="n"/>
      <c r="AO111" s="116" t="n"/>
      <c r="AP111" s="116" t="n"/>
      <c r="AQ111" s="116" t="n"/>
      <c r="AR111" s="116" t="n"/>
      <c r="AS111" s="116" t="n"/>
      <c r="AT111" s="116" t="n"/>
      <c r="AU111" s="116" t="n"/>
      <c r="AV111" s="116" t="n"/>
    </row>
    <row r="112">
      <c r="AI112" s="116" t="n"/>
      <c r="AJ112" s="116" t="n"/>
      <c r="AK112" s="116" t="n"/>
      <c r="AL112" s="116" t="n"/>
      <c r="AM112" s="116" t="n"/>
      <c r="AN112" s="116" t="n"/>
      <c r="AO112" s="116" t="n"/>
      <c r="AP112" s="116" t="n"/>
      <c r="AQ112" s="116" t="n"/>
      <c r="AR112" s="116" t="n"/>
      <c r="AS112" s="116" t="n"/>
      <c r="AT112" s="116" t="n"/>
      <c r="AU112" s="116" t="n"/>
      <c r="AV112" s="116" t="n"/>
    </row>
    <row r="113">
      <c r="AI113" s="116" t="n"/>
      <c r="AJ113" s="116" t="n"/>
      <c r="AK113" s="116" t="n"/>
      <c r="AL113" s="116" t="n"/>
      <c r="AM113" s="116" t="n"/>
      <c r="AN113" s="116" t="n"/>
      <c r="AO113" s="116" t="n"/>
      <c r="AP113" s="116" t="n"/>
      <c r="AQ113" s="116" t="n"/>
      <c r="AR113" s="116" t="n"/>
      <c r="AS113" s="116" t="n"/>
      <c r="AT113" s="116" t="n"/>
      <c r="AU113" s="116" t="n"/>
      <c r="AV113" s="116" t="n"/>
    </row>
    <row r="114">
      <c r="AI114" s="116" t="n"/>
      <c r="AJ114" s="116" t="n"/>
      <c r="AK114" s="116" t="n"/>
      <c r="AL114" s="116" t="n"/>
      <c r="AM114" s="116" t="n"/>
      <c r="AN114" s="116" t="n"/>
      <c r="AO114" s="116" t="n"/>
      <c r="AP114" s="116" t="n"/>
      <c r="AQ114" s="116" t="n"/>
      <c r="AR114" s="116" t="n"/>
      <c r="AS114" s="116" t="n"/>
      <c r="AT114" s="116" t="n"/>
      <c r="AU114" s="116" t="n"/>
      <c r="AV114" s="116" t="n"/>
    </row>
    <row r="115">
      <c r="AI115" s="116" t="n"/>
      <c r="AJ115" s="116" t="n"/>
      <c r="AK115" s="116" t="n"/>
      <c r="AL115" s="116" t="n"/>
      <c r="AM115" s="116" t="n"/>
      <c r="AN115" s="116" t="n"/>
      <c r="AO115" s="116" t="n"/>
      <c r="AP115" s="116" t="n"/>
      <c r="AQ115" s="116" t="n"/>
      <c r="AR115" s="116" t="n"/>
      <c r="AS115" s="116" t="n"/>
      <c r="AT115" s="116" t="n"/>
      <c r="AU115" s="116" t="n"/>
      <c r="AV115" s="116" t="n"/>
    </row>
    <row r="116">
      <c r="AI116" s="116" t="n"/>
      <c r="AJ116" s="116" t="n"/>
      <c r="AK116" s="116" t="n"/>
      <c r="AL116" s="116" t="n"/>
      <c r="AM116" s="116" t="n"/>
      <c r="AN116" s="116" t="n"/>
      <c r="AO116" s="116" t="n"/>
      <c r="AP116" s="116" t="n"/>
      <c r="AQ116" s="116" t="n"/>
      <c r="AR116" s="116" t="n"/>
      <c r="AS116" s="116" t="n"/>
      <c r="AT116" s="116" t="n"/>
      <c r="AU116" s="116" t="n"/>
      <c r="AV116" s="116" t="n"/>
    </row>
    <row r="117">
      <c r="AI117" s="116" t="n"/>
      <c r="AJ117" s="116" t="n"/>
      <c r="AK117" s="116" t="n"/>
      <c r="AL117" s="116" t="n"/>
      <c r="AM117" s="116" t="n"/>
      <c r="AN117" s="116" t="n"/>
      <c r="AO117" s="116" t="n"/>
      <c r="AP117" s="116" t="n"/>
      <c r="AQ117" s="116" t="n"/>
      <c r="AR117" s="116" t="n"/>
      <c r="AS117" s="116" t="n"/>
      <c r="AT117" s="116" t="n"/>
      <c r="AU117" s="116" t="n"/>
      <c r="AV117" s="116" t="n"/>
    </row>
    <row r="118">
      <c r="AI118" s="116" t="n"/>
      <c r="AJ118" s="116" t="n"/>
      <c r="AK118" s="116" t="n"/>
      <c r="AL118" s="116" t="n"/>
      <c r="AM118" s="116" t="n"/>
      <c r="AN118" s="116" t="n"/>
      <c r="AO118" s="116" t="n"/>
      <c r="AP118" s="116" t="n"/>
      <c r="AQ118" s="116" t="n"/>
      <c r="AR118" s="116" t="n"/>
      <c r="AS118" s="116" t="n"/>
      <c r="AT118" s="116" t="n"/>
      <c r="AU118" s="116" t="n"/>
      <c r="AV118" s="116" t="n"/>
    </row>
    <row r="119">
      <c r="AI119" s="116" t="n"/>
      <c r="AJ119" s="116" t="n"/>
      <c r="AK119" s="116" t="n"/>
      <c r="AL119" s="116" t="n"/>
      <c r="AM119" s="116" t="n"/>
      <c r="AN119" s="116" t="n"/>
      <c r="AO119" s="116" t="n"/>
      <c r="AP119" s="116" t="n"/>
      <c r="AQ119" s="116" t="n"/>
      <c r="AR119" s="116" t="n"/>
      <c r="AS119" s="116" t="n"/>
      <c r="AT119" s="116" t="n"/>
      <c r="AU119" s="116" t="n"/>
      <c r="AV119" s="116" t="n"/>
    </row>
    <row r="120">
      <c r="AI120" s="116" t="n"/>
      <c r="AJ120" s="116" t="n"/>
      <c r="AK120" s="116" t="n"/>
      <c r="AL120" s="116" t="n"/>
      <c r="AM120" s="116" t="n"/>
      <c r="AN120" s="116" t="n"/>
      <c r="AO120" s="116" t="n"/>
      <c r="AP120" s="116" t="n"/>
      <c r="AQ120" s="116" t="n"/>
      <c r="AR120" s="116" t="n"/>
      <c r="AS120" s="116" t="n"/>
      <c r="AT120" s="116" t="n"/>
      <c r="AU120" s="116" t="n"/>
      <c r="AV120" s="116" t="n"/>
    </row>
    <row r="121">
      <c r="AI121" s="116" t="n"/>
      <c r="AJ121" s="116" t="n"/>
      <c r="AK121" s="116" t="n"/>
      <c r="AL121" s="116" t="n"/>
      <c r="AM121" s="116" t="n"/>
      <c r="AN121" s="116" t="n"/>
      <c r="AO121" s="116" t="n"/>
      <c r="AP121" s="116" t="n"/>
      <c r="AQ121" s="116" t="n"/>
      <c r="AR121" s="116" t="n"/>
      <c r="AS121" s="116" t="n"/>
      <c r="AT121" s="116" t="n"/>
      <c r="AU121" s="116" t="n"/>
      <c r="AV121" s="116" t="n"/>
    </row>
    <row r="122">
      <c r="AI122" s="116" t="n"/>
      <c r="AJ122" s="116" t="n"/>
      <c r="AK122" s="116" t="n"/>
      <c r="AL122" s="116" t="n"/>
      <c r="AM122" s="116" t="n"/>
      <c r="AN122" s="116" t="n"/>
      <c r="AO122" s="116" t="n"/>
      <c r="AP122" s="116" t="n"/>
      <c r="AQ122" s="116" t="n"/>
      <c r="AR122" s="116" t="n"/>
      <c r="AS122" s="116" t="n"/>
      <c r="AT122" s="116" t="n"/>
      <c r="AU122" s="116" t="n"/>
      <c r="AV122" s="116" t="n"/>
    </row>
    <row r="123">
      <c r="AI123" s="116" t="n"/>
      <c r="AJ123" s="116" t="n"/>
      <c r="AK123" s="116" t="n"/>
      <c r="AL123" s="116" t="n"/>
      <c r="AM123" s="116" t="n"/>
      <c r="AN123" s="116" t="n"/>
      <c r="AO123" s="116" t="n"/>
      <c r="AP123" s="116" t="n"/>
      <c r="AQ123" s="116" t="n"/>
      <c r="AR123" s="116" t="n"/>
      <c r="AS123" s="116" t="n"/>
      <c r="AT123" s="116" t="n"/>
      <c r="AU123" s="116" t="n"/>
      <c r="AV123" s="116" t="n"/>
    </row>
    <row r="124">
      <c r="AI124" s="116" t="n"/>
      <c r="AJ124" s="116" t="n"/>
      <c r="AK124" s="116" t="n"/>
      <c r="AL124" s="116" t="n"/>
      <c r="AM124" s="116" t="n"/>
      <c r="AN124" s="116" t="n"/>
      <c r="AO124" s="116" t="n"/>
      <c r="AP124" s="116" t="n"/>
      <c r="AQ124" s="116" t="n"/>
      <c r="AR124" s="116" t="n"/>
      <c r="AS124" s="116" t="n"/>
      <c r="AT124" s="116" t="n"/>
      <c r="AU124" s="116" t="n"/>
      <c r="AV124" s="116" t="n"/>
    </row>
    <row r="125">
      <c r="AI125" s="116" t="n"/>
      <c r="AJ125" s="116" t="n"/>
      <c r="AK125" s="116" t="n"/>
      <c r="AL125" s="116" t="n"/>
      <c r="AM125" s="116" t="n"/>
      <c r="AN125" s="116" t="n"/>
      <c r="AO125" s="116" t="n"/>
      <c r="AP125" s="116" t="n"/>
      <c r="AQ125" s="116" t="n"/>
      <c r="AR125" s="116" t="n"/>
      <c r="AS125" s="116" t="n"/>
      <c r="AT125" s="116" t="n"/>
      <c r="AU125" s="116" t="n"/>
      <c r="AV125" s="116" t="n"/>
    </row>
    <row r="126">
      <c r="AI126" s="116" t="n"/>
      <c r="AJ126" s="116" t="n"/>
      <c r="AK126" s="116" t="n"/>
      <c r="AL126" s="116" t="n"/>
      <c r="AM126" s="116" t="n"/>
      <c r="AN126" s="116" t="n"/>
      <c r="AO126" s="116" t="n"/>
      <c r="AP126" s="116" t="n"/>
      <c r="AQ126" s="116" t="n"/>
      <c r="AR126" s="116" t="n"/>
      <c r="AS126" s="116" t="n"/>
      <c r="AT126" s="116" t="n"/>
      <c r="AU126" s="116" t="n"/>
      <c r="AV126" s="116" t="n"/>
    </row>
    <row r="127">
      <c r="AI127" s="116" t="n"/>
      <c r="AJ127" s="116" t="n"/>
      <c r="AK127" s="116" t="n"/>
      <c r="AL127" s="116" t="n"/>
      <c r="AM127" s="116" t="n"/>
      <c r="AN127" s="116" t="n"/>
      <c r="AO127" s="116" t="n"/>
      <c r="AP127" s="116" t="n"/>
      <c r="AQ127" s="116" t="n"/>
      <c r="AR127" s="116" t="n"/>
      <c r="AS127" s="116" t="n"/>
      <c r="AT127" s="116" t="n"/>
      <c r="AU127" s="116" t="n"/>
      <c r="AV127" s="116" t="n"/>
    </row>
    <row r="128">
      <c r="AI128" s="116" t="n"/>
      <c r="AJ128" s="116" t="n"/>
      <c r="AK128" s="116" t="n"/>
      <c r="AL128" s="116" t="n"/>
      <c r="AM128" s="116" t="n"/>
      <c r="AN128" s="116" t="n"/>
      <c r="AO128" s="116" t="n"/>
      <c r="AP128" s="116" t="n"/>
      <c r="AQ128" s="116" t="n"/>
      <c r="AR128" s="116" t="n"/>
      <c r="AS128" s="116" t="n"/>
      <c r="AT128" s="116" t="n"/>
      <c r="AU128" s="116" t="n"/>
      <c r="AV128" s="116" t="n"/>
    </row>
    <row r="129">
      <c r="AI129" s="116" t="n"/>
      <c r="AJ129" s="116" t="n"/>
      <c r="AK129" s="116" t="n"/>
      <c r="AL129" s="116" t="n"/>
      <c r="AM129" s="116" t="n"/>
      <c r="AN129" s="116" t="n"/>
      <c r="AO129" s="116" t="n"/>
      <c r="AP129" s="116" t="n"/>
      <c r="AQ129" s="116" t="n"/>
      <c r="AR129" s="116" t="n"/>
      <c r="AS129" s="116" t="n"/>
      <c r="AT129" s="116" t="n"/>
      <c r="AU129" s="116" t="n"/>
      <c r="AV129" s="116" t="n"/>
    </row>
    <row r="130">
      <c r="AI130" s="116" t="n"/>
      <c r="AJ130" s="116" t="n"/>
      <c r="AK130" s="116" t="n"/>
      <c r="AL130" s="116" t="n"/>
      <c r="AM130" s="116" t="n"/>
      <c r="AN130" s="116" t="n"/>
      <c r="AO130" s="116" t="n"/>
      <c r="AP130" s="116" t="n"/>
      <c r="AQ130" s="116" t="n"/>
      <c r="AR130" s="116" t="n"/>
      <c r="AS130" s="116" t="n"/>
      <c r="AT130" s="116" t="n"/>
      <c r="AU130" s="116" t="n"/>
      <c r="AV130" s="116" t="n"/>
    </row>
    <row r="131">
      <c r="AI131" s="116" t="n"/>
      <c r="AJ131" s="116" t="n"/>
      <c r="AK131" s="116" t="n"/>
      <c r="AL131" s="116" t="n"/>
      <c r="AM131" s="116" t="n"/>
      <c r="AN131" s="116" t="n"/>
      <c r="AO131" s="116" t="n"/>
      <c r="AP131" s="116" t="n"/>
      <c r="AQ131" s="116" t="n"/>
      <c r="AR131" s="116" t="n"/>
      <c r="AS131" s="116" t="n"/>
      <c r="AT131" s="116" t="n"/>
      <c r="AU131" s="116" t="n"/>
      <c r="AV131" s="116" t="n"/>
    </row>
    <row r="132">
      <c r="AI132" s="116" t="n"/>
      <c r="AJ132" s="116" t="n"/>
      <c r="AK132" s="116" t="n"/>
      <c r="AL132" s="116" t="n"/>
      <c r="AM132" s="116" t="n"/>
      <c r="AN132" s="116" t="n"/>
      <c r="AO132" s="116" t="n"/>
      <c r="AP132" s="116" t="n"/>
      <c r="AQ132" s="116" t="n"/>
      <c r="AR132" s="116" t="n"/>
      <c r="AS132" s="116" t="n"/>
      <c r="AT132" s="116" t="n"/>
      <c r="AU132" s="116" t="n"/>
      <c r="AV132" s="116" t="n"/>
    </row>
    <row r="133">
      <c r="AI133" s="116" t="n"/>
      <c r="AJ133" s="116" t="n"/>
      <c r="AK133" s="116" t="n"/>
      <c r="AL133" s="116" t="n"/>
      <c r="AM133" s="116" t="n"/>
      <c r="AN133" s="116" t="n"/>
      <c r="AO133" s="116" t="n"/>
      <c r="AP133" s="116" t="n"/>
      <c r="AQ133" s="116" t="n"/>
      <c r="AR133" s="116" t="n"/>
      <c r="AS133" s="116" t="n"/>
      <c r="AT133" s="116" t="n"/>
      <c r="AU133" s="116" t="n"/>
      <c r="AV133" s="116" t="n"/>
    </row>
    <row r="134">
      <c r="AI134" s="116" t="n"/>
      <c r="AJ134" s="116" t="n"/>
      <c r="AK134" s="116" t="n"/>
      <c r="AL134" s="116" t="n"/>
      <c r="AM134" s="116" t="n"/>
      <c r="AN134" s="116" t="n"/>
      <c r="AO134" s="116" t="n"/>
      <c r="AP134" s="116" t="n"/>
      <c r="AQ134" s="116" t="n"/>
      <c r="AR134" s="116" t="n"/>
      <c r="AS134" s="116" t="n"/>
      <c r="AT134" s="116" t="n"/>
      <c r="AU134" s="116" t="n"/>
      <c r="AV134" s="116" t="n"/>
    </row>
    <row r="135">
      <c r="AI135" s="116" t="n"/>
      <c r="AJ135" s="116" t="n"/>
      <c r="AK135" s="116" t="n"/>
      <c r="AL135" s="116" t="n"/>
      <c r="AM135" s="116" t="n"/>
      <c r="AN135" s="116" t="n"/>
      <c r="AO135" s="116" t="n"/>
      <c r="AP135" s="116" t="n"/>
      <c r="AQ135" s="116" t="n"/>
      <c r="AR135" s="116" t="n"/>
      <c r="AS135" s="116" t="n"/>
      <c r="AT135" s="116" t="n"/>
      <c r="AU135" s="116" t="n"/>
      <c r="AV135" s="116" t="n"/>
    </row>
    <row r="136">
      <c r="AI136" s="116" t="n"/>
      <c r="AJ136" s="116" t="n"/>
      <c r="AK136" s="116" t="n"/>
      <c r="AL136" s="116" t="n"/>
      <c r="AM136" s="116" t="n"/>
      <c r="AN136" s="116" t="n"/>
      <c r="AO136" s="116" t="n"/>
      <c r="AP136" s="116" t="n"/>
      <c r="AQ136" s="116" t="n"/>
      <c r="AR136" s="116" t="n"/>
      <c r="AS136" s="116" t="n"/>
      <c r="AT136" s="116" t="n"/>
      <c r="AU136" s="116" t="n"/>
      <c r="AV136" s="116" t="n"/>
    </row>
    <row r="137">
      <c r="AI137" s="116" t="n"/>
      <c r="AJ137" s="116" t="n"/>
      <c r="AK137" s="116" t="n"/>
      <c r="AL137" s="116" t="n"/>
      <c r="AM137" s="116" t="n"/>
      <c r="AN137" s="116" t="n"/>
      <c r="AO137" s="116" t="n"/>
      <c r="AP137" s="116" t="n"/>
      <c r="AQ137" s="116" t="n"/>
      <c r="AR137" s="116" t="n"/>
      <c r="AS137" s="116" t="n"/>
      <c r="AT137" s="116" t="n"/>
      <c r="AU137" s="116" t="n"/>
      <c r="AV137" s="116" t="n"/>
    </row>
    <row r="138">
      <c r="AI138" s="116" t="n"/>
      <c r="AJ138" s="116" t="n"/>
      <c r="AK138" s="116" t="n"/>
      <c r="AL138" s="116" t="n"/>
      <c r="AM138" s="116" t="n"/>
      <c r="AN138" s="116" t="n"/>
      <c r="AO138" s="116" t="n"/>
      <c r="AP138" s="116" t="n"/>
      <c r="AQ138" s="116" t="n"/>
      <c r="AR138" s="116" t="n"/>
      <c r="AS138" s="116" t="n"/>
      <c r="AT138" s="116" t="n"/>
      <c r="AU138" s="116" t="n"/>
      <c r="AV138" s="116" t="n"/>
    </row>
    <row r="139">
      <c r="AI139" s="116" t="n"/>
      <c r="AJ139" s="116" t="n"/>
      <c r="AK139" s="116" t="n"/>
      <c r="AL139" s="116" t="n"/>
      <c r="AM139" s="116" t="n"/>
      <c r="AN139" s="116" t="n"/>
      <c r="AO139" s="116" t="n"/>
      <c r="AP139" s="116" t="n"/>
      <c r="AQ139" s="116" t="n"/>
      <c r="AR139" s="116" t="n"/>
      <c r="AS139" s="116" t="n"/>
      <c r="AT139" s="116" t="n"/>
      <c r="AU139" s="116" t="n"/>
      <c r="AV139" s="116" t="n"/>
    </row>
    <row r="140">
      <c r="AI140" s="116" t="n"/>
      <c r="AJ140" s="116" t="n"/>
      <c r="AK140" s="116" t="n"/>
      <c r="AL140" s="116" t="n"/>
      <c r="AM140" s="116" t="n"/>
      <c r="AN140" s="116" t="n"/>
      <c r="AO140" s="116" t="n"/>
      <c r="AP140" s="116" t="n"/>
      <c r="AQ140" s="116" t="n"/>
      <c r="AR140" s="116" t="n"/>
      <c r="AS140" s="116" t="n"/>
      <c r="AT140" s="116" t="n"/>
      <c r="AU140" s="116" t="n"/>
      <c r="AV140" s="116" t="n"/>
    </row>
    <row r="141">
      <c r="AI141" s="116" t="n"/>
      <c r="AJ141" s="116" t="n"/>
      <c r="AK141" s="116" t="n"/>
      <c r="AL141" s="116" t="n"/>
      <c r="AM141" s="116" t="n"/>
      <c r="AN141" s="116" t="n"/>
      <c r="AO141" s="116" t="n"/>
      <c r="AP141" s="116" t="n"/>
      <c r="AQ141" s="116" t="n"/>
      <c r="AR141" s="116" t="n"/>
      <c r="AS141" s="116" t="n"/>
      <c r="AT141" s="116" t="n"/>
      <c r="AU141" s="116" t="n"/>
      <c r="AV141" s="116" t="n"/>
    </row>
    <row r="142">
      <c r="AI142" s="116" t="n"/>
      <c r="AJ142" s="116" t="n"/>
      <c r="AK142" s="116" t="n"/>
      <c r="AL142" s="116" t="n"/>
      <c r="AM142" s="116" t="n"/>
      <c r="AN142" s="116" t="n"/>
      <c r="AO142" s="116" t="n"/>
      <c r="AP142" s="116" t="n"/>
      <c r="AQ142" s="116" t="n"/>
      <c r="AR142" s="116" t="n"/>
      <c r="AS142" s="116" t="n"/>
      <c r="AT142" s="116" t="n"/>
      <c r="AU142" s="116" t="n"/>
      <c r="AV142" s="116" t="n"/>
    </row>
    <row r="143">
      <c r="AI143" s="116" t="n"/>
      <c r="AJ143" s="116" t="n"/>
      <c r="AK143" s="116" t="n"/>
      <c r="AL143" s="116" t="n"/>
      <c r="AM143" s="116" t="n"/>
      <c r="AN143" s="116" t="n"/>
      <c r="AO143" s="116" t="n"/>
      <c r="AP143" s="116" t="n"/>
      <c r="AQ143" s="116" t="n"/>
      <c r="AR143" s="116" t="n"/>
      <c r="AS143" s="116" t="n"/>
      <c r="AT143" s="116" t="n"/>
      <c r="AU143" s="116" t="n"/>
      <c r="AV143" s="116" t="n"/>
    </row>
    <row r="144">
      <c r="AI144" s="116" t="n"/>
      <c r="AJ144" s="116" t="n"/>
      <c r="AK144" s="116" t="n"/>
      <c r="AL144" s="116" t="n"/>
      <c r="AM144" s="116" t="n"/>
      <c r="AN144" s="116" t="n"/>
      <c r="AO144" s="116" t="n"/>
      <c r="AP144" s="116" t="n"/>
      <c r="AQ144" s="116" t="n"/>
      <c r="AR144" s="116" t="n"/>
      <c r="AS144" s="116" t="n"/>
      <c r="AT144" s="116" t="n"/>
      <c r="AU144" s="116" t="n"/>
      <c r="AV144" s="116" t="n"/>
    </row>
    <row r="145">
      <c r="AI145" s="116" t="n"/>
      <c r="AJ145" s="116" t="n"/>
      <c r="AK145" s="116" t="n"/>
      <c r="AL145" s="116" t="n"/>
      <c r="AM145" s="116" t="n"/>
      <c r="AN145" s="116" t="n"/>
      <c r="AO145" s="116" t="n"/>
      <c r="AP145" s="116" t="n"/>
      <c r="AQ145" s="116" t="n"/>
      <c r="AR145" s="116" t="n"/>
      <c r="AS145" s="116" t="n"/>
      <c r="AT145" s="116" t="n"/>
      <c r="AU145" s="116" t="n"/>
      <c r="AV145" s="116" t="n"/>
    </row>
    <row r="146">
      <c r="AI146" s="116" t="n"/>
      <c r="AJ146" s="116" t="n"/>
      <c r="AK146" s="116" t="n"/>
      <c r="AL146" s="116" t="n"/>
      <c r="AM146" s="116" t="n"/>
      <c r="AN146" s="116" t="n"/>
      <c r="AO146" s="116" t="n"/>
      <c r="AP146" s="116" t="n"/>
      <c r="AQ146" s="116" t="n"/>
      <c r="AR146" s="116" t="n"/>
      <c r="AS146" s="116" t="n"/>
      <c r="AT146" s="116" t="n"/>
      <c r="AU146" s="116" t="n"/>
      <c r="AV146" s="116" t="n"/>
    </row>
    <row r="147">
      <c r="AI147" s="116" t="n"/>
      <c r="AJ147" s="116" t="n"/>
      <c r="AK147" s="116" t="n"/>
      <c r="AL147" s="116" t="n"/>
      <c r="AM147" s="116" t="n"/>
      <c r="AN147" s="116" t="n"/>
      <c r="AO147" s="116" t="n"/>
      <c r="AP147" s="116" t="n"/>
      <c r="AQ147" s="116" t="n"/>
      <c r="AR147" s="116" t="n"/>
      <c r="AS147" s="116" t="n"/>
      <c r="AT147" s="116" t="n"/>
      <c r="AU147" s="116" t="n"/>
      <c r="AV147" s="116" t="n"/>
    </row>
    <row r="148">
      <c r="AI148" s="116" t="n"/>
      <c r="AJ148" s="116" t="n"/>
      <c r="AK148" s="116" t="n"/>
      <c r="AL148" s="116" t="n"/>
      <c r="AM148" s="116" t="n"/>
      <c r="AN148" s="116" t="n"/>
      <c r="AO148" s="116" t="n"/>
      <c r="AP148" s="116" t="n"/>
      <c r="AQ148" s="116" t="n"/>
      <c r="AR148" s="116" t="n"/>
      <c r="AS148" s="116" t="n"/>
      <c r="AT148" s="116" t="n"/>
      <c r="AU148" s="116" t="n"/>
      <c r="AV148" s="116" t="n"/>
    </row>
    <row r="149">
      <c r="AI149" s="116" t="n"/>
      <c r="AJ149" s="116" t="n"/>
      <c r="AK149" s="116" t="n"/>
      <c r="AL149" s="116" t="n"/>
      <c r="AM149" s="116" t="n"/>
      <c r="AN149" s="116" t="n"/>
      <c r="AO149" s="116" t="n"/>
      <c r="AP149" s="116" t="n"/>
      <c r="AQ149" s="116" t="n"/>
      <c r="AR149" s="116" t="n"/>
      <c r="AS149" s="116" t="n"/>
      <c r="AT149" s="116" t="n"/>
      <c r="AU149" s="116" t="n"/>
      <c r="AV149" s="116" t="n"/>
    </row>
    <row r="150">
      <c r="AI150" s="116" t="n"/>
      <c r="AJ150" s="116" t="n"/>
      <c r="AK150" s="116" t="n"/>
      <c r="AL150" s="116" t="n"/>
      <c r="AM150" s="116" t="n"/>
      <c r="AN150" s="116" t="n"/>
      <c r="AO150" s="116" t="n"/>
      <c r="AP150" s="116" t="n"/>
      <c r="AQ150" s="116" t="n"/>
      <c r="AR150" s="116" t="n"/>
      <c r="AS150" s="116" t="n"/>
      <c r="AT150" s="116" t="n"/>
      <c r="AU150" s="116" t="n"/>
      <c r="AV150" s="116" t="n"/>
    </row>
    <row r="151">
      <c r="AI151" s="116" t="n"/>
      <c r="AJ151" s="116" t="n"/>
      <c r="AK151" s="116" t="n"/>
      <c r="AL151" s="116" t="n"/>
      <c r="AM151" s="116" t="n"/>
      <c r="AN151" s="116" t="n"/>
      <c r="AO151" s="116" t="n"/>
      <c r="AP151" s="116" t="n"/>
      <c r="AQ151" s="116" t="n"/>
      <c r="AR151" s="116" t="n"/>
      <c r="AS151" s="116" t="n"/>
      <c r="AT151" s="116" t="n"/>
      <c r="AU151" s="116" t="n"/>
      <c r="AV151" s="116" t="n"/>
    </row>
    <row r="152">
      <c r="AI152" s="116" t="n"/>
      <c r="AJ152" s="116" t="n"/>
      <c r="AK152" s="116" t="n"/>
      <c r="AL152" s="116" t="n"/>
      <c r="AM152" s="116" t="n"/>
      <c r="AN152" s="116" t="n"/>
      <c r="AO152" s="116" t="n"/>
      <c r="AP152" s="116" t="n"/>
      <c r="AQ152" s="116" t="n"/>
      <c r="AR152" s="116" t="n"/>
      <c r="AS152" s="116" t="n"/>
      <c r="AT152" s="116" t="n"/>
      <c r="AU152" s="116" t="n"/>
      <c r="AV152" s="116" t="n"/>
    </row>
    <row r="153">
      <c r="AI153" s="116" t="n"/>
      <c r="AJ153" s="116" t="n"/>
      <c r="AK153" s="116" t="n"/>
      <c r="AL153" s="116" t="n"/>
      <c r="AM153" s="116" t="n"/>
      <c r="AN153" s="116" t="n"/>
      <c r="AO153" s="116" t="n"/>
      <c r="AP153" s="116" t="n"/>
      <c r="AQ153" s="116" t="n"/>
      <c r="AR153" s="116" t="n"/>
      <c r="AS153" s="116" t="n"/>
      <c r="AT153" s="116" t="n"/>
      <c r="AU153" s="116" t="n"/>
      <c r="AV153" s="116" t="n"/>
    </row>
    <row r="154">
      <c r="AI154" s="116" t="n"/>
      <c r="AJ154" s="116" t="n"/>
      <c r="AK154" s="116" t="n"/>
      <c r="AL154" s="116" t="n"/>
      <c r="AM154" s="116" t="n"/>
      <c r="AN154" s="116" t="n"/>
      <c r="AO154" s="116" t="n"/>
      <c r="AP154" s="116" t="n"/>
      <c r="AQ154" s="116" t="n"/>
      <c r="AR154" s="116" t="n"/>
      <c r="AS154" s="116" t="n"/>
      <c r="AT154" s="116" t="n"/>
      <c r="AU154" s="116" t="n"/>
      <c r="AV154" s="116" t="n"/>
    </row>
    <row r="155">
      <c r="AI155" s="116" t="n"/>
      <c r="AJ155" s="116" t="n"/>
      <c r="AK155" s="116" t="n"/>
      <c r="AL155" s="116" t="n"/>
      <c r="AM155" s="116" t="n"/>
      <c r="AN155" s="116" t="n"/>
      <c r="AO155" s="116" t="n"/>
      <c r="AP155" s="116" t="n"/>
      <c r="AQ155" s="116" t="n"/>
      <c r="AR155" s="116" t="n"/>
      <c r="AS155" s="116" t="n"/>
      <c r="AT155" s="116" t="n"/>
      <c r="AU155" s="116" t="n"/>
      <c r="AV155" s="116" t="n"/>
    </row>
    <row r="156">
      <c r="AI156" s="116" t="n"/>
      <c r="AJ156" s="116" t="n"/>
      <c r="AK156" s="116" t="n"/>
      <c r="AL156" s="116" t="n"/>
      <c r="AM156" s="116" t="n"/>
      <c r="AN156" s="116" t="n"/>
      <c r="AO156" s="116" t="n"/>
      <c r="AP156" s="116" t="n"/>
      <c r="AQ156" s="116" t="n"/>
      <c r="AR156" s="116" t="n"/>
      <c r="AS156" s="116" t="n"/>
      <c r="AT156" s="116" t="n"/>
      <c r="AU156" s="116" t="n"/>
      <c r="AV156" s="116" t="n"/>
    </row>
    <row r="157">
      <c r="AI157" s="116" t="n"/>
      <c r="AJ157" s="116" t="n"/>
      <c r="AK157" s="116" t="n"/>
      <c r="AL157" s="116" t="n"/>
      <c r="AM157" s="116" t="n"/>
      <c r="AN157" s="116" t="n"/>
      <c r="AO157" s="116" t="n"/>
      <c r="AP157" s="116" t="n"/>
      <c r="AQ157" s="116" t="n"/>
      <c r="AR157" s="116" t="n"/>
      <c r="AS157" s="116" t="n"/>
      <c r="AT157" s="116" t="n"/>
      <c r="AU157" s="116" t="n"/>
      <c r="AV157" s="116" t="n"/>
    </row>
    <row r="158">
      <c r="AI158" s="116" t="n"/>
      <c r="AJ158" s="116" t="n"/>
      <c r="AK158" s="116" t="n"/>
      <c r="AL158" s="116" t="n"/>
      <c r="AM158" s="116" t="n"/>
      <c r="AN158" s="116" t="n"/>
      <c r="AO158" s="116" t="n"/>
      <c r="AP158" s="116" t="n"/>
      <c r="AQ158" s="116" t="n"/>
      <c r="AR158" s="116" t="n"/>
      <c r="AS158" s="116" t="n"/>
      <c r="AT158" s="116" t="n"/>
      <c r="AU158" s="116" t="n"/>
      <c r="AV158" s="116" t="n"/>
    </row>
    <row r="159">
      <c r="AI159" s="116" t="n"/>
      <c r="AJ159" s="116" t="n"/>
      <c r="AK159" s="116" t="n"/>
      <c r="AL159" s="116" t="n"/>
      <c r="AM159" s="116" t="n"/>
      <c r="AN159" s="116" t="n"/>
      <c r="AO159" s="116" t="n"/>
      <c r="AP159" s="116" t="n"/>
      <c r="AQ159" s="116" t="n"/>
      <c r="AR159" s="116" t="n"/>
      <c r="AS159" s="116" t="n"/>
      <c r="AT159" s="116" t="n"/>
      <c r="AU159" s="116" t="n"/>
      <c r="AV159" s="116" t="n"/>
    </row>
    <row r="160">
      <c r="AI160" s="116" t="n"/>
      <c r="AJ160" s="116" t="n"/>
      <c r="AK160" s="116" t="n"/>
      <c r="AL160" s="116" t="n"/>
      <c r="AM160" s="116" t="n"/>
      <c r="AN160" s="116" t="n"/>
      <c r="AO160" s="116" t="n"/>
      <c r="AP160" s="116" t="n"/>
      <c r="AQ160" s="116" t="n"/>
      <c r="AR160" s="116" t="n"/>
      <c r="AS160" s="116" t="n"/>
      <c r="AT160" s="116" t="n"/>
      <c r="AU160" s="116" t="n"/>
      <c r="AV160" s="116" t="n"/>
    </row>
    <row r="161">
      <c r="AI161" s="116" t="n"/>
      <c r="AJ161" s="116" t="n"/>
      <c r="AK161" s="116" t="n"/>
      <c r="AL161" s="116" t="n"/>
      <c r="AM161" s="116" t="n"/>
      <c r="AN161" s="116" t="n"/>
      <c r="AO161" s="116" t="n"/>
      <c r="AP161" s="116" t="n"/>
      <c r="AQ161" s="116" t="n"/>
      <c r="AR161" s="116" t="n"/>
      <c r="AS161" s="116" t="n"/>
      <c r="AT161" s="116" t="n"/>
      <c r="AU161" s="116" t="n"/>
      <c r="AV161" s="116" t="n"/>
    </row>
    <row r="162">
      <c r="AI162" s="116" t="n"/>
      <c r="AJ162" s="116" t="n"/>
      <c r="AK162" s="116" t="n"/>
      <c r="AL162" s="116" t="n"/>
      <c r="AM162" s="116" t="n"/>
      <c r="AN162" s="116" t="n"/>
      <c r="AO162" s="116" t="n"/>
      <c r="AP162" s="116" t="n"/>
      <c r="AQ162" s="116" t="n"/>
      <c r="AR162" s="116" t="n"/>
      <c r="AS162" s="116" t="n"/>
      <c r="AT162" s="116" t="n"/>
      <c r="AU162" s="116" t="n"/>
      <c r="AV162" s="116" t="n"/>
    </row>
    <row r="163">
      <c r="AI163" s="116" t="n"/>
      <c r="AJ163" s="116" t="n"/>
      <c r="AK163" s="116" t="n"/>
      <c r="AL163" s="116" t="n"/>
      <c r="AM163" s="116" t="n"/>
      <c r="AN163" s="116" t="n"/>
      <c r="AO163" s="116" t="n"/>
      <c r="AP163" s="116" t="n"/>
      <c r="AQ163" s="116" t="n"/>
      <c r="AR163" s="116" t="n"/>
      <c r="AS163" s="116" t="n"/>
      <c r="AT163" s="116" t="n"/>
      <c r="AU163" s="116" t="n"/>
      <c r="AV163" s="116" t="n"/>
    </row>
    <row r="164">
      <c r="AI164" s="116" t="n"/>
      <c r="AJ164" s="116" t="n"/>
      <c r="AK164" s="116" t="n"/>
      <c r="AL164" s="116" t="n"/>
      <c r="AM164" s="116" t="n"/>
      <c r="AN164" s="116" t="n"/>
      <c r="AO164" s="116" t="n"/>
      <c r="AP164" s="116" t="n"/>
      <c r="AQ164" s="116" t="n"/>
      <c r="AR164" s="116" t="n"/>
      <c r="AS164" s="116" t="n"/>
      <c r="AT164" s="116" t="n"/>
      <c r="AU164" s="116" t="n"/>
      <c r="AV164" s="116" t="n"/>
    </row>
    <row r="165">
      <c r="AI165" s="116" t="n"/>
      <c r="AJ165" s="116" t="n"/>
      <c r="AK165" s="116" t="n"/>
      <c r="AL165" s="116" t="n"/>
      <c r="AM165" s="116" t="n"/>
      <c r="AN165" s="116" t="n"/>
      <c r="AO165" s="116" t="n"/>
      <c r="AP165" s="116" t="n"/>
      <c r="AQ165" s="116" t="n"/>
      <c r="AR165" s="116" t="n"/>
      <c r="AS165" s="116" t="n"/>
      <c r="AT165" s="116" t="n"/>
      <c r="AU165" s="116" t="n"/>
      <c r="AV165" s="116" t="n"/>
    </row>
    <row r="166">
      <c r="AI166" s="116" t="n"/>
      <c r="AJ166" s="116" t="n"/>
      <c r="AK166" s="116" t="n"/>
      <c r="AL166" s="116" t="n"/>
      <c r="AM166" s="116" t="n"/>
      <c r="AN166" s="116" t="n"/>
      <c r="AO166" s="116" t="n"/>
      <c r="AP166" s="116" t="n"/>
      <c r="AQ166" s="116" t="n"/>
      <c r="AR166" s="116" t="n"/>
      <c r="AS166" s="116" t="n"/>
      <c r="AT166" s="116" t="n"/>
      <c r="AU166" s="116" t="n"/>
      <c r="AV166" s="116" t="n"/>
    </row>
    <row r="167">
      <c r="AI167" s="116" t="n"/>
      <c r="AJ167" s="116" t="n"/>
      <c r="AK167" s="116" t="n"/>
      <c r="AL167" s="116" t="n"/>
      <c r="AM167" s="116" t="n"/>
      <c r="AN167" s="116" t="n"/>
      <c r="AO167" s="116" t="n"/>
      <c r="AP167" s="116" t="n"/>
      <c r="AQ167" s="116" t="n"/>
      <c r="AR167" s="116" t="n"/>
      <c r="AS167" s="116" t="n"/>
      <c r="AT167" s="116" t="n"/>
      <c r="AU167" s="116" t="n"/>
      <c r="AV167" s="116" t="n"/>
    </row>
    <row r="168">
      <c r="AI168" s="116" t="n"/>
      <c r="AJ168" s="116" t="n"/>
      <c r="AK168" s="116" t="n"/>
      <c r="AL168" s="116" t="n"/>
      <c r="AM168" s="116" t="n"/>
      <c r="AN168" s="116" t="n"/>
      <c r="AO168" s="116" t="n"/>
      <c r="AP168" s="116" t="n"/>
      <c r="AQ168" s="116" t="n"/>
      <c r="AR168" s="116" t="n"/>
      <c r="AS168" s="116" t="n"/>
      <c r="AT168" s="116" t="n"/>
      <c r="AU168" s="116" t="n"/>
      <c r="AV168" s="116" t="n"/>
    </row>
    <row r="169">
      <c r="AI169" s="116" t="n"/>
      <c r="AJ169" s="116" t="n"/>
      <c r="AK169" s="116" t="n"/>
      <c r="AL169" s="116" t="n"/>
      <c r="AM169" s="116" t="n"/>
      <c r="AN169" s="116" t="n"/>
      <c r="AO169" s="116" t="n"/>
      <c r="AP169" s="116" t="n"/>
      <c r="AQ169" s="116" t="n"/>
      <c r="AR169" s="116" t="n"/>
      <c r="AS169" s="116" t="n"/>
      <c r="AT169" s="116" t="n"/>
      <c r="AU169" s="116" t="n"/>
      <c r="AV169" s="116" t="n"/>
    </row>
    <row r="170">
      <c r="AI170" s="116" t="n"/>
      <c r="AJ170" s="116" t="n"/>
      <c r="AK170" s="116" t="n"/>
      <c r="AL170" s="116" t="n"/>
      <c r="AM170" s="116" t="n"/>
      <c r="AN170" s="116" t="n"/>
      <c r="AO170" s="116" t="n"/>
      <c r="AP170" s="116" t="n"/>
      <c r="AQ170" s="116" t="n"/>
      <c r="AR170" s="116" t="n"/>
      <c r="AS170" s="116" t="n"/>
      <c r="AT170" s="116" t="n"/>
      <c r="AU170" s="116" t="n"/>
      <c r="AV170" s="116" t="n"/>
    </row>
    <row r="171">
      <c r="AI171" s="116" t="n"/>
      <c r="AJ171" s="116" t="n"/>
      <c r="AK171" s="116" t="n"/>
      <c r="AL171" s="116" t="n"/>
      <c r="AM171" s="116" t="n"/>
      <c r="AN171" s="116" t="n"/>
      <c r="AO171" s="116" t="n"/>
      <c r="AP171" s="116" t="n"/>
      <c r="AQ171" s="116" t="n"/>
      <c r="AR171" s="116" t="n"/>
      <c r="AS171" s="116" t="n"/>
      <c r="AT171" s="116" t="n"/>
      <c r="AU171" s="116" t="n"/>
      <c r="AV171" s="116" t="n"/>
    </row>
    <row r="172">
      <c r="AI172" s="116" t="n"/>
      <c r="AJ172" s="116" t="n"/>
      <c r="AK172" s="116" t="n"/>
      <c r="AL172" s="116" t="n"/>
      <c r="AM172" s="116" t="n"/>
      <c r="AN172" s="116" t="n"/>
      <c r="AO172" s="116" t="n"/>
      <c r="AP172" s="116" t="n"/>
      <c r="AQ172" s="116" t="n"/>
      <c r="AR172" s="116" t="n"/>
      <c r="AS172" s="116" t="n"/>
      <c r="AT172" s="116" t="n"/>
      <c r="AU172" s="116" t="n"/>
      <c r="AV172" s="116" t="n"/>
    </row>
    <row r="173">
      <c r="AI173" s="116" t="n"/>
      <c r="AJ173" s="116" t="n"/>
      <c r="AK173" s="116" t="n"/>
      <c r="AL173" s="116" t="n"/>
      <c r="AM173" s="116" t="n"/>
      <c r="AN173" s="116" t="n"/>
      <c r="AO173" s="116" t="n"/>
      <c r="AP173" s="116" t="n"/>
      <c r="AQ173" s="116" t="n"/>
      <c r="AR173" s="116" t="n"/>
      <c r="AS173" s="116" t="n"/>
      <c r="AT173" s="116" t="n"/>
      <c r="AU173" s="116" t="n"/>
      <c r="AV173" s="116" t="n"/>
    </row>
    <row r="174">
      <c r="AI174" s="116" t="n"/>
      <c r="AJ174" s="116" t="n"/>
      <c r="AK174" s="116" t="n"/>
      <c r="AL174" s="116" t="n"/>
      <c r="AM174" s="116" t="n"/>
      <c r="AN174" s="116" t="n"/>
      <c r="AO174" s="116" t="n"/>
      <c r="AP174" s="116" t="n"/>
      <c r="AQ174" s="116" t="n"/>
      <c r="AR174" s="116" t="n"/>
      <c r="AS174" s="116" t="n"/>
      <c r="AT174" s="116" t="n"/>
      <c r="AU174" s="116" t="n"/>
      <c r="AV174" s="116" t="n"/>
    </row>
    <row r="175">
      <c r="AI175" s="116" t="n"/>
      <c r="AJ175" s="116" t="n"/>
      <c r="AK175" s="116" t="n"/>
      <c r="AL175" s="116" t="n"/>
      <c r="AM175" s="116" t="n"/>
      <c r="AN175" s="116" t="n"/>
      <c r="AO175" s="116" t="n"/>
      <c r="AP175" s="116" t="n"/>
      <c r="AQ175" s="116" t="n"/>
      <c r="AR175" s="116" t="n"/>
      <c r="AS175" s="116" t="n"/>
      <c r="AT175" s="116" t="n"/>
      <c r="AU175" s="116" t="n"/>
      <c r="AV175" s="116" t="n"/>
    </row>
    <row r="176">
      <c r="AI176" s="116" t="n"/>
      <c r="AJ176" s="116" t="n"/>
      <c r="AK176" s="116" t="n"/>
      <c r="AL176" s="116" t="n"/>
      <c r="AM176" s="116" t="n"/>
      <c r="AN176" s="116" t="n"/>
      <c r="AO176" s="116" t="n"/>
      <c r="AP176" s="116" t="n"/>
      <c r="AQ176" s="116" t="n"/>
      <c r="AR176" s="116" t="n"/>
      <c r="AS176" s="116" t="n"/>
      <c r="AT176" s="116" t="n"/>
      <c r="AU176" s="116" t="n"/>
      <c r="AV176" s="116" t="n"/>
    </row>
    <row r="177">
      <c r="AI177" s="116" t="n"/>
      <c r="AJ177" s="116" t="n"/>
      <c r="AK177" s="116" t="n"/>
      <c r="AL177" s="116" t="n"/>
      <c r="AM177" s="116" t="n"/>
      <c r="AN177" s="116" t="n"/>
      <c r="AO177" s="116" t="n"/>
      <c r="AP177" s="116" t="n"/>
      <c r="AQ177" s="116" t="n"/>
      <c r="AR177" s="116" t="n"/>
      <c r="AS177" s="116" t="n"/>
      <c r="AT177" s="116" t="n"/>
      <c r="AU177" s="116" t="n"/>
      <c r="AV177" s="116" t="n"/>
    </row>
    <row r="178">
      <c r="AI178" s="116" t="n"/>
      <c r="AJ178" s="116" t="n"/>
      <c r="AK178" s="116" t="n"/>
      <c r="AL178" s="116" t="n"/>
      <c r="AM178" s="116" t="n"/>
      <c r="AN178" s="116" t="n"/>
      <c r="AO178" s="116" t="n"/>
      <c r="AP178" s="116" t="n"/>
      <c r="AQ178" s="116" t="n"/>
      <c r="AR178" s="116" t="n"/>
      <c r="AS178" s="116" t="n"/>
      <c r="AT178" s="116" t="n"/>
      <c r="AU178" s="116" t="n"/>
      <c r="AV178" s="116" t="n"/>
    </row>
    <row r="179">
      <c r="AI179" s="116" t="n"/>
      <c r="AJ179" s="116" t="n"/>
      <c r="AK179" s="116" t="n"/>
      <c r="AL179" s="116" t="n"/>
      <c r="AM179" s="116" t="n"/>
      <c r="AN179" s="116" t="n"/>
      <c r="AO179" s="116" t="n"/>
      <c r="AP179" s="116" t="n"/>
      <c r="AQ179" s="116" t="n"/>
      <c r="AR179" s="116" t="n"/>
      <c r="AS179" s="116" t="n"/>
      <c r="AT179" s="116" t="n"/>
      <c r="AU179" s="116" t="n"/>
      <c r="AV179" s="116" t="n"/>
    </row>
    <row r="180">
      <c r="AI180" s="116" t="n"/>
      <c r="AJ180" s="116" t="n"/>
      <c r="AK180" s="116" t="n"/>
      <c r="AL180" s="116" t="n"/>
      <c r="AM180" s="116" t="n"/>
      <c r="AN180" s="116" t="n"/>
      <c r="AO180" s="116" t="n"/>
      <c r="AP180" s="116" t="n"/>
      <c r="AQ180" s="116" t="n"/>
      <c r="AR180" s="116" t="n"/>
      <c r="AS180" s="116" t="n"/>
      <c r="AT180" s="116" t="n"/>
      <c r="AU180" s="116" t="n"/>
      <c r="AV180" s="116" t="n"/>
    </row>
    <row r="181">
      <c r="AI181" s="116" t="n"/>
      <c r="AJ181" s="116" t="n"/>
      <c r="AK181" s="116" t="n"/>
      <c r="AL181" s="116" t="n"/>
      <c r="AM181" s="116" t="n"/>
      <c r="AN181" s="116" t="n"/>
      <c r="AO181" s="116" t="n"/>
      <c r="AP181" s="116" t="n"/>
      <c r="AQ181" s="116" t="n"/>
      <c r="AR181" s="116" t="n"/>
      <c r="AS181" s="116" t="n"/>
      <c r="AT181" s="116" t="n"/>
      <c r="AU181" s="116" t="n"/>
      <c r="AV181" s="116" t="n"/>
    </row>
    <row r="182">
      <c r="AI182" s="116" t="n"/>
      <c r="AJ182" s="116" t="n"/>
      <c r="AK182" s="116" t="n"/>
      <c r="AL182" s="116" t="n"/>
      <c r="AM182" s="116" t="n"/>
      <c r="AN182" s="116" t="n"/>
      <c r="AO182" s="116" t="n"/>
      <c r="AP182" s="116" t="n"/>
      <c r="AQ182" s="116" t="n"/>
      <c r="AR182" s="116" t="n"/>
      <c r="AS182" s="116" t="n"/>
      <c r="AT182" s="116" t="n"/>
      <c r="AU182" s="116" t="n"/>
      <c r="AV182" s="116" t="n"/>
    </row>
    <row r="183">
      <c r="AI183" s="116" t="n"/>
      <c r="AJ183" s="116" t="n"/>
      <c r="AK183" s="116" t="n"/>
      <c r="AL183" s="116" t="n"/>
      <c r="AM183" s="116" t="n"/>
      <c r="AN183" s="116" t="n"/>
      <c r="AO183" s="116" t="n"/>
      <c r="AP183" s="116" t="n"/>
      <c r="AQ183" s="116" t="n"/>
      <c r="AR183" s="116" t="n"/>
      <c r="AS183" s="116" t="n"/>
      <c r="AT183" s="116" t="n"/>
      <c r="AU183" s="116" t="n"/>
      <c r="AV183" s="116" t="n"/>
    </row>
    <row r="184">
      <c r="AI184" s="116" t="n"/>
      <c r="AJ184" s="116" t="n"/>
      <c r="AK184" s="116" t="n"/>
      <c r="AL184" s="116" t="n"/>
      <c r="AM184" s="116" t="n"/>
      <c r="AN184" s="116" t="n"/>
      <c r="AO184" s="116" t="n"/>
      <c r="AP184" s="116" t="n"/>
      <c r="AQ184" s="116" t="n"/>
      <c r="AR184" s="116" t="n"/>
      <c r="AS184" s="116" t="n"/>
      <c r="AT184" s="116" t="n"/>
      <c r="AU184" s="116" t="n"/>
      <c r="AV184" s="116" t="n"/>
    </row>
    <row r="185">
      <c r="AI185" s="116" t="n"/>
      <c r="AJ185" s="116" t="n"/>
      <c r="AK185" s="116" t="n"/>
      <c r="AL185" s="116" t="n"/>
      <c r="AM185" s="116" t="n"/>
      <c r="AN185" s="116" t="n"/>
      <c r="AO185" s="116" t="n"/>
      <c r="AP185" s="116" t="n"/>
      <c r="AQ185" s="116" t="n"/>
      <c r="AR185" s="116" t="n"/>
      <c r="AS185" s="116" t="n"/>
      <c r="AT185" s="116" t="n"/>
      <c r="AU185" s="116" t="n"/>
      <c r="AV185" s="116" t="n"/>
    </row>
    <row r="186">
      <c r="AI186" s="116" t="n"/>
      <c r="AJ186" s="116" t="n"/>
      <c r="AK186" s="116" t="n"/>
      <c r="AL186" s="116" t="n"/>
      <c r="AM186" s="116" t="n"/>
      <c r="AN186" s="116" t="n"/>
      <c r="AO186" s="116" t="n"/>
      <c r="AP186" s="116" t="n"/>
      <c r="AQ186" s="116" t="n"/>
      <c r="AR186" s="116" t="n"/>
      <c r="AS186" s="116" t="n"/>
      <c r="AT186" s="116" t="n"/>
      <c r="AU186" s="116" t="n"/>
      <c r="AV186" s="116" t="n"/>
    </row>
    <row r="187">
      <c r="AI187" s="116" t="n"/>
      <c r="AJ187" s="116" t="n"/>
      <c r="AK187" s="116" t="n"/>
      <c r="AL187" s="116" t="n"/>
      <c r="AM187" s="116" t="n"/>
      <c r="AN187" s="116" t="n"/>
      <c r="AO187" s="116" t="n"/>
      <c r="AP187" s="116" t="n"/>
      <c r="AQ187" s="116" t="n"/>
      <c r="AR187" s="116" t="n"/>
      <c r="AS187" s="116" t="n"/>
      <c r="AT187" s="116" t="n"/>
      <c r="AU187" s="116" t="n"/>
      <c r="AV187" s="116" t="n"/>
    </row>
    <row r="188">
      <c r="AI188" s="116" t="n"/>
      <c r="AJ188" s="116" t="n"/>
      <c r="AK188" s="116" t="n"/>
      <c r="AL188" s="116" t="n"/>
      <c r="AM188" s="116" t="n"/>
      <c r="AN188" s="116" t="n"/>
      <c r="AO188" s="116" t="n"/>
      <c r="AP188" s="116" t="n"/>
      <c r="AQ188" s="116" t="n"/>
      <c r="AR188" s="116" t="n"/>
      <c r="AS188" s="116" t="n"/>
      <c r="AT188" s="116" t="n"/>
      <c r="AU188" s="116" t="n"/>
      <c r="AV188" s="116" t="n"/>
    </row>
    <row r="189">
      <c r="AI189" s="116" t="n"/>
      <c r="AJ189" s="116" t="n"/>
      <c r="AK189" s="116" t="n"/>
      <c r="AL189" s="116" t="n"/>
      <c r="AM189" s="116" t="n"/>
      <c r="AN189" s="116" t="n"/>
      <c r="AO189" s="116" t="n"/>
      <c r="AP189" s="116" t="n"/>
      <c r="AQ189" s="116" t="n"/>
      <c r="AR189" s="116" t="n"/>
      <c r="AS189" s="116" t="n"/>
      <c r="AT189" s="116" t="n"/>
      <c r="AU189" s="116" t="n"/>
      <c r="AV189" s="116" t="n"/>
    </row>
    <row r="190">
      <c r="AI190" s="116" t="n"/>
      <c r="AJ190" s="116" t="n"/>
      <c r="AK190" s="116" t="n"/>
      <c r="AL190" s="116" t="n"/>
      <c r="AM190" s="116" t="n"/>
      <c r="AN190" s="116" t="n"/>
      <c r="AO190" s="116" t="n"/>
      <c r="AP190" s="116" t="n"/>
      <c r="AQ190" s="116" t="n"/>
      <c r="AR190" s="116" t="n"/>
      <c r="AS190" s="116" t="n"/>
      <c r="AT190" s="116" t="n"/>
      <c r="AU190" s="116" t="n"/>
      <c r="AV190" s="116" t="n"/>
    </row>
    <row r="191">
      <c r="AI191" s="116" t="n"/>
      <c r="AJ191" s="116" t="n"/>
      <c r="AK191" s="116" t="n"/>
      <c r="AL191" s="116" t="n"/>
      <c r="AM191" s="116" t="n"/>
      <c r="AN191" s="116" t="n"/>
      <c r="AO191" s="116" t="n"/>
      <c r="AP191" s="116" t="n"/>
      <c r="AQ191" s="116" t="n"/>
      <c r="AR191" s="116" t="n"/>
      <c r="AS191" s="116" t="n"/>
      <c r="AT191" s="116" t="n"/>
      <c r="AU191" s="116" t="n"/>
      <c r="AV191" s="116" t="n"/>
    </row>
    <row r="192">
      <c r="AI192" s="116" t="n"/>
      <c r="AJ192" s="116" t="n"/>
      <c r="AK192" s="116" t="n"/>
      <c r="AL192" s="116" t="n"/>
      <c r="AM192" s="116" t="n"/>
      <c r="AN192" s="116" t="n"/>
      <c r="AO192" s="116" t="n"/>
      <c r="AP192" s="116" t="n"/>
      <c r="AQ192" s="116" t="n"/>
      <c r="AR192" s="116" t="n"/>
      <c r="AS192" s="116" t="n"/>
      <c r="AT192" s="116" t="n"/>
      <c r="AU192" s="116" t="n"/>
      <c r="AV192" s="116" t="n"/>
    </row>
    <row r="193">
      <c r="AI193" s="116" t="n"/>
      <c r="AJ193" s="116" t="n"/>
      <c r="AK193" s="116" t="n"/>
      <c r="AL193" s="116" t="n"/>
      <c r="AM193" s="116" t="n"/>
      <c r="AN193" s="116" t="n"/>
      <c r="AO193" s="116" t="n"/>
      <c r="AP193" s="116" t="n"/>
      <c r="AQ193" s="116" t="n"/>
      <c r="AR193" s="116" t="n"/>
      <c r="AS193" s="116" t="n"/>
      <c r="AT193" s="116" t="n"/>
      <c r="AU193" s="116" t="n"/>
      <c r="AV193" s="116" t="n"/>
    </row>
    <row r="194">
      <c r="AI194" s="116" t="n"/>
      <c r="AJ194" s="116" t="n"/>
      <c r="AK194" s="116" t="n"/>
      <c r="AL194" s="116" t="n"/>
      <c r="AM194" s="116" t="n"/>
      <c r="AN194" s="116" t="n"/>
      <c r="AO194" s="116" t="n"/>
      <c r="AP194" s="116" t="n"/>
      <c r="AQ194" s="116" t="n"/>
      <c r="AR194" s="116" t="n"/>
      <c r="AS194" s="116" t="n"/>
      <c r="AT194" s="116" t="n"/>
      <c r="AU194" s="116" t="n"/>
      <c r="AV194" s="116" t="n"/>
    </row>
    <row r="195">
      <c r="AI195" s="116" t="n"/>
      <c r="AJ195" s="116" t="n"/>
      <c r="AK195" s="116" t="n"/>
      <c r="AL195" s="116" t="n"/>
      <c r="AM195" s="116" t="n"/>
      <c r="AN195" s="116" t="n"/>
      <c r="AO195" s="116" t="n"/>
      <c r="AP195" s="116" t="n"/>
      <c r="AQ195" s="116" t="n"/>
      <c r="AR195" s="116" t="n"/>
      <c r="AS195" s="116" t="n"/>
      <c r="AT195" s="116" t="n"/>
      <c r="AU195" s="116" t="n"/>
      <c r="AV195" s="116" t="n"/>
    </row>
    <row r="196">
      <c r="AI196" s="116" t="n"/>
      <c r="AJ196" s="116" t="n"/>
      <c r="AK196" s="116" t="n"/>
      <c r="AL196" s="116" t="n"/>
      <c r="AM196" s="116" t="n"/>
      <c r="AN196" s="116" t="n"/>
      <c r="AO196" s="116" t="n"/>
      <c r="AP196" s="116" t="n"/>
      <c r="AQ196" s="116" t="n"/>
      <c r="AR196" s="116" t="n"/>
      <c r="AS196" s="116" t="n"/>
      <c r="AT196" s="116" t="n"/>
      <c r="AU196" s="116" t="n"/>
      <c r="AV196" s="116" t="n"/>
    </row>
    <row r="197">
      <c r="AI197" s="116" t="n"/>
      <c r="AJ197" s="116" t="n"/>
      <c r="AK197" s="116" t="n"/>
      <c r="AL197" s="116" t="n"/>
      <c r="AM197" s="116" t="n"/>
      <c r="AN197" s="116" t="n"/>
      <c r="AO197" s="116" t="n"/>
      <c r="AP197" s="116" t="n"/>
      <c r="AQ197" s="116" t="n"/>
      <c r="AR197" s="116" t="n"/>
      <c r="AS197" s="116" t="n"/>
      <c r="AT197" s="116" t="n"/>
      <c r="AU197" s="116" t="n"/>
      <c r="AV197" s="116" t="n"/>
    </row>
    <row r="198">
      <c r="AI198" s="116" t="n"/>
      <c r="AJ198" s="116" t="n"/>
      <c r="AK198" s="116" t="n"/>
      <c r="AL198" s="116" t="n"/>
      <c r="AM198" s="116" t="n"/>
      <c r="AN198" s="116" t="n"/>
      <c r="AO198" s="116" t="n"/>
      <c r="AP198" s="116" t="n"/>
      <c r="AQ198" s="116" t="n"/>
      <c r="AR198" s="116" t="n"/>
      <c r="AS198" s="116" t="n"/>
      <c r="AT198" s="116" t="n"/>
      <c r="AU198" s="116" t="n"/>
      <c r="AV198" s="116" t="n"/>
    </row>
    <row r="199">
      <c r="AI199" s="116" t="n"/>
      <c r="AJ199" s="116" t="n"/>
      <c r="AK199" s="116" t="n"/>
      <c r="AL199" s="116" t="n"/>
      <c r="AM199" s="116" t="n"/>
      <c r="AN199" s="116" t="n"/>
      <c r="AO199" s="116" t="n"/>
      <c r="AP199" s="116" t="n"/>
      <c r="AQ199" s="116" t="n"/>
      <c r="AR199" s="116" t="n"/>
      <c r="AS199" s="116" t="n"/>
      <c r="AT199" s="116" t="n"/>
      <c r="AU199" s="116" t="n"/>
      <c r="AV199" s="116" t="n"/>
    </row>
    <row r="200">
      <c r="AI200" s="116" t="n"/>
      <c r="AJ200" s="116" t="n"/>
      <c r="AK200" s="116" t="n"/>
      <c r="AL200" s="116" t="n"/>
      <c r="AM200" s="116" t="n"/>
      <c r="AN200" s="116" t="n"/>
      <c r="AO200" s="116" t="n"/>
      <c r="AP200" s="116" t="n"/>
      <c r="AQ200" s="116" t="n"/>
      <c r="AR200" s="116" t="n"/>
      <c r="AS200" s="116" t="n"/>
      <c r="AT200" s="116" t="n"/>
      <c r="AU200" s="116" t="n"/>
      <c r="AV200" s="116" t="n"/>
    </row>
    <row r="201">
      <c r="AI201" s="116" t="n"/>
      <c r="AJ201" s="116" t="n"/>
      <c r="AK201" s="116" t="n"/>
      <c r="AL201" s="116" t="n"/>
      <c r="AM201" s="116" t="n"/>
      <c r="AN201" s="116" t="n"/>
      <c r="AO201" s="116" t="n"/>
      <c r="AP201" s="116" t="n"/>
      <c r="AQ201" s="116" t="n"/>
      <c r="AR201" s="116" t="n"/>
      <c r="AS201" s="116" t="n"/>
      <c r="AT201" s="116" t="n"/>
      <c r="AU201" s="116" t="n"/>
      <c r="AV201" s="116" t="n"/>
    </row>
    <row r="202">
      <c r="AI202" s="116" t="n"/>
      <c r="AJ202" s="116" t="n"/>
      <c r="AK202" s="116" t="n"/>
      <c r="AL202" s="116" t="n"/>
      <c r="AM202" s="116" t="n"/>
      <c r="AN202" s="116" t="n"/>
      <c r="AO202" s="116" t="n"/>
      <c r="AP202" s="116" t="n"/>
      <c r="AQ202" s="116" t="n"/>
      <c r="AR202" s="116" t="n"/>
      <c r="AS202" s="116" t="n"/>
      <c r="AT202" s="116" t="n"/>
      <c r="AU202" s="116" t="n"/>
      <c r="AV202" s="116" t="n"/>
    </row>
    <row r="203">
      <c r="AI203" s="116" t="n"/>
      <c r="AJ203" s="116" t="n"/>
      <c r="AK203" s="116" t="n"/>
      <c r="AL203" s="116" t="n"/>
      <c r="AM203" s="116" t="n"/>
      <c r="AN203" s="116" t="n"/>
      <c r="AO203" s="116" t="n"/>
      <c r="AP203" s="116" t="n"/>
      <c r="AQ203" s="116" t="n"/>
      <c r="AR203" s="116" t="n"/>
      <c r="AS203" s="116" t="n"/>
      <c r="AT203" s="116" t="n"/>
      <c r="AU203" s="116" t="n"/>
      <c r="AV203" s="116" t="n"/>
    </row>
    <row r="204">
      <c r="AI204" s="116" t="n"/>
      <c r="AJ204" s="116" t="n"/>
      <c r="AK204" s="116" t="n"/>
      <c r="AL204" s="116" t="n"/>
      <c r="AM204" s="116" t="n"/>
      <c r="AN204" s="116" t="n"/>
      <c r="AO204" s="116" t="n"/>
      <c r="AP204" s="116" t="n"/>
      <c r="AQ204" s="116" t="n"/>
      <c r="AR204" s="116" t="n"/>
      <c r="AS204" s="116" t="n"/>
      <c r="AT204" s="116" t="n"/>
      <c r="AU204" s="116" t="n"/>
      <c r="AV204" s="116" t="n"/>
    </row>
    <row r="205">
      <c r="AI205" s="116" t="n"/>
      <c r="AJ205" s="116" t="n"/>
      <c r="AK205" s="116" t="n"/>
      <c r="AL205" s="116" t="n"/>
      <c r="AM205" s="116" t="n"/>
      <c r="AN205" s="116" t="n"/>
      <c r="AO205" s="116" t="n"/>
      <c r="AP205" s="116" t="n"/>
      <c r="AQ205" s="116" t="n"/>
      <c r="AR205" s="116" t="n"/>
      <c r="AS205" s="116" t="n"/>
      <c r="AT205" s="116" t="n"/>
      <c r="AU205" s="116" t="n"/>
      <c r="AV205" s="116" t="n"/>
    </row>
    <row r="206">
      <c r="AI206" s="116" t="n"/>
      <c r="AJ206" s="116" t="n"/>
      <c r="AK206" s="116" t="n"/>
      <c r="AL206" s="116" t="n"/>
      <c r="AM206" s="116" t="n"/>
      <c r="AN206" s="116" t="n"/>
      <c r="AO206" s="116" t="n"/>
      <c r="AP206" s="116" t="n"/>
      <c r="AQ206" s="116" t="n"/>
      <c r="AR206" s="116" t="n"/>
      <c r="AS206" s="116" t="n"/>
      <c r="AT206" s="116" t="n"/>
      <c r="AU206" s="116" t="n"/>
      <c r="AV206" s="116" t="n"/>
    </row>
    <row r="207">
      <c r="AI207" s="116" t="n"/>
      <c r="AJ207" s="116" t="n"/>
      <c r="AK207" s="116" t="n"/>
      <c r="AL207" s="116" t="n"/>
      <c r="AM207" s="116" t="n"/>
      <c r="AN207" s="116" t="n"/>
      <c r="AO207" s="116" t="n"/>
      <c r="AP207" s="116" t="n"/>
      <c r="AQ207" s="116" t="n"/>
      <c r="AR207" s="116" t="n"/>
      <c r="AS207" s="116" t="n"/>
      <c r="AT207" s="116" t="n"/>
      <c r="AU207" s="116" t="n"/>
      <c r="AV207" s="116" t="n"/>
    </row>
    <row r="208">
      <c r="AI208" s="116" t="n"/>
      <c r="AJ208" s="116" t="n"/>
      <c r="AK208" s="116" t="n"/>
      <c r="AL208" s="116" t="n"/>
      <c r="AM208" s="116" t="n"/>
      <c r="AN208" s="116" t="n"/>
      <c r="AO208" s="116" t="n"/>
      <c r="AP208" s="116" t="n"/>
      <c r="AQ208" s="116" t="n"/>
      <c r="AR208" s="116" t="n"/>
      <c r="AS208" s="116" t="n"/>
      <c r="AT208" s="116" t="n"/>
      <c r="AU208" s="116" t="n"/>
      <c r="AV208" s="116" t="n"/>
    </row>
    <row r="209">
      <c r="AI209" s="116" t="n"/>
      <c r="AJ209" s="116" t="n"/>
      <c r="AK209" s="116" t="n"/>
      <c r="AL209" s="116" t="n"/>
      <c r="AM209" s="116" t="n"/>
      <c r="AN209" s="116" t="n"/>
      <c r="AO209" s="116" t="n"/>
      <c r="AP209" s="116" t="n"/>
      <c r="AQ209" s="116" t="n"/>
      <c r="AR209" s="116" t="n"/>
      <c r="AS209" s="116" t="n"/>
      <c r="AT209" s="116" t="n"/>
      <c r="AU209" s="116" t="n"/>
      <c r="AV209" s="116" t="n"/>
    </row>
    <row r="210">
      <c r="AI210" s="116" t="n"/>
      <c r="AJ210" s="116" t="n"/>
      <c r="AK210" s="116" t="n"/>
      <c r="AL210" s="116" t="n"/>
      <c r="AM210" s="116" t="n"/>
      <c r="AN210" s="116" t="n"/>
      <c r="AO210" s="116" t="n"/>
      <c r="AP210" s="116" t="n"/>
      <c r="AQ210" s="116" t="n"/>
      <c r="AR210" s="116" t="n"/>
      <c r="AS210" s="116" t="n"/>
      <c r="AT210" s="116" t="n"/>
      <c r="AU210" s="116" t="n"/>
      <c r="AV210" s="116" t="n"/>
    </row>
    <row r="211">
      <c r="AI211" s="116" t="n"/>
      <c r="AJ211" s="116" t="n"/>
      <c r="AK211" s="116" t="n"/>
      <c r="AL211" s="116" t="n"/>
      <c r="AM211" s="116" t="n"/>
      <c r="AN211" s="116" t="n"/>
      <c r="AO211" s="116" t="n"/>
      <c r="AP211" s="116" t="n"/>
      <c r="AQ211" s="116" t="n"/>
      <c r="AR211" s="116" t="n"/>
      <c r="AS211" s="116" t="n"/>
      <c r="AT211" s="116" t="n"/>
      <c r="AU211" s="116" t="n"/>
      <c r="AV211" s="116" t="n"/>
    </row>
    <row r="212">
      <c r="AI212" s="116" t="n"/>
      <c r="AJ212" s="116" t="n"/>
      <c r="AK212" s="116" t="n"/>
      <c r="AL212" s="116" t="n"/>
      <c r="AM212" s="116" t="n"/>
      <c r="AN212" s="116" t="n"/>
      <c r="AO212" s="116" t="n"/>
      <c r="AP212" s="116" t="n"/>
      <c r="AQ212" s="116" t="n"/>
      <c r="AR212" s="116" t="n"/>
      <c r="AS212" s="116" t="n"/>
      <c r="AT212" s="116" t="n"/>
      <c r="AU212" s="116" t="n"/>
      <c r="AV212" s="116" t="n"/>
    </row>
    <row r="213">
      <c r="AI213" s="116" t="n"/>
      <c r="AJ213" s="116" t="n"/>
      <c r="AK213" s="116" t="n"/>
      <c r="AL213" s="116" t="n"/>
      <c r="AM213" s="116" t="n"/>
      <c r="AN213" s="116" t="n"/>
      <c r="AO213" s="116" t="n"/>
      <c r="AP213" s="116" t="n"/>
      <c r="AQ213" s="116" t="n"/>
      <c r="AR213" s="116" t="n"/>
      <c r="AS213" s="116" t="n"/>
      <c r="AT213" s="116" t="n"/>
      <c r="AU213" s="116" t="n"/>
      <c r="AV213" s="116" t="n"/>
    </row>
    <row r="214">
      <c r="AI214" s="116" t="n"/>
      <c r="AJ214" s="116" t="n"/>
      <c r="AK214" s="116" t="n"/>
      <c r="AL214" s="116" t="n"/>
      <c r="AM214" s="116" t="n"/>
      <c r="AN214" s="116" t="n"/>
      <c r="AO214" s="116" t="n"/>
      <c r="AP214" s="116" t="n"/>
      <c r="AQ214" s="116" t="n"/>
      <c r="AR214" s="116" t="n"/>
      <c r="AS214" s="116" t="n"/>
      <c r="AT214" s="116" t="n"/>
      <c r="AU214" s="116" t="n"/>
      <c r="AV214" s="116" t="n"/>
    </row>
    <row r="215">
      <c r="AI215" s="116" t="n"/>
      <c r="AJ215" s="116" t="n"/>
      <c r="AK215" s="116" t="n"/>
      <c r="AL215" s="116" t="n"/>
      <c r="AM215" s="116" t="n"/>
      <c r="AN215" s="116" t="n"/>
      <c r="AO215" s="116" t="n"/>
      <c r="AP215" s="116" t="n"/>
      <c r="AQ215" s="116" t="n"/>
      <c r="AR215" s="116" t="n"/>
      <c r="AS215" s="116" t="n"/>
      <c r="AT215" s="116" t="n"/>
      <c r="AU215" s="116" t="n"/>
      <c r="AV215" s="116" t="n"/>
    </row>
    <row r="216">
      <c r="AI216" s="116" t="n"/>
      <c r="AJ216" s="116" t="n"/>
      <c r="AK216" s="116" t="n"/>
      <c r="AL216" s="116" t="n"/>
      <c r="AM216" s="116" t="n"/>
      <c r="AN216" s="116" t="n"/>
      <c r="AO216" s="116" t="n"/>
      <c r="AP216" s="116" t="n"/>
      <c r="AQ216" s="116" t="n"/>
      <c r="AR216" s="116" t="n"/>
      <c r="AS216" s="116" t="n"/>
      <c r="AT216" s="116" t="n"/>
      <c r="AU216" s="116" t="n"/>
      <c r="AV216" s="116" t="n"/>
    </row>
    <row r="217">
      <c r="AI217" s="116" t="n"/>
      <c r="AJ217" s="116" t="n"/>
      <c r="AK217" s="116" t="n"/>
      <c r="AL217" s="116" t="n"/>
      <c r="AM217" s="116" t="n"/>
      <c r="AN217" s="116" t="n"/>
      <c r="AO217" s="116" t="n"/>
      <c r="AP217" s="116" t="n"/>
      <c r="AQ217" s="116" t="n"/>
      <c r="AR217" s="116" t="n"/>
      <c r="AS217" s="116" t="n"/>
      <c r="AT217" s="116" t="n"/>
      <c r="AU217" s="116" t="n"/>
      <c r="AV217" s="116" t="n"/>
    </row>
    <row r="218">
      <c r="AI218" s="116" t="n"/>
      <c r="AJ218" s="116" t="n"/>
      <c r="AK218" s="116" t="n"/>
      <c r="AL218" s="116" t="n"/>
      <c r="AM218" s="116" t="n"/>
      <c r="AN218" s="116" t="n"/>
      <c r="AO218" s="116" t="n"/>
      <c r="AP218" s="116" t="n"/>
      <c r="AQ218" s="116" t="n"/>
      <c r="AR218" s="116" t="n"/>
      <c r="AS218" s="116" t="n"/>
      <c r="AT218" s="116" t="n"/>
      <c r="AU218" s="116" t="n"/>
      <c r="AV218" s="116" t="n"/>
    </row>
    <row r="219">
      <c r="AI219" s="116" t="n"/>
      <c r="AJ219" s="116" t="n"/>
      <c r="AK219" s="116" t="n"/>
      <c r="AL219" s="116" t="n"/>
      <c r="AM219" s="116" t="n"/>
      <c r="AN219" s="116" t="n"/>
      <c r="AO219" s="116" t="n"/>
      <c r="AP219" s="116" t="n"/>
      <c r="AQ219" s="116" t="n"/>
      <c r="AR219" s="116" t="n"/>
      <c r="AS219" s="116" t="n"/>
      <c r="AT219" s="116" t="n"/>
      <c r="AU219" s="116" t="n"/>
      <c r="AV219" s="116" t="n"/>
    </row>
    <row r="220">
      <c r="AI220" s="116" t="n"/>
      <c r="AJ220" s="116" t="n"/>
      <c r="AK220" s="116" t="n"/>
      <c r="AL220" s="116" t="n"/>
      <c r="AM220" s="116" t="n"/>
      <c r="AN220" s="116" t="n"/>
      <c r="AO220" s="116" t="n"/>
      <c r="AP220" s="116" t="n"/>
      <c r="AQ220" s="116" t="n"/>
      <c r="AR220" s="116" t="n"/>
      <c r="AS220" s="116" t="n"/>
      <c r="AT220" s="116" t="n"/>
      <c r="AU220" s="116" t="n"/>
      <c r="AV220" s="116" t="n"/>
    </row>
    <row r="221">
      <c r="AI221" s="116" t="n"/>
      <c r="AJ221" s="116" t="n"/>
      <c r="AK221" s="116" t="n"/>
      <c r="AL221" s="116" t="n"/>
      <c r="AM221" s="116" t="n"/>
      <c r="AN221" s="116" t="n"/>
      <c r="AO221" s="116" t="n"/>
      <c r="AP221" s="116" t="n"/>
      <c r="AQ221" s="116" t="n"/>
      <c r="AR221" s="116" t="n"/>
      <c r="AS221" s="116" t="n"/>
      <c r="AT221" s="116" t="n"/>
      <c r="AU221" s="116" t="n"/>
      <c r="AV221" s="116" t="n"/>
    </row>
    <row r="222">
      <c r="AI222" s="116" t="n"/>
      <c r="AJ222" s="116" t="n"/>
      <c r="AK222" s="116" t="n"/>
      <c r="AL222" s="116" t="n"/>
      <c r="AM222" s="116" t="n"/>
      <c r="AN222" s="116" t="n"/>
      <c r="AO222" s="116" t="n"/>
      <c r="AP222" s="116" t="n"/>
      <c r="AQ222" s="116" t="n"/>
      <c r="AR222" s="116" t="n"/>
      <c r="AS222" s="116" t="n"/>
      <c r="AT222" s="116" t="n"/>
      <c r="AU222" s="116" t="n"/>
      <c r="AV222" s="116" t="n"/>
    </row>
    <row r="223">
      <c r="AI223" s="116" t="n"/>
      <c r="AJ223" s="116" t="n"/>
      <c r="AK223" s="116" t="n"/>
      <c r="AL223" s="116" t="n"/>
      <c r="AM223" s="116" t="n"/>
      <c r="AN223" s="116" t="n"/>
      <c r="AO223" s="116" t="n"/>
      <c r="AP223" s="116" t="n"/>
      <c r="AQ223" s="116" t="n"/>
      <c r="AR223" s="116" t="n"/>
      <c r="AS223" s="116" t="n"/>
      <c r="AT223" s="116" t="n"/>
      <c r="AU223" s="116" t="n"/>
      <c r="AV223" s="116" t="n"/>
    </row>
    <row r="224">
      <c r="AI224" s="116" t="n"/>
      <c r="AJ224" s="116" t="n"/>
      <c r="AK224" s="116" t="n"/>
      <c r="AL224" s="116" t="n"/>
      <c r="AM224" s="116" t="n"/>
      <c r="AN224" s="116" t="n"/>
      <c r="AO224" s="116" t="n"/>
      <c r="AP224" s="116" t="n"/>
      <c r="AQ224" s="116" t="n"/>
      <c r="AR224" s="116" t="n"/>
      <c r="AS224" s="116" t="n"/>
      <c r="AT224" s="116" t="n"/>
      <c r="AU224" s="116" t="n"/>
      <c r="AV224" s="116" t="n"/>
    </row>
    <row r="225">
      <c r="AI225" s="116" t="n"/>
      <c r="AJ225" s="116" t="n"/>
      <c r="AK225" s="116" t="n"/>
      <c r="AL225" s="116" t="n"/>
      <c r="AM225" s="116" t="n"/>
      <c r="AN225" s="116" t="n"/>
      <c r="AO225" s="116" t="n"/>
      <c r="AP225" s="116" t="n"/>
      <c r="AQ225" s="116" t="n"/>
      <c r="AR225" s="116" t="n"/>
      <c r="AS225" s="116" t="n"/>
      <c r="AT225" s="116" t="n"/>
      <c r="AU225" s="116" t="n"/>
      <c r="AV225" s="116" t="n"/>
    </row>
    <row r="226">
      <c r="AI226" s="116" t="n"/>
      <c r="AJ226" s="116" t="n"/>
      <c r="AK226" s="116" t="n"/>
      <c r="AL226" s="116" t="n"/>
      <c r="AM226" s="116" t="n"/>
      <c r="AN226" s="116" t="n"/>
      <c r="AO226" s="116" t="n"/>
      <c r="AP226" s="116" t="n"/>
      <c r="AQ226" s="116" t="n"/>
      <c r="AR226" s="116" t="n"/>
      <c r="AS226" s="116" t="n"/>
      <c r="AT226" s="116" t="n"/>
      <c r="AU226" s="116" t="n"/>
      <c r="AV226" s="116" t="n"/>
    </row>
    <row r="227">
      <c r="AI227" s="116" t="n"/>
      <c r="AJ227" s="116" t="n"/>
      <c r="AK227" s="116" t="n"/>
      <c r="AL227" s="116" t="n"/>
      <c r="AM227" s="116" t="n"/>
      <c r="AN227" s="116" t="n"/>
      <c r="AO227" s="116" t="n"/>
      <c r="AP227" s="116" t="n"/>
      <c r="AQ227" s="116" t="n"/>
      <c r="AR227" s="116" t="n"/>
      <c r="AS227" s="116" t="n"/>
      <c r="AT227" s="116" t="n"/>
      <c r="AU227" s="116" t="n"/>
      <c r="AV227" s="116" t="n"/>
    </row>
    <row r="228">
      <c r="AI228" s="116" t="n"/>
      <c r="AJ228" s="116" t="n"/>
      <c r="AK228" s="116" t="n"/>
      <c r="AL228" s="116" t="n"/>
      <c r="AM228" s="116" t="n"/>
      <c r="AN228" s="116" t="n"/>
      <c r="AO228" s="116" t="n"/>
      <c r="AP228" s="116" t="n"/>
      <c r="AQ228" s="116" t="n"/>
      <c r="AR228" s="116" t="n"/>
      <c r="AS228" s="116" t="n"/>
      <c r="AT228" s="116" t="n"/>
      <c r="AU228" s="116" t="n"/>
      <c r="AV228" s="116" t="n"/>
    </row>
    <row r="229">
      <c r="AI229" s="116" t="n"/>
      <c r="AJ229" s="116" t="n"/>
      <c r="AK229" s="116" t="n"/>
      <c r="AL229" s="116" t="n"/>
      <c r="AM229" s="116" t="n"/>
      <c r="AN229" s="116" t="n"/>
      <c r="AO229" s="116" t="n"/>
      <c r="AP229" s="116" t="n"/>
      <c r="AQ229" s="116" t="n"/>
      <c r="AR229" s="116" t="n"/>
      <c r="AS229" s="116" t="n"/>
      <c r="AT229" s="116" t="n"/>
      <c r="AU229" s="116" t="n"/>
      <c r="AV229" s="116" t="n"/>
    </row>
    <row r="230">
      <c r="AI230" s="116" t="n"/>
      <c r="AJ230" s="116" t="n"/>
      <c r="AK230" s="116" t="n"/>
      <c r="AL230" s="116" t="n"/>
      <c r="AM230" s="116" t="n"/>
      <c r="AN230" s="116" t="n"/>
      <c r="AO230" s="116" t="n"/>
      <c r="AP230" s="116" t="n"/>
      <c r="AQ230" s="116" t="n"/>
      <c r="AR230" s="116" t="n"/>
      <c r="AS230" s="116" t="n"/>
      <c r="AT230" s="116" t="n"/>
      <c r="AU230" s="116" t="n"/>
      <c r="AV230" s="116" t="n"/>
    </row>
    <row r="231">
      <c r="AI231" s="116" t="n"/>
      <c r="AJ231" s="116" t="n"/>
      <c r="AK231" s="116" t="n"/>
      <c r="AL231" s="116" t="n"/>
      <c r="AM231" s="116" t="n"/>
      <c r="AN231" s="116" t="n"/>
      <c r="AO231" s="116" t="n"/>
      <c r="AP231" s="116" t="n"/>
      <c r="AQ231" s="116" t="n"/>
      <c r="AR231" s="116" t="n"/>
      <c r="AS231" s="116" t="n"/>
      <c r="AT231" s="116" t="n"/>
      <c r="AU231" s="116" t="n"/>
      <c r="AV231" s="116" t="n"/>
    </row>
    <row r="232">
      <c r="AI232" s="116" t="n"/>
      <c r="AJ232" s="116" t="n"/>
      <c r="AK232" s="116" t="n"/>
      <c r="AL232" s="116" t="n"/>
      <c r="AM232" s="116" t="n"/>
      <c r="AN232" s="116" t="n"/>
      <c r="AO232" s="116" t="n"/>
      <c r="AP232" s="116" t="n"/>
      <c r="AQ232" s="116" t="n"/>
      <c r="AR232" s="116" t="n"/>
      <c r="AS232" s="116" t="n"/>
      <c r="AT232" s="116" t="n"/>
      <c r="AU232" s="116" t="n"/>
      <c r="AV232" s="116" t="n"/>
    </row>
    <row r="233">
      <c r="AI233" s="116" t="n"/>
      <c r="AJ233" s="116" t="n"/>
      <c r="AK233" s="116" t="n"/>
      <c r="AL233" s="116" t="n"/>
      <c r="AM233" s="116" t="n"/>
      <c r="AN233" s="116" t="n"/>
      <c r="AO233" s="116" t="n"/>
      <c r="AP233" s="116" t="n"/>
      <c r="AQ233" s="116" t="n"/>
      <c r="AR233" s="116" t="n"/>
      <c r="AS233" s="116" t="n"/>
      <c r="AT233" s="116" t="n"/>
      <c r="AU233" s="116" t="n"/>
      <c r="AV233" s="116" t="n"/>
    </row>
    <row r="234">
      <c r="AI234" s="116" t="n"/>
      <c r="AJ234" s="116" t="n"/>
      <c r="AK234" s="116" t="n"/>
      <c r="AL234" s="116" t="n"/>
      <c r="AM234" s="116" t="n"/>
      <c r="AN234" s="116" t="n"/>
      <c r="AO234" s="116" t="n"/>
      <c r="AP234" s="116" t="n"/>
      <c r="AQ234" s="116" t="n"/>
      <c r="AR234" s="116" t="n"/>
      <c r="AS234" s="116" t="n"/>
      <c r="AT234" s="116" t="n"/>
      <c r="AU234" s="116" t="n"/>
      <c r="AV234" s="116" t="n"/>
    </row>
    <row r="235">
      <c r="AI235" s="116" t="n"/>
      <c r="AJ235" s="116" t="n"/>
      <c r="AK235" s="116" t="n"/>
      <c r="AL235" s="116" t="n"/>
      <c r="AM235" s="116" t="n"/>
      <c r="AN235" s="116" t="n"/>
      <c r="AO235" s="116" t="n"/>
      <c r="AP235" s="116" t="n"/>
      <c r="AQ235" s="116" t="n"/>
      <c r="AR235" s="116" t="n"/>
      <c r="AS235" s="116" t="n"/>
      <c r="AT235" s="116" t="n"/>
      <c r="AU235" s="116" t="n"/>
      <c r="AV235" s="116" t="n"/>
    </row>
    <row r="236">
      <c r="AI236" s="116" t="n"/>
      <c r="AJ236" s="116" t="n"/>
      <c r="AK236" s="116" t="n"/>
      <c r="AL236" s="116" t="n"/>
      <c r="AM236" s="116" t="n"/>
      <c r="AN236" s="116" t="n"/>
      <c r="AO236" s="116" t="n"/>
      <c r="AP236" s="116" t="n"/>
      <c r="AQ236" s="116" t="n"/>
      <c r="AR236" s="116" t="n"/>
      <c r="AS236" s="116" t="n"/>
      <c r="AT236" s="116" t="n"/>
      <c r="AU236" s="116" t="n"/>
      <c r="AV236" s="116" t="n"/>
    </row>
    <row r="237">
      <c r="AI237" s="116" t="n"/>
      <c r="AJ237" s="116" t="n"/>
      <c r="AK237" s="116" t="n"/>
      <c r="AL237" s="116" t="n"/>
      <c r="AM237" s="116" t="n"/>
      <c r="AN237" s="116" t="n"/>
      <c r="AO237" s="116" t="n"/>
      <c r="AP237" s="116" t="n"/>
      <c r="AQ237" s="116" t="n"/>
      <c r="AR237" s="116" t="n"/>
      <c r="AS237" s="116" t="n"/>
      <c r="AT237" s="116" t="n"/>
      <c r="AU237" s="116" t="n"/>
      <c r="AV237" s="116" t="n"/>
    </row>
    <row r="238">
      <c r="AI238" s="116" t="n"/>
      <c r="AJ238" s="116" t="n"/>
      <c r="AK238" s="116" t="n"/>
      <c r="AL238" s="116" t="n"/>
      <c r="AM238" s="116" t="n"/>
      <c r="AN238" s="116" t="n"/>
      <c r="AO238" s="116" t="n"/>
      <c r="AP238" s="116" t="n"/>
      <c r="AQ238" s="116" t="n"/>
      <c r="AR238" s="116" t="n"/>
      <c r="AS238" s="116" t="n"/>
      <c r="AT238" s="116" t="n"/>
      <c r="AU238" s="116" t="n"/>
      <c r="AV238" s="116" t="n"/>
    </row>
    <row r="239">
      <c r="AI239" s="116" t="n"/>
      <c r="AJ239" s="116" t="n"/>
      <c r="AK239" s="116" t="n"/>
      <c r="AL239" s="116" t="n"/>
      <c r="AM239" s="116" t="n"/>
      <c r="AN239" s="116" t="n"/>
      <c r="AO239" s="116" t="n"/>
      <c r="AP239" s="116" t="n"/>
      <c r="AQ239" s="116" t="n"/>
      <c r="AR239" s="116" t="n"/>
      <c r="AS239" s="116" t="n"/>
      <c r="AT239" s="116" t="n"/>
      <c r="AU239" s="116" t="n"/>
      <c r="AV239" s="116" t="n"/>
    </row>
    <row r="240">
      <c r="AI240" s="116" t="n"/>
      <c r="AJ240" s="116" t="n"/>
      <c r="AK240" s="116" t="n"/>
      <c r="AL240" s="116" t="n"/>
      <c r="AM240" s="116" t="n"/>
      <c r="AN240" s="116" t="n"/>
      <c r="AO240" s="116" t="n"/>
      <c r="AP240" s="116" t="n"/>
      <c r="AQ240" s="116" t="n"/>
      <c r="AR240" s="116" t="n"/>
      <c r="AS240" s="116" t="n"/>
      <c r="AT240" s="116" t="n"/>
      <c r="AU240" s="116" t="n"/>
      <c r="AV240" s="116" t="n"/>
    </row>
    <row r="241">
      <c r="AI241" s="116" t="n"/>
      <c r="AJ241" s="116" t="n"/>
      <c r="AK241" s="116" t="n"/>
      <c r="AL241" s="116" t="n"/>
      <c r="AM241" s="116" t="n"/>
      <c r="AN241" s="116" t="n"/>
      <c r="AO241" s="116" t="n"/>
      <c r="AP241" s="116" t="n"/>
      <c r="AQ241" s="116" t="n"/>
      <c r="AR241" s="116" t="n"/>
      <c r="AS241" s="116" t="n"/>
      <c r="AT241" s="116" t="n"/>
      <c r="AU241" s="116" t="n"/>
      <c r="AV241" s="116" t="n"/>
    </row>
    <row r="242">
      <c r="AI242" s="116" t="n"/>
      <c r="AJ242" s="116" t="n"/>
      <c r="AK242" s="116" t="n"/>
      <c r="AL242" s="116" t="n"/>
      <c r="AM242" s="116" t="n"/>
      <c r="AN242" s="116" t="n"/>
      <c r="AO242" s="116" t="n"/>
      <c r="AP242" s="116" t="n"/>
      <c r="AQ242" s="116" t="n"/>
      <c r="AR242" s="116" t="n"/>
      <c r="AS242" s="116" t="n"/>
      <c r="AT242" s="116" t="n"/>
      <c r="AU242" s="116" t="n"/>
      <c r="AV242" s="116" t="n"/>
    </row>
    <row r="243">
      <c r="AI243" s="116" t="n"/>
      <c r="AJ243" s="116" t="n"/>
      <c r="AK243" s="116" t="n"/>
      <c r="AL243" s="116" t="n"/>
      <c r="AM243" s="116" t="n"/>
      <c r="AN243" s="116" t="n"/>
      <c r="AO243" s="116" t="n"/>
      <c r="AP243" s="116" t="n"/>
      <c r="AQ243" s="116" t="n"/>
      <c r="AR243" s="116" t="n"/>
      <c r="AS243" s="116" t="n"/>
      <c r="AT243" s="116" t="n"/>
      <c r="AU243" s="116" t="n"/>
      <c r="AV243" s="116" t="n"/>
    </row>
    <row r="244">
      <c r="AI244" s="116" t="n"/>
      <c r="AJ244" s="116" t="n"/>
      <c r="AK244" s="116" t="n"/>
      <c r="AL244" s="116" t="n"/>
      <c r="AM244" s="116" t="n"/>
      <c r="AN244" s="116" t="n"/>
      <c r="AO244" s="116" t="n"/>
      <c r="AP244" s="116" t="n"/>
      <c r="AQ244" s="116" t="n"/>
      <c r="AR244" s="116" t="n"/>
      <c r="AS244" s="116" t="n"/>
      <c r="AT244" s="116" t="n"/>
      <c r="AU244" s="116" t="n"/>
      <c r="AV244" s="116" t="n"/>
    </row>
    <row r="245">
      <c r="AI245" s="116" t="n"/>
      <c r="AJ245" s="116" t="n"/>
      <c r="AK245" s="116" t="n"/>
      <c r="AL245" s="116" t="n"/>
      <c r="AM245" s="116" t="n"/>
      <c r="AN245" s="116" t="n"/>
      <c r="AO245" s="116" t="n"/>
      <c r="AP245" s="116" t="n"/>
      <c r="AQ245" s="116" t="n"/>
      <c r="AR245" s="116" t="n"/>
      <c r="AS245" s="116" t="n"/>
      <c r="AT245" s="116" t="n"/>
      <c r="AU245" s="116" t="n"/>
      <c r="AV245" s="116" t="n"/>
    </row>
    <row r="246">
      <c r="AI246" s="116" t="n"/>
      <c r="AJ246" s="116" t="n"/>
      <c r="AK246" s="116" t="n"/>
      <c r="AL246" s="116" t="n"/>
      <c r="AM246" s="116" t="n"/>
      <c r="AN246" s="116" t="n"/>
      <c r="AO246" s="116" t="n"/>
      <c r="AP246" s="116" t="n"/>
      <c r="AQ246" s="116" t="n"/>
      <c r="AR246" s="116" t="n"/>
      <c r="AS246" s="116" t="n"/>
      <c r="AT246" s="116" t="n"/>
      <c r="AU246" s="116" t="n"/>
      <c r="AV246" s="116" t="n"/>
    </row>
    <row r="247">
      <c r="AI247" s="116" t="n"/>
      <c r="AJ247" s="116" t="n"/>
      <c r="AK247" s="116" t="n"/>
      <c r="AL247" s="116" t="n"/>
      <c r="AM247" s="116" t="n"/>
      <c r="AN247" s="116" t="n"/>
      <c r="AO247" s="116" t="n"/>
      <c r="AP247" s="116" t="n"/>
      <c r="AQ247" s="116" t="n"/>
      <c r="AR247" s="116" t="n"/>
      <c r="AS247" s="116" t="n"/>
      <c r="AT247" s="116" t="n"/>
      <c r="AU247" s="116" t="n"/>
      <c r="AV247" s="116" t="n"/>
    </row>
    <row r="248">
      <c r="AI248" s="116" t="n"/>
      <c r="AJ248" s="116" t="n"/>
      <c r="AK248" s="116" t="n"/>
      <c r="AL248" s="116" t="n"/>
      <c r="AM248" s="116" t="n"/>
      <c r="AN248" s="116" t="n"/>
      <c r="AO248" s="116" t="n"/>
      <c r="AP248" s="116" t="n"/>
      <c r="AQ248" s="116" t="n"/>
      <c r="AR248" s="116" t="n"/>
      <c r="AS248" s="116" t="n"/>
      <c r="AT248" s="116" t="n"/>
      <c r="AU248" s="116" t="n"/>
      <c r="AV248" s="116" t="n"/>
    </row>
    <row r="249">
      <c r="AI249" s="116" t="n"/>
      <c r="AJ249" s="116" t="n"/>
      <c r="AK249" s="116" t="n"/>
      <c r="AL249" s="116" t="n"/>
      <c r="AM249" s="116" t="n"/>
      <c r="AN249" s="116" t="n"/>
      <c r="AO249" s="116" t="n"/>
      <c r="AP249" s="116" t="n"/>
      <c r="AQ249" s="116" t="n"/>
      <c r="AR249" s="116" t="n"/>
      <c r="AS249" s="116" t="n"/>
      <c r="AT249" s="116" t="n"/>
      <c r="AU249" s="116" t="n"/>
      <c r="AV249" s="116" t="n"/>
    </row>
    <row r="250">
      <c r="AI250" s="116" t="n"/>
      <c r="AJ250" s="116" t="n"/>
      <c r="AK250" s="116" t="n"/>
      <c r="AL250" s="116" t="n"/>
      <c r="AM250" s="116" t="n"/>
      <c r="AN250" s="116" t="n"/>
      <c r="AO250" s="116" t="n"/>
      <c r="AP250" s="116" t="n"/>
      <c r="AQ250" s="116" t="n"/>
      <c r="AR250" s="116" t="n"/>
      <c r="AS250" s="116" t="n"/>
      <c r="AT250" s="116" t="n"/>
      <c r="AU250" s="116" t="n"/>
      <c r="AV250" s="116" t="n"/>
    </row>
    <row r="251">
      <c r="AI251" s="116" t="n"/>
      <c r="AJ251" s="116" t="n"/>
      <c r="AK251" s="116" t="n"/>
      <c r="AL251" s="116" t="n"/>
      <c r="AM251" s="116" t="n"/>
      <c r="AN251" s="116" t="n"/>
      <c r="AO251" s="116" t="n"/>
      <c r="AP251" s="116" t="n"/>
      <c r="AQ251" s="116" t="n"/>
      <c r="AR251" s="116" t="n"/>
      <c r="AS251" s="116" t="n"/>
      <c r="AT251" s="116" t="n"/>
      <c r="AU251" s="116" t="n"/>
      <c r="AV251" s="116" t="n"/>
    </row>
    <row r="252">
      <c r="AI252" s="116" t="n"/>
      <c r="AJ252" s="116" t="n"/>
      <c r="AK252" s="116" t="n"/>
      <c r="AL252" s="116" t="n"/>
      <c r="AM252" s="116" t="n"/>
      <c r="AN252" s="116" t="n"/>
      <c r="AO252" s="116" t="n"/>
      <c r="AP252" s="116" t="n"/>
      <c r="AQ252" s="116" t="n"/>
      <c r="AR252" s="116" t="n"/>
      <c r="AS252" s="116" t="n"/>
      <c r="AT252" s="116" t="n"/>
      <c r="AU252" s="116" t="n"/>
      <c r="AV252" s="116" t="n"/>
    </row>
    <row r="253">
      <c r="AI253" s="116" t="n"/>
      <c r="AJ253" s="116" t="n"/>
      <c r="AK253" s="116" t="n"/>
      <c r="AL253" s="116" t="n"/>
      <c r="AM253" s="116" t="n"/>
      <c r="AN253" s="116" t="n"/>
      <c r="AO253" s="116" t="n"/>
      <c r="AP253" s="116" t="n"/>
      <c r="AQ253" s="116" t="n"/>
      <c r="AR253" s="116" t="n"/>
      <c r="AS253" s="116" t="n"/>
      <c r="AT253" s="116" t="n"/>
      <c r="AU253" s="116" t="n"/>
      <c r="AV253" s="116" t="n"/>
    </row>
    <row r="254">
      <c r="AI254" s="116" t="n"/>
      <c r="AJ254" s="116" t="n"/>
      <c r="AK254" s="116" t="n"/>
      <c r="AL254" s="116" t="n"/>
      <c r="AM254" s="116" t="n"/>
      <c r="AN254" s="116" t="n"/>
      <c r="AO254" s="116" t="n"/>
      <c r="AP254" s="116" t="n"/>
      <c r="AQ254" s="116" t="n"/>
      <c r="AR254" s="116" t="n"/>
      <c r="AS254" s="116" t="n"/>
      <c r="AT254" s="116" t="n"/>
      <c r="AU254" s="116" t="n"/>
      <c r="AV254" s="116" t="n"/>
    </row>
    <row r="255">
      <c r="AI255" s="116" t="n"/>
      <c r="AJ255" s="116" t="n"/>
      <c r="AK255" s="116" t="n"/>
      <c r="AL255" s="116" t="n"/>
      <c r="AM255" s="116" t="n"/>
      <c r="AN255" s="116" t="n"/>
      <c r="AO255" s="116" t="n"/>
      <c r="AP255" s="116" t="n"/>
      <c r="AQ255" s="116" t="n"/>
      <c r="AR255" s="116" t="n"/>
      <c r="AS255" s="116" t="n"/>
      <c r="AT255" s="116" t="n"/>
      <c r="AU255" s="116" t="n"/>
      <c r="AV255" s="116" t="n"/>
    </row>
    <row r="256">
      <c r="AI256" s="116" t="n"/>
      <c r="AJ256" s="116" t="n"/>
      <c r="AK256" s="116" t="n"/>
      <c r="AL256" s="116" t="n"/>
      <c r="AM256" s="116" t="n"/>
      <c r="AN256" s="116" t="n"/>
      <c r="AO256" s="116" t="n"/>
      <c r="AP256" s="116" t="n"/>
      <c r="AQ256" s="116" t="n"/>
      <c r="AR256" s="116" t="n"/>
      <c r="AS256" s="116" t="n"/>
      <c r="AT256" s="116" t="n"/>
      <c r="AU256" s="116" t="n"/>
      <c r="AV256" s="116" t="n"/>
    </row>
    <row r="257">
      <c r="AI257" s="116" t="n"/>
      <c r="AJ257" s="116" t="n"/>
      <c r="AK257" s="116" t="n"/>
      <c r="AL257" s="116" t="n"/>
      <c r="AM257" s="116" t="n"/>
      <c r="AN257" s="116" t="n"/>
      <c r="AO257" s="116" t="n"/>
      <c r="AP257" s="116" t="n"/>
      <c r="AQ257" s="116" t="n"/>
      <c r="AR257" s="116" t="n"/>
      <c r="AS257" s="116" t="n"/>
      <c r="AT257" s="116" t="n"/>
      <c r="AU257" s="116" t="n"/>
      <c r="AV257" s="116" t="n"/>
    </row>
    <row r="258">
      <c r="AI258" s="116" t="n"/>
      <c r="AJ258" s="116" t="n"/>
      <c r="AK258" s="116" t="n"/>
      <c r="AL258" s="116" t="n"/>
      <c r="AM258" s="116" t="n"/>
      <c r="AN258" s="116" t="n"/>
      <c r="AO258" s="116" t="n"/>
      <c r="AP258" s="116" t="n"/>
      <c r="AQ258" s="116" t="n"/>
      <c r="AR258" s="116" t="n"/>
      <c r="AS258" s="116" t="n"/>
      <c r="AT258" s="116" t="n"/>
      <c r="AU258" s="116" t="n"/>
      <c r="AV258" s="116" t="n"/>
    </row>
    <row r="259">
      <c r="AI259" s="116" t="n"/>
      <c r="AJ259" s="116" t="n"/>
      <c r="AK259" s="116" t="n"/>
      <c r="AL259" s="116" t="n"/>
      <c r="AM259" s="116" t="n"/>
      <c r="AN259" s="116" t="n"/>
      <c r="AO259" s="116" t="n"/>
      <c r="AP259" s="116" t="n"/>
      <c r="AQ259" s="116" t="n"/>
      <c r="AR259" s="116" t="n"/>
      <c r="AS259" s="116" t="n"/>
      <c r="AT259" s="116" t="n"/>
      <c r="AU259" s="116" t="n"/>
      <c r="AV259" s="116" t="n"/>
    </row>
    <row r="260">
      <c r="AI260" s="116" t="n"/>
      <c r="AJ260" s="116" t="n"/>
      <c r="AK260" s="116" t="n"/>
      <c r="AL260" s="116" t="n"/>
      <c r="AM260" s="116" t="n"/>
      <c r="AN260" s="116" t="n"/>
      <c r="AO260" s="116" t="n"/>
      <c r="AP260" s="116" t="n"/>
      <c r="AQ260" s="116" t="n"/>
      <c r="AR260" s="116" t="n"/>
      <c r="AS260" s="116" t="n"/>
      <c r="AT260" s="116" t="n"/>
      <c r="AU260" s="116" t="n"/>
      <c r="AV260" s="116" t="n"/>
    </row>
    <row r="261">
      <c r="AI261" s="116" t="n"/>
      <c r="AJ261" s="116" t="n"/>
      <c r="AK261" s="116" t="n"/>
      <c r="AL261" s="116" t="n"/>
      <c r="AM261" s="116" t="n"/>
      <c r="AN261" s="116" t="n"/>
      <c r="AO261" s="116" t="n"/>
      <c r="AP261" s="116" t="n"/>
      <c r="AQ261" s="116" t="n"/>
      <c r="AR261" s="116" t="n"/>
      <c r="AS261" s="116" t="n"/>
      <c r="AT261" s="116" t="n"/>
      <c r="AU261" s="116" t="n"/>
      <c r="AV261" s="116" t="n"/>
    </row>
    <row r="262">
      <c r="AI262" s="116" t="n"/>
      <c r="AJ262" s="116" t="n"/>
      <c r="AK262" s="116" t="n"/>
      <c r="AL262" s="116" t="n"/>
      <c r="AM262" s="116" t="n"/>
      <c r="AN262" s="116" t="n"/>
      <c r="AO262" s="116" t="n"/>
      <c r="AP262" s="116" t="n"/>
      <c r="AQ262" s="116" t="n"/>
      <c r="AR262" s="116" t="n"/>
      <c r="AS262" s="116" t="n"/>
      <c r="AT262" s="116" t="n"/>
      <c r="AU262" s="116" t="n"/>
      <c r="AV262" s="116" t="n"/>
    </row>
    <row r="263">
      <c r="AI263" s="116" t="n"/>
      <c r="AJ263" s="116" t="n"/>
      <c r="AK263" s="116" t="n"/>
      <c r="AL263" s="116" t="n"/>
      <c r="AM263" s="116" t="n"/>
      <c r="AN263" s="116" t="n"/>
      <c r="AO263" s="116" t="n"/>
      <c r="AP263" s="116" t="n"/>
      <c r="AQ263" s="116" t="n"/>
      <c r="AR263" s="116" t="n"/>
      <c r="AS263" s="116" t="n"/>
      <c r="AT263" s="116" t="n"/>
      <c r="AU263" s="116" t="n"/>
      <c r="AV263" s="116" t="n"/>
    </row>
    <row r="264">
      <c r="AI264" s="116" t="n"/>
      <c r="AJ264" s="116" t="n"/>
      <c r="AK264" s="116" t="n"/>
      <c r="AL264" s="116" t="n"/>
      <c r="AM264" s="116" t="n"/>
      <c r="AN264" s="116" t="n"/>
      <c r="AO264" s="116" t="n"/>
      <c r="AP264" s="116" t="n"/>
      <c r="AQ264" s="116" t="n"/>
      <c r="AR264" s="116" t="n"/>
      <c r="AS264" s="116" t="n"/>
      <c r="AT264" s="116" t="n"/>
      <c r="AU264" s="116" t="n"/>
      <c r="AV264" s="116" t="n"/>
    </row>
    <row r="265">
      <c r="AI265" s="116" t="n"/>
      <c r="AJ265" s="116" t="n"/>
      <c r="AK265" s="116" t="n"/>
      <c r="AL265" s="116" t="n"/>
      <c r="AM265" s="116" t="n"/>
      <c r="AN265" s="116" t="n"/>
      <c r="AO265" s="116" t="n"/>
      <c r="AP265" s="116" t="n"/>
      <c r="AQ265" s="116" t="n"/>
      <c r="AR265" s="116" t="n"/>
      <c r="AS265" s="116" t="n"/>
      <c r="AT265" s="116" t="n"/>
      <c r="AU265" s="116" t="n"/>
      <c r="AV265" s="116" t="n"/>
    </row>
    <row r="266">
      <c r="AI266" s="116" t="n"/>
      <c r="AJ266" s="116" t="n"/>
      <c r="AK266" s="116" t="n"/>
      <c r="AL266" s="116" t="n"/>
      <c r="AM266" s="116" t="n"/>
      <c r="AN266" s="116" t="n"/>
      <c r="AO266" s="116" t="n"/>
      <c r="AP266" s="116" t="n"/>
      <c r="AQ266" s="116" t="n"/>
      <c r="AR266" s="116" t="n"/>
      <c r="AS266" s="116" t="n"/>
      <c r="AT266" s="116" t="n"/>
      <c r="AU266" s="116" t="n"/>
      <c r="AV266" s="116" t="n"/>
    </row>
    <row r="267">
      <c r="AI267" s="116" t="n"/>
      <c r="AJ267" s="116" t="n"/>
      <c r="AK267" s="116" t="n"/>
      <c r="AL267" s="116" t="n"/>
      <c r="AM267" s="116" t="n"/>
      <c r="AN267" s="116" t="n"/>
      <c r="AO267" s="116" t="n"/>
      <c r="AP267" s="116" t="n"/>
      <c r="AQ267" s="116" t="n"/>
      <c r="AR267" s="116" t="n"/>
      <c r="AS267" s="116" t="n"/>
      <c r="AT267" s="116" t="n"/>
      <c r="AU267" s="116" t="n"/>
      <c r="AV267" s="116" t="n"/>
    </row>
    <row r="268">
      <c r="AI268" s="116" t="n"/>
      <c r="AJ268" s="116" t="n"/>
      <c r="AK268" s="116" t="n"/>
      <c r="AL268" s="116" t="n"/>
      <c r="AM268" s="116" t="n"/>
      <c r="AN268" s="116" t="n"/>
      <c r="AO268" s="116" t="n"/>
      <c r="AP268" s="116" t="n"/>
      <c r="AQ268" s="116" t="n"/>
      <c r="AR268" s="116" t="n"/>
      <c r="AS268" s="116" t="n"/>
      <c r="AT268" s="116" t="n"/>
      <c r="AU268" s="116" t="n"/>
      <c r="AV268" s="116" t="n"/>
    </row>
    <row r="269">
      <c r="AI269" s="116" t="n"/>
      <c r="AJ269" s="116" t="n"/>
      <c r="AK269" s="116" t="n"/>
      <c r="AL269" s="116" t="n"/>
      <c r="AM269" s="116" t="n"/>
      <c r="AN269" s="116" t="n"/>
      <c r="AO269" s="116" t="n"/>
      <c r="AP269" s="116" t="n"/>
      <c r="AQ269" s="116" t="n"/>
      <c r="AR269" s="116" t="n"/>
      <c r="AS269" s="116" t="n"/>
      <c r="AT269" s="116" t="n"/>
      <c r="AU269" s="116" t="n"/>
      <c r="AV269" s="116" t="n"/>
    </row>
    <row r="270">
      <c r="AI270" s="116" t="n"/>
      <c r="AJ270" s="116" t="n"/>
      <c r="AK270" s="116" t="n"/>
      <c r="AL270" s="116" t="n"/>
      <c r="AM270" s="116" t="n"/>
      <c r="AN270" s="116" t="n"/>
      <c r="AO270" s="116" t="n"/>
      <c r="AP270" s="116" t="n"/>
      <c r="AQ270" s="116" t="n"/>
      <c r="AR270" s="116" t="n"/>
      <c r="AS270" s="116" t="n"/>
      <c r="AT270" s="116" t="n"/>
      <c r="AU270" s="116" t="n"/>
      <c r="AV270" s="116" t="n"/>
    </row>
    <row r="271">
      <c r="AI271" s="116" t="n"/>
      <c r="AJ271" s="116" t="n"/>
      <c r="AK271" s="116" t="n"/>
      <c r="AL271" s="116" t="n"/>
      <c r="AM271" s="116" t="n"/>
      <c r="AN271" s="116" t="n"/>
      <c r="AO271" s="116" t="n"/>
      <c r="AP271" s="116" t="n"/>
      <c r="AQ271" s="116" t="n"/>
      <c r="AR271" s="116" t="n"/>
      <c r="AS271" s="116" t="n"/>
      <c r="AT271" s="116" t="n"/>
      <c r="AU271" s="116" t="n"/>
      <c r="AV271" s="116" t="n"/>
    </row>
    <row r="272">
      <c r="AI272" s="116" t="n"/>
      <c r="AJ272" s="116" t="n"/>
      <c r="AK272" s="116" t="n"/>
      <c r="AL272" s="116" t="n"/>
      <c r="AM272" s="116" t="n"/>
      <c r="AN272" s="116" t="n"/>
      <c r="AO272" s="116" t="n"/>
      <c r="AP272" s="116" t="n"/>
      <c r="AQ272" s="116" t="n"/>
      <c r="AR272" s="116" t="n"/>
      <c r="AS272" s="116" t="n"/>
      <c r="AT272" s="116" t="n"/>
      <c r="AU272" s="116" t="n"/>
      <c r="AV272" s="116" t="n"/>
    </row>
    <row r="273">
      <c r="AI273" s="116" t="n"/>
      <c r="AJ273" s="116" t="n"/>
      <c r="AK273" s="116" t="n"/>
      <c r="AL273" s="116" t="n"/>
      <c r="AM273" s="116" t="n"/>
      <c r="AN273" s="116" t="n"/>
      <c r="AO273" s="116" t="n"/>
      <c r="AP273" s="116" t="n"/>
      <c r="AQ273" s="116" t="n"/>
      <c r="AR273" s="116" t="n"/>
      <c r="AS273" s="116" t="n"/>
      <c r="AT273" s="116" t="n"/>
      <c r="AU273" s="116" t="n"/>
      <c r="AV273" s="116" t="n"/>
    </row>
    <row r="274">
      <c r="AI274" s="116" t="n"/>
      <c r="AJ274" s="116" t="n"/>
      <c r="AK274" s="116" t="n"/>
      <c r="AL274" s="116" t="n"/>
      <c r="AM274" s="116" t="n"/>
      <c r="AN274" s="116" t="n"/>
      <c r="AO274" s="116" t="n"/>
      <c r="AP274" s="116" t="n"/>
      <c r="AQ274" s="116" t="n"/>
      <c r="AR274" s="116" t="n"/>
      <c r="AS274" s="116" t="n"/>
      <c r="AT274" s="116" t="n"/>
      <c r="AU274" s="116" t="n"/>
      <c r="AV274" s="116" t="n"/>
    </row>
    <row r="275">
      <c r="AI275" s="116" t="n"/>
      <c r="AJ275" s="116" t="n"/>
      <c r="AK275" s="116" t="n"/>
      <c r="AL275" s="116" t="n"/>
      <c r="AM275" s="116" t="n"/>
      <c r="AN275" s="116" t="n"/>
      <c r="AO275" s="116" t="n"/>
      <c r="AP275" s="116" t="n"/>
      <c r="AQ275" s="116" t="n"/>
      <c r="AR275" s="116" t="n"/>
      <c r="AS275" s="116" t="n"/>
      <c r="AT275" s="116" t="n"/>
      <c r="AU275" s="116" t="n"/>
      <c r="AV275" s="116" t="n"/>
    </row>
    <row r="276">
      <c r="AI276" s="116" t="n"/>
      <c r="AJ276" s="116" t="n"/>
      <c r="AK276" s="116" t="n"/>
      <c r="AL276" s="116" t="n"/>
      <c r="AM276" s="116" t="n"/>
      <c r="AN276" s="116" t="n"/>
      <c r="AO276" s="116" t="n"/>
      <c r="AP276" s="116" t="n"/>
      <c r="AQ276" s="116" t="n"/>
      <c r="AR276" s="116" t="n"/>
      <c r="AS276" s="116" t="n"/>
      <c r="AT276" s="116" t="n"/>
      <c r="AU276" s="116" t="n"/>
      <c r="AV276" s="116" t="n"/>
    </row>
    <row r="277">
      <c r="AI277" s="116" t="n"/>
      <c r="AJ277" s="116" t="n"/>
      <c r="AK277" s="116" t="n"/>
      <c r="AL277" s="116" t="n"/>
      <c r="AM277" s="116" t="n"/>
      <c r="AN277" s="116" t="n"/>
      <c r="AO277" s="116" t="n"/>
      <c r="AP277" s="116" t="n"/>
      <c r="AQ277" s="116" t="n"/>
      <c r="AR277" s="116" t="n"/>
      <c r="AS277" s="116" t="n"/>
      <c r="AT277" s="116" t="n"/>
      <c r="AU277" s="116" t="n"/>
      <c r="AV277" s="116" t="n"/>
    </row>
    <row r="278">
      <c r="AI278" s="116" t="n"/>
      <c r="AJ278" s="116" t="n"/>
      <c r="AK278" s="116" t="n"/>
      <c r="AL278" s="116" t="n"/>
      <c r="AM278" s="116" t="n"/>
      <c r="AN278" s="116" t="n"/>
      <c r="AO278" s="116" t="n"/>
      <c r="AP278" s="116" t="n"/>
      <c r="AQ278" s="116" t="n"/>
      <c r="AR278" s="116" t="n"/>
      <c r="AS278" s="116" t="n"/>
      <c r="AT278" s="116" t="n"/>
      <c r="AU278" s="116" t="n"/>
      <c r="AV278" s="116" t="n"/>
    </row>
    <row r="279">
      <c r="AI279" s="116" t="n"/>
      <c r="AJ279" s="116" t="n"/>
      <c r="AK279" s="116" t="n"/>
      <c r="AL279" s="116" t="n"/>
      <c r="AM279" s="116" t="n"/>
      <c r="AN279" s="116" t="n"/>
      <c r="AO279" s="116" t="n"/>
      <c r="AP279" s="116" t="n"/>
      <c r="AQ279" s="116" t="n"/>
      <c r="AR279" s="116" t="n"/>
      <c r="AS279" s="116" t="n"/>
      <c r="AT279" s="116" t="n"/>
      <c r="AU279" s="116" t="n"/>
      <c r="AV279" s="116" t="n"/>
    </row>
    <row r="280">
      <c r="AI280" s="116" t="n"/>
      <c r="AJ280" s="116" t="n"/>
      <c r="AK280" s="116" t="n"/>
      <c r="AL280" s="116" t="n"/>
      <c r="AM280" s="116" t="n"/>
      <c r="AN280" s="116" t="n"/>
      <c r="AO280" s="116" t="n"/>
      <c r="AP280" s="116" t="n"/>
      <c r="AQ280" s="116" t="n"/>
      <c r="AR280" s="116" t="n"/>
      <c r="AS280" s="116" t="n"/>
      <c r="AT280" s="116" t="n"/>
      <c r="AU280" s="116" t="n"/>
      <c r="AV280" s="116" t="n"/>
    </row>
    <row r="281">
      <c r="AI281" s="116" t="n"/>
      <c r="AJ281" s="116" t="n"/>
      <c r="AK281" s="116" t="n"/>
      <c r="AL281" s="116" t="n"/>
      <c r="AM281" s="116" t="n"/>
      <c r="AN281" s="116" t="n"/>
      <c r="AO281" s="116" t="n"/>
      <c r="AP281" s="116" t="n"/>
      <c r="AQ281" s="116" t="n"/>
      <c r="AR281" s="116" t="n"/>
      <c r="AS281" s="116" t="n"/>
      <c r="AT281" s="116" t="n"/>
      <c r="AU281" s="116" t="n"/>
      <c r="AV281" s="116" t="n"/>
    </row>
    <row r="282">
      <c r="AI282" s="116" t="n"/>
      <c r="AJ282" s="116" t="n"/>
      <c r="AK282" s="116" t="n"/>
      <c r="AL282" s="116" t="n"/>
      <c r="AM282" s="116" t="n"/>
      <c r="AN282" s="116" t="n"/>
      <c r="AO282" s="116" t="n"/>
      <c r="AP282" s="116" t="n"/>
      <c r="AQ282" s="116" t="n"/>
      <c r="AR282" s="116" t="n"/>
      <c r="AS282" s="116" t="n"/>
      <c r="AT282" s="116" t="n"/>
      <c r="AU282" s="116" t="n"/>
      <c r="AV282" s="116" t="n"/>
    </row>
    <row r="283">
      <c r="AI283" s="116" t="n"/>
      <c r="AJ283" s="116" t="n"/>
      <c r="AK283" s="116" t="n"/>
      <c r="AL283" s="116" t="n"/>
      <c r="AM283" s="116" t="n"/>
      <c r="AN283" s="116" t="n"/>
      <c r="AO283" s="116" t="n"/>
      <c r="AP283" s="116" t="n"/>
      <c r="AQ283" s="116" t="n"/>
      <c r="AR283" s="116" t="n"/>
      <c r="AS283" s="116" t="n"/>
      <c r="AT283" s="116" t="n"/>
      <c r="AU283" s="116" t="n"/>
      <c r="AV283" s="116" t="n"/>
    </row>
    <row r="284">
      <c r="AI284" s="116" t="n"/>
      <c r="AJ284" s="116" t="n"/>
      <c r="AK284" s="116" t="n"/>
      <c r="AL284" s="116" t="n"/>
      <c r="AM284" s="116" t="n"/>
      <c r="AN284" s="116" t="n"/>
      <c r="AO284" s="116" t="n"/>
      <c r="AP284" s="116" t="n"/>
      <c r="AQ284" s="116" t="n"/>
      <c r="AR284" s="116" t="n"/>
      <c r="AS284" s="116" t="n"/>
      <c r="AT284" s="116" t="n"/>
      <c r="AU284" s="116" t="n"/>
      <c r="AV284" s="116" t="n"/>
    </row>
    <row r="285">
      <c r="AI285" s="116" t="n"/>
      <c r="AJ285" s="116" t="n"/>
      <c r="AK285" s="116" t="n"/>
      <c r="AL285" s="116" t="n"/>
      <c r="AM285" s="116" t="n"/>
      <c r="AN285" s="116" t="n"/>
      <c r="AO285" s="116" t="n"/>
      <c r="AP285" s="116" t="n"/>
      <c r="AQ285" s="116" t="n"/>
      <c r="AR285" s="116" t="n"/>
      <c r="AS285" s="116" t="n"/>
      <c r="AT285" s="116" t="n"/>
      <c r="AU285" s="116" t="n"/>
      <c r="AV285" s="116" t="n"/>
    </row>
    <row r="286">
      <c r="AI286" s="116" t="n"/>
      <c r="AJ286" s="116" t="n"/>
      <c r="AK286" s="116" t="n"/>
      <c r="AL286" s="116" t="n"/>
      <c r="AM286" s="116" t="n"/>
      <c r="AN286" s="116" t="n"/>
      <c r="AO286" s="116" t="n"/>
      <c r="AP286" s="116" t="n"/>
      <c r="AQ286" s="116" t="n"/>
      <c r="AR286" s="116" t="n"/>
      <c r="AS286" s="116" t="n"/>
      <c r="AT286" s="116" t="n"/>
      <c r="AU286" s="116" t="n"/>
      <c r="AV286" s="116" t="n"/>
    </row>
    <row r="287">
      <c r="AI287" s="116" t="n"/>
      <c r="AJ287" s="116" t="n"/>
      <c r="AK287" s="116" t="n"/>
      <c r="AL287" s="116" t="n"/>
      <c r="AM287" s="116" t="n"/>
      <c r="AN287" s="116" t="n"/>
      <c r="AO287" s="116" t="n"/>
      <c r="AP287" s="116" t="n"/>
      <c r="AQ287" s="116" t="n"/>
      <c r="AR287" s="116" t="n"/>
      <c r="AS287" s="116" t="n"/>
      <c r="AT287" s="116" t="n"/>
      <c r="AU287" s="116" t="n"/>
      <c r="AV287" s="116" t="n"/>
    </row>
    <row r="288">
      <c r="AI288" s="116" t="n"/>
      <c r="AJ288" s="116" t="n"/>
      <c r="AK288" s="116" t="n"/>
      <c r="AL288" s="116" t="n"/>
      <c r="AM288" s="116" t="n"/>
      <c r="AN288" s="116" t="n"/>
      <c r="AO288" s="116" t="n"/>
      <c r="AP288" s="116" t="n"/>
      <c r="AQ288" s="116" t="n"/>
      <c r="AR288" s="116" t="n"/>
      <c r="AS288" s="116" t="n"/>
      <c r="AT288" s="116" t="n"/>
      <c r="AU288" s="116" t="n"/>
      <c r="AV288" s="116" t="n"/>
    </row>
    <row r="289">
      <c r="AI289" s="116" t="n"/>
      <c r="AJ289" s="116" t="n"/>
      <c r="AK289" s="116" t="n"/>
      <c r="AL289" s="116" t="n"/>
      <c r="AM289" s="116" t="n"/>
      <c r="AN289" s="116" t="n"/>
      <c r="AO289" s="116" t="n"/>
      <c r="AP289" s="116" t="n"/>
      <c r="AQ289" s="116" t="n"/>
      <c r="AR289" s="116" t="n"/>
      <c r="AS289" s="116" t="n"/>
      <c r="AT289" s="116" t="n"/>
      <c r="AU289" s="116" t="n"/>
      <c r="AV289" s="116" t="n"/>
    </row>
    <row r="290">
      <c r="AI290" s="116" t="n"/>
      <c r="AJ290" s="116" t="n"/>
      <c r="AK290" s="116" t="n"/>
      <c r="AL290" s="116" t="n"/>
      <c r="AM290" s="116" t="n"/>
      <c r="AN290" s="116" t="n"/>
      <c r="AO290" s="116" t="n"/>
      <c r="AP290" s="116" t="n"/>
      <c r="AQ290" s="116" t="n"/>
      <c r="AR290" s="116" t="n"/>
      <c r="AS290" s="116" t="n"/>
      <c r="AT290" s="116" t="n"/>
      <c r="AU290" s="116" t="n"/>
      <c r="AV290" s="116" t="n"/>
    </row>
    <row r="291">
      <c r="AI291" s="116" t="n"/>
      <c r="AJ291" s="116" t="n"/>
      <c r="AK291" s="116" t="n"/>
      <c r="AL291" s="116" t="n"/>
      <c r="AM291" s="116" t="n"/>
      <c r="AN291" s="116" t="n"/>
      <c r="AO291" s="116" t="n"/>
      <c r="AP291" s="116" t="n"/>
      <c r="AQ291" s="116" t="n"/>
      <c r="AR291" s="116" t="n"/>
      <c r="AS291" s="116" t="n"/>
      <c r="AT291" s="116" t="n"/>
      <c r="AU291" s="116" t="n"/>
      <c r="AV291" s="116" t="n"/>
    </row>
    <row r="292">
      <c r="AI292" s="116" t="n"/>
      <c r="AJ292" s="116" t="n"/>
      <c r="AK292" s="116" t="n"/>
      <c r="AL292" s="116" t="n"/>
      <c r="AM292" s="116" t="n"/>
      <c r="AN292" s="116" t="n"/>
      <c r="AO292" s="116" t="n"/>
      <c r="AP292" s="116" t="n"/>
      <c r="AQ292" s="116" t="n"/>
      <c r="AR292" s="116" t="n"/>
      <c r="AS292" s="116" t="n"/>
      <c r="AT292" s="116" t="n"/>
      <c r="AU292" s="116" t="n"/>
      <c r="AV292" s="116" t="n"/>
    </row>
    <row r="293">
      <c r="AI293" s="116" t="n"/>
      <c r="AJ293" s="116" t="n"/>
      <c r="AK293" s="116" t="n"/>
      <c r="AL293" s="116" t="n"/>
      <c r="AM293" s="116" t="n"/>
      <c r="AN293" s="116" t="n"/>
      <c r="AO293" s="116" t="n"/>
      <c r="AP293" s="116" t="n"/>
      <c r="AQ293" s="116" t="n"/>
      <c r="AR293" s="116" t="n"/>
      <c r="AS293" s="116" t="n"/>
      <c r="AT293" s="116" t="n"/>
      <c r="AU293" s="116" t="n"/>
      <c r="AV293" s="116" t="n"/>
    </row>
    <row r="294">
      <c r="AI294" s="116" t="n"/>
      <c r="AJ294" s="116" t="n"/>
      <c r="AK294" s="116" t="n"/>
      <c r="AL294" s="116" t="n"/>
      <c r="AM294" s="116" t="n"/>
      <c r="AN294" s="116" t="n"/>
      <c r="AO294" s="116" t="n"/>
      <c r="AP294" s="116" t="n"/>
      <c r="AQ294" s="116" t="n"/>
      <c r="AR294" s="116" t="n"/>
      <c r="AS294" s="116" t="n"/>
      <c r="AT294" s="116" t="n"/>
      <c r="AU294" s="116" t="n"/>
      <c r="AV294" s="116" t="n"/>
    </row>
    <row r="295">
      <c r="AI295" s="116" t="n"/>
      <c r="AJ295" s="116" t="n"/>
      <c r="AK295" s="116" t="n"/>
      <c r="AL295" s="116" t="n"/>
      <c r="AM295" s="116" t="n"/>
      <c r="AN295" s="116" t="n"/>
      <c r="AO295" s="116" t="n"/>
      <c r="AP295" s="116" t="n"/>
      <c r="AQ295" s="116" t="n"/>
      <c r="AR295" s="116" t="n"/>
      <c r="AS295" s="116" t="n"/>
      <c r="AT295" s="116" t="n"/>
      <c r="AU295" s="116" t="n"/>
      <c r="AV295" s="116" t="n"/>
    </row>
    <row r="296">
      <c r="AI296" s="116" t="n"/>
      <c r="AJ296" s="116" t="n"/>
      <c r="AK296" s="116" t="n"/>
      <c r="AL296" s="116" t="n"/>
      <c r="AM296" s="116" t="n"/>
      <c r="AN296" s="116" t="n"/>
      <c r="AO296" s="116" t="n"/>
      <c r="AP296" s="116" t="n"/>
      <c r="AQ296" s="116" t="n"/>
      <c r="AR296" s="116" t="n"/>
      <c r="AS296" s="116" t="n"/>
      <c r="AT296" s="116" t="n"/>
      <c r="AU296" s="116" t="n"/>
      <c r="AV296" s="116" t="n"/>
    </row>
    <row r="297">
      <c r="AI297" s="116" t="n"/>
      <c r="AJ297" s="116" t="n"/>
      <c r="AK297" s="116" t="n"/>
      <c r="AL297" s="116" t="n"/>
      <c r="AM297" s="116" t="n"/>
      <c r="AN297" s="116" t="n"/>
      <c r="AO297" s="116" t="n"/>
      <c r="AP297" s="116" t="n"/>
      <c r="AQ297" s="116" t="n"/>
      <c r="AR297" s="116" t="n"/>
      <c r="AS297" s="116" t="n"/>
      <c r="AT297" s="116" t="n"/>
      <c r="AU297" s="116" t="n"/>
      <c r="AV297" s="116" t="n"/>
    </row>
    <row r="298">
      <c r="AI298" s="116" t="n"/>
      <c r="AJ298" s="116" t="n"/>
      <c r="AK298" s="116" t="n"/>
      <c r="AL298" s="116" t="n"/>
      <c r="AM298" s="116" t="n"/>
      <c r="AN298" s="116" t="n"/>
      <c r="AO298" s="116" t="n"/>
      <c r="AP298" s="116" t="n"/>
      <c r="AQ298" s="116" t="n"/>
      <c r="AR298" s="116" t="n"/>
      <c r="AS298" s="116" t="n"/>
      <c r="AT298" s="116" t="n"/>
      <c r="AU298" s="116" t="n"/>
      <c r="AV298" s="116" t="n"/>
    </row>
    <row r="299">
      <c r="AI299" s="116" t="n"/>
      <c r="AJ299" s="116" t="n"/>
      <c r="AK299" s="116" t="n"/>
      <c r="AL299" s="116" t="n"/>
      <c r="AM299" s="116" t="n"/>
      <c r="AN299" s="116" t="n"/>
      <c r="AO299" s="116" t="n"/>
      <c r="AP299" s="116" t="n"/>
      <c r="AQ299" s="116" t="n"/>
      <c r="AR299" s="116" t="n"/>
      <c r="AS299" s="116" t="n"/>
      <c r="AT299" s="116" t="n"/>
      <c r="AU299" s="116" t="n"/>
      <c r="AV299" s="116" t="n"/>
    </row>
    <row r="300">
      <c r="AI300" s="116" t="n"/>
      <c r="AJ300" s="116" t="n"/>
      <c r="AK300" s="116" t="n"/>
      <c r="AL300" s="116" t="n"/>
      <c r="AM300" s="116" t="n"/>
      <c r="AN300" s="116" t="n"/>
      <c r="AO300" s="116" t="n"/>
      <c r="AP300" s="116" t="n"/>
      <c r="AQ300" s="116" t="n"/>
      <c r="AR300" s="116" t="n"/>
      <c r="AS300" s="116" t="n"/>
      <c r="AT300" s="116" t="n"/>
      <c r="AU300" s="116" t="n"/>
      <c r="AV300" s="116" t="n"/>
    </row>
    <row r="301">
      <c r="AI301" s="116" t="n"/>
      <c r="AJ301" s="116" t="n"/>
      <c r="AK301" s="116" t="n"/>
      <c r="AL301" s="116" t="n"/>
      <c r="AM301" s="116" t="n"/>
      <c r="AN301" s="116" t="n"/>
      <c r="AO301" s="116" t="n"/>
      <c r="AP301" s="116" t="n"/>
      <c r="AQ301" s="116" t="n"/>
      <c r="AR301" s="116" t="n"/>
      <c r="AS301" s="116" t="n"/>
      <c r="AT301" s="116" t="n"/>
      <c r="AU301" s="116" t="n"/>
      <c r="AV301" s="116" t="n"/>
    </row>
    <row r="302">
      <c r="AI302" s="116" t="n"/>
      <c r="AJ302" s="116" t="n"/>
      <c r="AK302" s="116" t="n"/>
      <c r="AL302" s="116" t="n"/>
      <c r="AM302" s="116" t="n"/>
      <c r="AN302" s="116" t="n"/>
      <c r="AO302" s="116" t="n"/>
      <c r="AP302" s="116" t="n"/>
      <c r="AQ302" s="116" t="n"/>
      <c r="AR302" s="116" t="n"/>
      <c r="AS302" s="116" t="n"/>
      <c r="AT302" s="116" t="n"/>
      <c r="AU302" s="116" t="n"/>
      <c r="AV302" s="116" t="n"/>
    </row>
    <row r="303">
      <c r="AI303" s="116" t="n"/>
      <c r="AJ303" s="116" t="n"/>
      <c r="AK303" s="116" t="n"/>
      <c r="AL303" s="116" t="n"/>
      <c r="AM303" s="116" t="n"/>
      <c r="AN303" s="116" t="n"/>
      <c r="AO303" s="116" t="n"/>
      <c r="AP303" s="116" t="n"/>
      <c r="AQ303" s="116" t="n"/>
      <c r="AR303" s="116" t="n"/>
      <c r="AS303" s="116" t="n"/>
      <c r="AT303" s="116" t="n"/>
      <c r="AU303" s="116" t="n"/>
      <c r="AV303" s="116" t="n"/>
    </row>
    <row r="304">
      <c r="AI304" s="116" t="n"/>
      <c r="AJ304" s="116" t="n"/>
      <c r="AK304" s="116" t="n"/>
      <c r="AL304" s="116" t="n"/>
      <c r="AM304" s="116" t="n"/>
      <c r="AN304" s="116" t="n"/>
      <c r="AO304" s="116" t="n"/>
      <c r="AP304" s="116" t="n"/>
      <c r="AQ304" s="116" t="n"/>
      <c r="AR304" s="116" t="n"/>
      <c r="AS304" s="116" t="n"/>
      <c r="AT304" s="116" t="n"/>
      <c r="AU304" s="116" t="n"/>
      <c r="AV304" s="116" t="n"/>
    </row>
    <row r="305">
      <c r="AI305" s="116" t="n"/>
      <c r="AJ305" s="116" t="n"/>
      <c r="AK305" s="116" t="n"/>
      <c r="AL305" s="116" t="n"/>
      <c r="AM305" s="116" t="n"/>
      <c r="AN305" s="116" t="n"/>
      <c r="AO305" s="116" t="n"/>
      <c r="AP305" s="116" t="n"/>
      <c r="AQ305" s="116" t="n"/>
      <c r="AR305" s="116" t="n"/>
      <c r="AS305" s="116" t="n"/>
      <c r="AT305" s="116" t="n"/>
      <c r="AU305" s="116" t="n"/>
      <c r="AV305" s="116" t="n"/>
    </row>
    <row r="306">
      <c r="AI306" s="116" t="n"/>
      <c r="AJ306" s="116" t="n"/>
      <c r="AK306" s="116" t="n"/>
      <c r="AL306" s="116" t="n"/>
      <c r="AM306" s="116" t="n"/>
      <c r="AN306" s="116" t="n"/>
      <c r="AO306" s="116" t="n"/>
      <c r="AP306" s="116" t="n"/>
      <c r="AQ306" s="116" t="n"/>
      <c r="AR306" s="116" t="n"/>
      <c r="AS306" s="116" t="n"/>
      <c r="AT306" s="116" t="n"/>
      <c r="AU306" s="116" t="n"/>
      <c r="AV306" s="116" t="n"/>
    </row>
    <row r="307">
      <c r="AI307" s="116" t="n"/>
      <c r="AJ307" s="116" t="n"/>
      <c r="AK307" s="116" t="n"/>
      <c r="AL307" s="116" t="n"/>
      <c r="AM307" s="116" t="n"/>
      <c r="AN307" s="116" t="n"/>
      <c r="AO307" s="116" t="n"/>
      <c r="AP307" s="116" t="n"/>
      <c r="AQ307" s="116" t="n"/>
      <c r="AR307" s="116" t="n"/>
      <c r="AS307" s="116" t="n"/>
      <c r="AT307" s="116" t="n"/>
      <c r="AU307" s="116" t="n"/>
      <c r="AV307" s="116" t="n"/>
    </row>
    <row r="308">
      <c r="AI308" s="116" t="n"/>
      <c r="AJ308" s="116" t="n"/>
      <c r="AK308" s="116" t="n"/>
      <c r="AL308" s="116" t="n"/>
      <c r="AM308" s="116" t="n"/>
      <c r="AN308" s="116" t="n"/>
      <c r="AO308" s="116" t="n"/>
      <c r="AP308" s="116" t="n"/>
      <c r="AQ308" s="116" t="n"/>
      <c r="AR308" s="116" t="n"/>
      <c r="AS308" s="116" t="n"/>
      <c r="AT308" s="116" t="n"/>
      <c r="AU308" s="116" t="n"/>
      <c r="AV308" s="116" t="n"/>
    </row>
    <row r="309">
      <c r="AI309" s="116" t="n"/>
      <c r="AJ309" s="116" t="n"/>
      <c r="AK309" s="116" t="n"/>
      <c r="AL309" s="116" t="n"/>
      <c r="AM309" s="116" t="n"/>
      <c r="AN309" s="116" t="n"/>
      <c r="AO309" s="116" t="n"/>
      <c r="AP309" s="116" t="n"/>
      <c r="AQ309" s="116" t="n"/>
      <c r="AR309" s="116" t="n"/>
      <c r="AS309" s="116" t="n"/>
      <c r="AT309" s="116" t="n"/>
      <c r="AU309" s="116" t="n"/>
      <c r="AV309" s="116" t="n"/>
    </row>
    <row r="310">
      <c r="AI310" s="116" t="n"/>
      <c r="AJ310" s="116" t="n"/>
      <c r="AK310" s="116" t="n"/>
      <c r="AL310" s="116" t="n"/>
      <c r="AM310" s="116" t="n"/>
      <c r="AN310" s="116" t="n"/>
      <c r="AO310" s="116" t="n"/>
      <c r="AP310" s="116" t="n"/>
      <c r="AQ310" s="116" t="n"/>
      <c r="AR310" s="116" t="n"/>
      <c r="AS310" s="116" t="n"/>
      <c r="AT310" s="116" t="n"/>
      <c r="AU310" s="116" t="n"/>
      <c r="AV310" s="116" t="n"/>
    </row>
    <row r="311">
      <c r="AI311" s="116" t="n"/>
      <c r="AJ311" s="116" t="n"/>
      <c r="AK311" s="116" t="n"/>
      <c r="AL311" s="116" t="n"/>
      <c r="AM311" s="116" t="n"/>
      <c r="AN311" s="116" t="n"/>
      <c r="AO311" s="116" t="n"/>
      <c r="AP311" s="116" t="n"/>
      <c r="AQ311" s="116" t="n"/>
      <c r="AR311" s="116" t="n"/>
      <c r="AS311" s="116" t="n"/>
      <c r="AT311" s="116" t="n"/>
      <c r="AU311" s="116" t="n"/>
      <c r="AV311" s="116" t="n"/>
    </row>
    <row r="312">
      <c r="AI312" s="116" t="n"/>
      <c r="AJ312" s="116" t="n"/>
      <c r="AK312" s="116" t="n"/>
      <c r="AL312" s="116" t="n"/>
      <c r="AM312" s="116" t="n"/>
      <c r="AN312" s="116" t="n"/>
      <c r="AO312" s="116" t="n"/>
      <c r="AP312" s="116" t="n"/>
      <c r="AQ312" s="116" t="n"/>
      <c r="AR312" s="116" t="n"/>
      <c r="AS312" s="116" t="n"/>
      <c r="AT312" s="116" t="n"/>
      <c r="AU312" s="116" t="n"/>
      <c r="AV312" s="116" t="n"/>
    </row>
    <row r="313">
      <c r="AI313" s="116" t="n"/>
      <c r="AJ313" s="116" t="n"/>
      <c r="AK313" s="116" t="n"/>
      <c r="AL313" s="116" t="n"/>
      <c r="AM313" s="116" t="n"/>
      <c r="AN313" s="116" t="n"/>
      <c r="AO313" s="116" t="n"/>
      <c r="AP313" s="116" t="n"/>
      <c r="AQ313" s="116" t="n"/>
      <c r="AR313" s="116" t="n"/>
      <c r="AS313" s="116" t="n"/>
      <c r="AT313" s="116" t="n"/>
      <c r="AU313" s="116" t="n"/>
      <c r="AV313" s="116" t="n"/>
    </row>
    <row r="314">
      <c r="AI314" s="116" t="n"/>
      <c r="AJ314" s="116" t="n"/>
      <c r="AK314" s="116" t="n"/>
      <c r="AL314" s="116" t="n"/>
      <c r="AM314" s="116" t="n"/>
      <c r="AN314" s="116" t="n"/>
      <c r="AO314" s="116" t="n"/>
      <c r="AP314" s="116" t="n"/>
      <c r="AQ314" s="116" t="n"/>
      <c r="AR314" s="116" t="n"/>
      <c r="AS314" s="116" t="n"/>
      <c r="AT314" s="116" t="n"/>
      <c r="AU314" s="116" t="n"/>
      <c r="AV314" s="116" t="n"/>
    </row>
    <row r="315">
      <c r="AI315" s="116" t="n"/>
      <c r="AJ315" s="116" t="n"/>
      <c r="AK315" s="116" t="n"/>
      <c r="AL315" s="116" t="n"/>
      <c r="AM315" s="116" t="n"/>
      <c r="AN315" s="116" t="n"/>
      <c r="AO315" s="116" t="n"/>
      <c r="AP315" s="116" t="n"/>
      <c r="AQ315" s="116" t="n"/>
      <c r="AR315" s="116" t="n"/>
      <c r="AS315" s="116" t="n"/>
      <c r="AT315" s="116" t="n"/>
      <c r="AU315" s="116" t="n"/>
      <c r="AV315" s="116" t="n"/>
    </row>
    <row r="316">
      <c r="AI316" s="116" t="n"/>
      <c r="AJ316" s="116" t="n"/>
      <c r="AK316" s="116" t="n"/>
      <c r="AL316" s="116" t="n"/>
      <c r="AM316" s="116" t="n"/>
      <c r="AN316" s="116" t="n"/>
      <c r="AO316" s="116" t="n"/>
      <c r="AP316" s="116" t="n"/>
      <c r="AQ316" s="116" t="n"/>
      <c r="AR316" s="116" t="n"/>
      <c r="AS316" s="116" t="n"/>
      <c r="AT316" s="116" t="n"/>
      <c r="AU316" s="116" t="n"/>
      <c r="AV316" s="116" t="n"/>
    </row>
    <row r="317">
      <c r="AI317" s="116" t="n"/>
      <c r="AJ317" s="116" t="n"/>
      <c r="AK317" s="116" t="n"/>
      <c r="AL317" s="116" t="n"/>
      <c r="AM317" s="116" t="n"/>
      <c r="AN317" s="116" t="n"/>
      <c r="AO317" s="116" t="n"/>
      <c r="AP317" s="116" t="n"/>
      <c r="AQ317" s="116" t="n"/>
      <c r="AR317" s="116" t="n"/>
      <c r="AS317" s="116" t="n"/>
      <c r="AT317" s="116" t="n"/>
      <c r="AU317" s="116" t="n"/>
      <c r="AV317" s="116" t="n"/>
    </row>
    <row r="318">
      <c r="AI318" s="116" t="n"/>
      <c r="AJ318" s="116" t="n"/>
      <c r="AK318" s="116" t="n"/>
      <c r="AL318" s="116" t="n"/>
      <c r="AM318" s="116" t="n"/>
      <c r="AN318" s="116" t="n"/>
      <c r="AO318" s="116" t="n"/>
      <c r="AP318" s="116" t="n"/>
      <c r="AQ318" s="116" t="n"/>
      <c r="AR318" s="116" t="n"/>
      <c r="AS318" s="116" t="n"/>
      <c r="AT318" s="116" t="n"/>
      <c r="AU318" s="116" t="n"/>
      <c r="AV318" s="116" t="n"/>
    </row>
    <row r="319">
      <c r="AI319" s="116" t="n"/>
      <c r="AJ319" s="116" t="n"/>
      <c r="AK319" s="116" t="n"/>
      <c r="AL319" s="116" t="n"/>
      <c r="AM319" s="116" t="n"/>
      <c r="AN319" s="116" t="n"/>
      <c r="AO319" s="116" t="n"/>
      <c r="AP319" s="116" t="n"/>
      <c r="AQ319" s="116" t="n"/>
      <c r="AR319" s="116" t="n"/>
      <c r="AS319" s="116" t="n"/>
      <c r="AT319" s="116" t="n"/>
      <c r="AU319" s="116" t="n"/>
      <c r="AV319" s="116" t="n"/>
    </row>
    <row r="320">
      <c r="AI320" s="116" t="n"/>
      <c r="AJ320" s="116" t="n"/>
      <c r="AK320" s="116" t="n"/>
      <c r="AL320" s="116" t="n"/>
      <c r="AM320" s="116" t="n"/>
      <c r="AN320" s="116" t="n"/>
      <c r="AO320" s="116" t="n"/>
      <c r="AP320" s="116" t="n"/>
      <c r="AQ320" s="116" t="n"/>
      <c r="AR320" s="116" t="n"/>
      <c r="AS320" s="116" t="n"/>
      <c r="AT320" s="116" t="n"/>
      <c r="AU320" s="116" t="n"/>
      <c r="AV320" s="116" t="n"/>
    </row>
    <row r="321">
      <c r="AI321" s="116" t="n"/>
      <c r="AJ321" s="116" t="n"/>
      <c r="AK321" s="116" t="n"/>
      <c r="AL321" s="116" t="n"/>
      <c r="AM321" s="116" t="n"/>
      <c r="AN321" s="116" t="n"/>
      <c r="AO321" s="116" t="n"/>
      <c r="AP321" s="116" t="n"/>
      <c r="AQ321" s="116" t="n"/>
      <c r="AR321" s="116" t="n"/>
      <c r="AS321" s="116" t="n"/>
      <c r="AT321" s="116" t="n"/>
      <c r="AU321" s="116" t="n"/>
      <c r="AV321" s="116" t="n"/>
    </row>
    <row r="322">
      <c r="AI322" s="116" t="n"/>
      <c r="AJ322" s="116" t="n"/>
      <c r="AK322" s="116" t="n"/>
      <c r="AL322" s="116" t="n"/>
      <c r="AM322" s="116" t="n"/>
      <c r="AN322" s="116" t="n"/>
      <c r="AO322" s="116" t="n"/>
      <c r="AP322" s="116" t="n"/>
      <c r="AQ322" s="116" t="n"/>
      <c r="AR322" s="116" t="n"/>
      <c r="AS322" s="116" t="n"/>
      <c r="AT322" s="116" t="n"/>
      <c r="AU322" s="116" t="n"/>
      <c r="AV322" s="116" t="n"/>
    </row>
    <row r="323">
      <c r="AI323" s="116" t="n"/>
      <c r="AJ323" s="116" t="n"/>
      <c r="AK323" s="116" t="n"/>
      <c r="AL323" s="116" t="n"/>
      <c r="AM323" s="116" t="n"/>
      <c r="AN323" s="116" t="n"/>
      <c r="AO323" s="116" t="n"/>
      <c r="AP323" s="116" t="n"/>
      <c r="AQ323" s="116" t="n"/>
      <c r="AR323" s="116" t="n"/>
      <c r="AS323" s="116" t="n"/>
      <c r="AT323" s="116" t="n"/>
      <c r="AU323" s="116" t="n"/>
      <c r="AV323" s="116" t="n"/>
    </row>
    <row r="324">
      <c r="AI324" s="116" t="n"/>
      <c r="AJ324" s="116" t="n"/>
      <c r="AK324" s="116" t="n"/>
      <c r="AL324" s="116" t="n"/>
      <c r="AM324" s="116" t="n"/>
      <c r="AN324" s="116" t="n"/>
      <c r="AO324" s="116" t="n"/>
      <c r="AP324" s="116" t="n"/>
      <c r="AQ324" s="116" t="n"/>
      <c r="AR324" s="116" t="n"/>
      <c r="AS324" s="116" t="n"/>
      <c r="AT324" s="116" t="n"/>
      <c r="AU324" s="116" t="n"/>
      <c r="AV324" s="116" t="n"/>
    </row>
    <row r="325">
      <c r="AI325" s="116" t="n"/>
      <c r="AJ325" s="116" t="n"/>
      <c r="AK325" s="116" t="n"/>
      <c r="AL325" s="116" t="n"/>
      <c r="AM325" s="116" t="n"/>
      <c r="AN325" s="116" t="n"/>
      <c r="AO325" s="116" t="n"/>
      <c r="AP325" s="116" t="n"/>
      <c r="AQ325" s="116" t="n"/>
      <c r="AR325" s="116" t="n"/>
      <c r="AS325" s="116" t="n"/>
      <c r="AT325" s="116" t="n"/>
      <c r="AU325" s="116" t="n"/>
      <c r="AV325" s="116" t="n"/>
    </row>
    <row r="326">
      <c r="AI326" s="116" t="n"/>
      <c r="AJ326" s="116" t="n"/>
      <c r="AK326" s="116" t="n"/>
      <c r="AL326" s="116" t="n"/>
      <c r="AM326" s="116" t="n"/>
      <c r="AN326" s="116" t="n"/>
      <c r="AO326" s="116" t="n"/>
      <c r="AP326" s="116" t="n"/>
      <c r="AQ326" s="116" t="n"/>
      <c r="AR326" s="116" t="n"/>
      <c r="AS326" s="116" t="n"/>
      <c r="AT326" s="116" t="n"/>
      <c r="AU326" s="116" t="n"/>
      <c r="AV326" s="116" t="n"/>
    </row>
    <row r="327">
      <c r="AI327" s="116" t="n"/>
      <c r="AJ327" s="116" t="n"/>
      <c r="AK327" s="116" t="n"/>
      <c r="AL327" s="116" t="n"/>
      <c r="AM327" s="116" t="n"/>
      <c r="AN327" s="116" t="n"/>
      <c r="AO327" s="116" t="n"/>
      <c r="AP327" s="116" t="n"/>
      <c r="AQ327" s="116" t="n"/>
      <c r="AR327" s="116" t="n"/>
      <c r="AS327" s="116" t="n"/>
      <c r="AT327" s="116" t="n"/>
      <c r="AU327" s="116" t="n"/>
      <c r="AV327" s="116" t="n"/>
    </row>
    <row r="328">
      <c r="AI328" s="116" t="n"/>
      <c r="AJ328" s="116" t="n"/>
      <c r="AK328" s="116" t="n"/>
      <c r="AL328" s="116" t="n"/>
      <c r="AM328" s="116" t="n"/>
      <c r="AN328" s="116" t="n"/>
      <c r="AO328" s="116" t="n"/>
      <c r="AP328" s="116" t="n"/>
      <c r="AQ328" s="116" t="n"/>
      <c r="AR328" s="116" t="n"/>
      <c r="AS328" s="116" t="n"/>
      <c r="AT328" s="116" t="n"/>
      <c r="AU328" s="116" t="n"/>
      <c r="AV328" s="116" t="n"/>
    </row>
    <row r="329">
      <c r="AI329" s="116" t="n"/>
      <c r="AJ329" s="116" t="n"/>
      <c r="AK329" s="116" t="n"/>
      <c r="AL329" s="116" t="n"/>
      <c r="AM329" s="116" t="n"/>
      <c r="AN329" s="116" t="n"/>
      <c r="AO329" s="116" t="n"/>
      <c r="AP329" s="116" t="n"/>
      <c r="AQ329" s="116" t="n"/>
      <c r="AR329" s="116" t="n"/>
      <c r="AS329" s="116" t="n"/>
      <c r="AT329" s="116" t="n"/>
      <c r="AU329" s="116" t="n"/>
      <c r="AV329" s="116" t="n"/>
    </row>
    <row r="330">
      <c r="AI330" s="116" t="n"/>
      <c r="AJ330" s="116" t="n"/>
      <c r="AK330" s="116" t="n"/>
      <c r="AL330" s="116" t="n"/>
      <c r="AM330" s="116" t="n"/>
      <c r="AN330" s="116" t="n"/>
      <c r="AO330" s="116" t="n"/>
      <c r="AP330" s="116" t="n"/>
      <c r="AQ330" s="116" t="n"/>
      <c r="AR330" s="116" t="n"/>
      <c r="AS330" s="116" t="n"/>
      <c r="AT330" s="116" t="n"/>
      <c r="AU330" s="116" t="n"/>
      <c r="AV330" s="116" t="n"/>
    </row>
    <row r="331">
      <c r="AI331" s="116" t="n"/>
      <c r="AJ331" s="116" t="n"/>
      <c r="AK331" s="116" t="n"/>
      <c r="AL331" s="116" t="n"/>
      <c r="AM331" s="116" t="n"/>
      <c r="AN331" s="116" t="n"/>
      <c r="AO331" s="116" t="n"/>
      <c r="AP331" s="116" t="n"/>
      <c r="AQ331" s="116" t="n"/>
      <c r="AR331" s="116" t="n"/>
      <c r="AS331" s="116" t="n"/>
      <c r="AT331" s="116" t="n"/>
      <c r="AU331" s="116" t="n"/>
      <c r="AV331" s="116" t="n"/>
    </row>
    <row r="332">
      <c r="AI332" s="116" t="n"/>
      <c r="AJ332" s="116" t="n"/>
      <c r="AK332" s="116" t="n"/>
      <c r="AL332" s="116" t="n"/>
      <c r="AM332" s="116" t="n"/>
      <c r="AN332" s="116" t="n"/>
      <c r="AO332" s="116" t="n"/>
      <c r="AP332" s="116" t="n"/>
      <c r="AQ332" s="116" t="n"/>
      <c r="AR332" s="116" t="n"/>
      <c r="AS332" s="116" t="n"/>
      <c r="AT332" s="116" t="n"/>
      <c r="AU332" s="116" t="n"/>
      <c r="AV332" s="116" t="n"/>
    </row>
    <row r="333">
      <c r="AI333" s="116" t="n"/>
      <c r="AJ333" s="116" t="n"/>
      <c r="AK333" s="116" t="n"/>
      <c r="AL333" s="116" t="n"/>
      <c r="AM333" s="116" t="n"/>
      <c r="AN333" s="116" t="n"/>
      <c r="AO333" s="116" t="n"/>
      <c r="AP333" s="116" t="n"/>
      <c r="AQ333" s="116" t="n"/>
      <c r="AR333" s="116" t="n"/>
      <c r="AS333" s="116" t="n"/>
      <c r="AT333" s="116" t="n"/>
      <c r="AU333" s="116" t="n"/>
      <c r="AV333" s="116" t="n"/>
    </row>
    <row r="334">
      <c r="AI334" s="116" t="n"/>
      <c r="AJ334" s="116" t="n"/>
      <c r="AK334" s="116" t="n"/>
      <c r="AL334" s="116" t="n"/>
      <c r="AM334" s="116" t="n"/>
      <c r="AN334" s="116" t="n"/>
      <c r="AO334" s="116" t="n"/>
      <c r="AP334" s="116" t="n"/>
      <c r="AQ334" s="116" t="n"/>
      <c r="AR334" s="116" t="n"/>
      <c r="AS334" s="116" t="n"/>
      <c r="AT334" s="116" t="n"/>
      <c r="AU334" s="116" t="n"/>
      <c r="AV334" s="116" t="n"/>
    </row>
    <row r="335">
      <c r="AI335" s="116" t="n"/>
      <c r="AJ335" s="116" t="n"/>
      <c r="AK335" s="116" t="n"/>
      <c r="AL335" s="116" t="n"/>
      <c r="AM335" s="116" t="n"/>
      <c r="AN335" s="116" t="n"/>
      <c r="AO335" s="116" t="n"/>
      <c r="AP335" s="116" t="n"/>
      <c r="AQ335" s="116" t="n"/>
      <c r="AR335" s="116" t="n"/>
      <c r="AS335" s="116" t="n"/>
      <c r="AT335" s="116" t="n"/>
      <c r="AU335" s="116" t="n"/>
      <c r="AV335" s="116" t="n"/>
    </row>
    <row r="336">
      <c r="AI336" s="116" t="n"/>
      <c r="AJ336" s="116" t="n"/>
      <c r="AK336" s="116" t="n"/>
      <c r="AL336" s="116" t="n"/>
      <c r="AM336" s="116" t="n"/>
      <c r="AN336" s="116" t="n"/>
      <c r="AO336" s="116" t="n"/>
      <c r="AP336" s="116" t="n"/>
      <c r="AQ336" s="116" t="n"/>
      <c r="AR336" s="116" t="n"/>
      <c r="AS336" s="116" t="n"/>
      <c r="AT336" s="116" t="n"/>
      <c r="AU336" s="116" t="n"/>
      <c r="AV336" s="116" t="n"/>
    </row>
    <row r="337">
      <c r="AI337" s="116" t="n"/>
      <c r="AJ337" s="116" t="n"/>
      <c r="AK337" s="116" t="n"/>
      <c r="AL337" s="116" t="n"/>
      <c r="AM337" s="116" t="n"/>
      <c r="AN337" s="116" t="n"/>
      <c r="AO337" s="116" t="n"/>
      <c r="AP337" s="116" t="n"/>
      <c r="AQ337" s="116" t="n"/>
      <c r="AR337" s="116" t="n"/>
      <c r="AS337" s="116" t="n"/>
      <c r="AT337" s="116" t="n"/>
      <c r="AU337" s="116" t="n"/>
      <c r="AV337" s="116" t="n"/>
    </row>
    <row r="338">
      <c r="AI338" s="116" t="n"/>
      <c r="AJ338" s="116" t="n"/>
      <c r="AK338" s="116" t="n"/>
      <c r="AL338" s="116" t="n"/>
      <c r="AM338" s="116" t="n"/>
      <c r="AN338" s="116" t="n"/>
      <c r="AO338" s="116" t="n"/>
      <c r="AP338" s="116" t="n"/>
      <c r="AQ338" s="116" t="n"/>
      <c r="AR338" s="116" t="n"/>
      <c r="AS338" s="116" t="n"/>
      <c r="AT338" s="116" t="n"/>
      <c r="AU338" s="116" t="n"/>
      <c r="AV338" s="116" t="n"/>
    </row>
    <row r="339">
      <c r="AI339" s="116" t="n"/>
      <c r="AJ339" s="116" t="n"/>
      <c r="AK339" s="116" t="n"/>
      <c r="AL339" s="116" t="n"/>
      <c r="AM339" s="116" t="n"/>
      <c r="AN339" s="116" t="n"/>
      <c r="AO339" s="116" t="n"/>
      <c r="AP339" s="116" t="n"/>
      <c r="AQ339" s="116" t="n"/>
      <c r="AR339" s="116" t="n"/>
      <c r="AS339" s="116" t="n"/>
      <c r="AT339" s="116" t="n"/>
      <c r="AU339" s="116" t="n"/>
      <c r="AV339" s="116" t="n"/>
    </row>
    <row r="340">
      <c r="AI340" s="116" t="n"/>
      <c r="AJ340" s="116" t="n"/>
      <c r="AK340" s="116" t="n"/>
      <c r="AL340" s="116" t="n"/>
      <c r="AM340" s="116" t="n"/>
      <c r="AN340" s="116" t="n"/>
      <c r="AO340" s="116" t="n"/>
      <c r="AP340" s="116" t="n"/>
      <c r="AQ340" s="116" t="n"/>
      <c r="AR340" s="116" t="n"/>
      <c r="AS340" s="116" t="n"/>
      <c r="AT340" s="116" t="n"/>
      <c r="AU340" s="116" t="n"/>
      <c r="AV340" s="116" t="n"/>
    </row>
    <row r="341">
      <c r="AI341" s="116" t="n"/>
      <c r="AJ341" s="116" t="n"/>
      <c r="AK341" s="116" t="n"/>
      <c r="AL341" s="116" t="n"/>
      <c r="AM341" s="116" t="n"/>
      <c r="AN341" s="116" t="n"/>
      <c r="AO341" s="116" t="n"/>
      <c r="AP341" s="116" t="n"/>
      <c r="AQ341" s="116" t="n"/>
      <c r="AR341" s="116" t="n"/>
      <c r="AS341" s="116" t="n"/>
      <c r="AT341" s="116" t="n"/>
      <c r="AU341" s="116" t="n"/>
      <c r="AV341" s="116" t="n"/>
    </row>
    <row r="342">
      <c r="AI342" s="116" t="n"/>
      <c r="AJ342" s="116" t="n"/>
      <c r="AK342" s="116" t="n"/>
      <c r="AL342" s="116" t="n"/>
      <c r="AM342" s="116" t="n"/>
      <c r="AN342" s="116" t="n"/>
      <c r="AO342" s="116" t="n"/>
      <c r="AP342" s="116" t="n"/>
      <c r="AQ342" s="116" t="n"/>
      <c r="AR342" s="116" t="n"/>
      <c r="AS342" s="116" t="n"/>
      <c r="AT342" s="116" t="n"/>
      <c r="AU342" s="116" t="n"/>
      <c r="AV342" s="116" t="n"/>
    </row>
    <row r="343">
      <c r="AI343" s="116" t="n"/>
      <c r="AJ343" s="116" t="n"/>
      <c r="AK343" s="116" t="n"/>
      <c r="AL343" s="116" t="n"/>
      <c r="AM343" s="116" t="n"/>
      <c r="AN343" s="116" t="n"/>
      <c r="AO343" s="116" t="n"/>
      <c r="AP343" s="116" t="n"/>
      <c r="AQ343" s="116" t="n"/>
      <c r="AR343" s="116" t="n"/>
      <c r="AS343" s="116" t="n"/>
      <c r="AT343" s="116" t="n"/>
      <c r="AU343" s="116" t="n"/>
      <c r="AV343" s="116" t="n"/>
    </row>
    <row r="344">
      <c r="AI344" s="116" t="n"/>
      <c r="AJ344" s="116" t="n"/>
      <c r="AK344" s="116" t="n"/>
      <c r="AL344" s="116" t="n"/>
      <c r="AM344" s="116" t="n"/>
      <c r="AN344" s="116" t="n"/>
      <c r="AO344" s="116" t="n"/>
      <c r="AP344" s="116" t="n"/>
      <c r="AQ344" s="116" t="n"/>
      <c r="AR344" s="116" t="n"/>
      <c r="AS344" s="116" t="n"/>
      <c r="AT344" s="116" t="n"/>
      <c r="AU344" s="116" t="n"/>
      <c r="AV344" s="116" t="n"/>
    </row>
    <row r="345">
      <c r="AI345" s="116" t="n"/>
      <c r="AJ345" s="116" t="n"/>
      <c r="AK345" s="116" t="n"/>
      <c r="AL345" s="116" t="n"/>
      <c r="AM345" s="116" t="n"/>
      <c r="AN345" s="116" t="n"/>
      <c r="AO345" s="116" t="n"/>
      <c r="AP345" s="116" t="n"/>
      <c r="AQ345" s="116" t="n"/>
      <c r="AR345" s="116" t="n"/>
      <c r="AS345" s="116" t="n"/>
      <c r="AT345" s="116" t="n"/>
      <c r="AU345" s="116" t="n"/>
      <c r="AV345" s="116" t="n"/>
    </row>
    <row r="346">
      <c r="AI346" s="116" t="n"/>
      <c r="AJ346" s="116" t="n"/>
      <c r="AK346" s="116" t="n"/>
      <c r="AL346" s="116" t="n"/>
      <c r="AM346" s="116" t="n"/>
      <c r="AN346" s="116" t="n"/>
      <c r="AO346" s="116" t="n"/>
      <c r="AP346" s="116" t="n"/>
      <c r="AQ346" s="116" t="n"/>
      <c r="AR346" s="116" t="n"/>
      <c r="AS346" s="116" t="n"/>
      <c r="AT346" s="116" t="n"/>
      <c r="AU346" s="116" t="n"/>
      <c r="AV346" s="116" t="n"/>
    </row>
    <row r="347">
      <c r="AI347" s="116" t="n"/>
      <c r="AJ347" s="116" t="n"/>
      <c r="AK347" s="116" t="n"/>
      <c r="AL347" s="116" t="n"/>
      <c r="AM347" s="116" t="n"/>
      <c r="AN347" s="116" t="n"/>
      <c r="AO347" s="116" t="n"/>
      <c r="AP347" s="116" t="n"/>
      <c r="AQ347" s="116" t="n"/>
      <c r="AR347" s="116" t="n"/>
      <c r="AS347" s="116" t="n"/>
      <c r="AT347" s="116" t="n"/>
      <c r="AU347" s="116" t="n"/>
      <c r="AV347" s="116" t="n"/>
    </row>
    <row r="348">
      <c r="AI348" s="116" t="n"/>
      <c r="AJ348" s="116" t="n"/>
      <c r="AK348" s="116" t="n"/>
      <c r="AL348" s="116" t="n"/>
      <c r="AM348" s="116" t="n"/>
      <c r="AN348" s="116" t="n"/>
      <c r="AO348" s="116" t="n"/>
      <c r="AP348" s="116" t="n"/>
      <c r="AQ348" s="116" t="n"/>
      <c r="AR348" s="116" t="n"/>
      <c r="AS348" s="116" t="n"/>
      <c r="AT348" s="116" t="n"/>
      <c r="AU348" s="116" t="n"/>
      <c r="AV348" s="116" t="n"/>
    </row>
    <row r="349">
      <c r="AI349" s="116" t="n"/>
      <c r="AJ349" s="116" t="n"/>
      <c r="AK349" s="116" t="n"/>
      <c r="AL349" s="116" t="n"/>
      <c r="AM349" s="116" t="n"/>
      <c r="AN349" s="116" t="n"/>
      <c r="AO349" s="116" t="n"/>
      <c r="AP349" s="116" t="n"/>
      <c r="AQ349" s="116" t="n"/>
      <c r="AR349" s="116" t="n"/>
      <c r="AS349" s="116" t="n"/>
      <c r="AT349" s="116" t="n"/>
      <c r="AU349" s="116" t="n"/>
      <c r="AV349" s="116" t="n"/>
    </row>
    <row r="350">
      <c r="AI350" s="116" t="n"/>
      <c r="AJ350" s="116" t="n"/>
      <c r="AK350" s="116" t="n"/>
      <c r="AL350" s="116" t="n"/>
      <c r="AM350" s="116" t="n"/>
      <c r="AN350" s="116" t="n"/>
      <c r="AO350" s="116" t="n"/>
      <c r="AP350" s="116" t="n"/>
      <c r="AQ350" s="116" t="n"/>
      <c r="AR350" s="116" t="n"/>
      <c r="AS350" s="116" t="n"/>
      <c r="AT350" s="116" t="n"/>
      <c r="AU350" s="116" t="n"/>
      <c r="AV350" s="116" t="n"/>
    </row>
    <row r="351">
      <c r="AI351" s="116" t="n"/>
      <c r="AJ351" s="116" t="n"/>
      <c r="AK351" s="116" t="n"/>
      <c r="AL351" s="116" t="n"/>
      <c r="AM351" s="116" t="n"/>
      <c r="AN351" s="116" t="n"/>
      <c r="AO351" s="116" t="n"/>
      <c r="AP351" s="116" t="n"/>
      <c r="AQ351" s="116" t="n"/>
      <c r="AR351" s="116" t="n"/>
      <c r="AS351" s="116" t="n"/>
      <c r="AT351" s="116" t="n"/>
      <c r="AU351" s="116" t="n"/>
      <c r="AV351" s="116" t="n"/>
    </row>
    <row r="352">
      <c r="AI352" s="116" t="n"/>
      <c r="AJ352" s="116" t="n"/>
      <c r="AK352" s="116" t="n"/>
      <c r="AL352" s="116" t="n"/>
      <c r="AM352" s="116" t="n"/>
      <c r="AN352" s="116" t="n"/>
      <c r="AO352" s="116" t="n"/>
      <c r="AP352" s="116" t="n"/>
      <c r="AQ352" s="116" t="n"/>
      <c r="AR352" s="116" t="n"/>
      <c r="AS352" s="116" t="n"/>
      <c r="AT352" s="116" t="n"/>
      <c r="AU352" s="116" t="n"/>
      <c r="AV352" s="116" t="n"/>
    </row>
    <row r="353">
      <c r="AI353" s="116" t="n"/>
      <c r="AJ353" s="116" t="n"/>
      <c r="AK353" s="116" t="n"/>
      <c r="AL353" s="116" t="n"/>
      <c r="AM353" s="116" t="n"/>
      <c r="AN353" s="116" t="n"/>
      <c r="AO353" s="116" t="n"/>
      <c r="AP353" s="116" t="n"/>
      <c r="AQ353" s="116" t="n"/>
      <c r="AR353" s="116" t="n"/>
      <c r="AS353" s="116" t="n"/>
      <c r="AT353" s="116" t="n"/>
      <c r="AU353" s="116" t="n"/>
      <c r="AV353" s="116" t="n"/>
    </row>
    <row r="354">
      <c r="AI354" s="116" t="n"/>
      <c r="AJ354" s="116" t="n"/>
      <c r="AK354" s="116" t="n"/>
      <c r="AL354" s="116" t="n"/>
      <c r="AM354" s="116" t="n"/>
      <c r="AN354" s="116" t="n"/>
      <c r="AO354" s="116" t="n"/>
      <c r="AP354" s="116" t="n"/>
      <c r="AQ354" s="116" t="n"/>
      <c r="AR354" s="116" t="n"/>
      <c r="AS354" s="116" t="n"/>
      <c r="AT354" s="116" t="n"/>
      <c r="AU354" s="116" t="n"/>
      <c r="AV354" s="116" t="n"/>
    </row>
    <row r="355">
      <c r="AI355" s="116" t="n"/>
      <c r="AJ355" s="116" t="n"/>
      <c r="AK355" s="116" t="n"/>
      <c r="AL355" s="116" t="n"/>
      <c r="AM355" s="116" t="n"/>
      <c r="AN355" s="116" t="n"/>
      <c r="AO355" s="116" t="n"/>
      <c r="AP355" s="116" t="n"/>
      <c r="AQ355" s="116" t="n"/>
      <c r="AR355" s="116" t="n"/>
      <c r="AS355" s="116" t="n"/>
      <c r="AT355" s="116" t="n"/>
      <c r="AU355" s="116" t="n"/>
      <c r="AV355" s="116" t="n"/>
    </row>
    <row r="356">
      <c r="AI356" s="116" t="n"/>
      <c r="AJ356" s="116" t="n"/>
      <c r="AK356" s="116" t="n"/>
      <c r="AL356" s="116" t="n"/>
      <c r="AM356" s="116" t="n"/>
      <c r="AN356" s="116" t="n"/>
      <c r="AO356" s="116" t="n"/>
      <c r="AP356" s="116" t="n"/>
      <c r="AQ356" s="116" t="n"/>
      <c r="AR356" s="116" t="n"/>
      <c r="AS356" s="116" t="n"/>
      <c r="AT356" s="116" t="n"/>
      <c r="AU356" s="116" t="n"/>
      <c r="AV356" s="116" t="n"/>
    </row>
    <row r="357">
      <c r="AI357" s="116" t="n"/>
      <c r="AJ357" s="116" t="n"/>
      <c r="AK357" s="116" t="n"/>
      <c r="AL357" s="116" t="n"/>
      <c r="AM357" s="116" t="n"/>
      <c r="AN357" s="116" t="n"/>
      <c r="AO357" s="116" t="n"/>
      <c r="AP357" s="116" t="n"/>
      <c r="AQ357" s="116" t="n"/>
      <c r="AR357" s="116" t="n"/>
      <c r="AS357" s="116" t="n"/>
      <c r="AT357" s="116" t="n"/>
      <c r="AU357" s="116" t="n"/>
      <c r="AV357" s="116" t="n"/>
    </row>
    <row r="358">
      <c r="AI358" s="116" t="n"/>
      <c r="AJ358" s="116" t="n"/>
      <c r="AK358" s="116" t="n"/>
      <c r="AL358" s="116" t="n"/>
      <c r="AM358" s="116" t="n"/>
      <c r="AN358" s="116" t="n"/>
      <c r="AO358" s="116" t="n"/>
      <c r="AP358" s="116" t="n"/>
      <c r="AQ358" s="116" t="n"/>
      <c r="AR358" s="116" t="n"/>
      <c r="AS358" s="116" t="n"/>
      <c r="AT358" s="116" t="n"/>
      <c r="AU358" s="116" t="n"/>
      <c r="AV358" s="116" t="n"/>
    </row>
    <row r="359">
      <c r="AI359" s="116" t="n"/>
      <c r="AJ359" s="116" t="n"/>
      <c r="AK359" s="116" t="n"/>
      <c r="AL359" s="116" t="n"/>
      <c r="AM359" s="116" t="n"/>
      <c r="AN359" s="116" t="n"/>
      <c r="AO359" s="116" t="n"/>
      <c r="AP359" s="116" t="n"/>
      <c r="AQ359" s="116" t="n"/>
      <c r="AR359" s="116" t="n"/>
      <c r="AS359" s="116" t="n"/>
      <c r="AT359" s="116" t="n"/>
      <c r="AU359" s="116" t="n"/>
      <c r="AV359" s="116" t="n"/>
    </row>
    <row r="360">
      <c r="AI360" s="116" t="n"/>
      <c r="AJ360" s="116" t="n"/>
      <c r="AK360" s="116" t="n"/>
      <c r="AL360" s="116" t="n"/>
      <c r="AM360" s="116" t="n"/>
      <c r="AN360" s="116" t="n"/>
      <c r="AO360" s="116" t="n"/>
      <c r="AP360" s="116" t="n"/>
      <c r="AQ360" s="116" t="n"/>
      <c r="AR360" s="116" t="n"/>
      <c r="AS360" s="116" t="n"/>
      <c r="AT360" s="116" t="n"/>
      <c r="AU360" s="116" t="n"/>
      <c r="AV360" s="116" t="n"/>
    </row>
    <row r="361">
      <c r="AI361" s="116" t="n"/>
      <c r="AJ361" s="116" t="n"/>
      <c r="AK361" s="116" t="n"/>
      <c r="AL361" s="116" t="n"/>
      <c r="AM361" s="116" t="n"/>
      <c r="AN361" s="116" t="n"/>
      <c r="AO361" s="116" t="n"/>
      <c r="AP361" s="116" t="n"/>
      <c r="AQ361" s="116" t="n"/>
      <c r="AR361" s="116" t="n"/>
      <c r="AS361" s="116" t="n"/>
      <c r="AT361" s="116" t="n"/>
      <c r="AU361" s="116" t="n"/>
      <c r="AV361" s="116" t="n"/>
    </row>
    <row r="362">
      <c r="AI362" s="116" t="n"/>
      <c r="AJ362" s="116" t="n"/>
      <c r="AK362" s="116" t="n"/>
      <c r="AL362" s="116" t="n"/>
      <c r="AM362" s="116" t="n"/>
      <c r="AN362" s="116" t="n"/>
      <c r="AO362" s="116" t="n"/>
      <c r="AP362" s="116" t="n"/>
      <c r="AQ362" s="116" t="n"/>
      <c r="AR362" s="116" t="n"/>
      <c r="AS362" s="116" t="n"/>
      <c r="AT362" s="116" t="n"/>
      <c r="AU362" s="116" t="n"/>
      <c r="AV362" s="116" t="n"/>
    </row>
    <row r="363">
      <c r="AI363" s="116" t="n"/>
      <c r="AJ363" s="116" t="n"/>
      <c r="AK363" s="116" t="n"/>
      <c r="AL363" s="116" t="n"/>
      <c r="AM363" s="116" t="n"/>
      <c r="AN363" s="116" t="n"/>
      <c r="AO363" s="116" t="n"/>
      <c r="AP363" s="116" t="n"/>
      <c r="AQ363" s="116" t="n"/>
      <c r="AR363" s="116" t="n"/>
      <c r="AS363" s="116" t="n"/>
      <c r="AT363" s="116" t="n"/>
      <c r="AU363" s="116" t="n"/>
      <c r="AV363" s="116" t="n"/>
    </row>
    <row r="364">
      <c r="AI364" s="116" t="n"/>
      <c r="AJ364" s="116" t="n"/>
      <c r="AK364" s="116" t="n"/>
      <c r="AL364" s="116" t="n"/>
      <c r="AM364" s="116" t="n"/>
      <c r="AN364" s="116" t="n"/>
      <c r="AO364" s="116" t="n"/>
      <c r="AP364" s="116" t="n"/>
      <c r="AQ364" s="116" t="n"/>
      <c r="AR364" s="116" t="n"/>
      <c r="AS364" s="116" t="n"/>
      <c r="AT364" s="116" t="n"/>
      <c r="AU364" s="116" t="n"/>
      <c r="AV364" s="116" t="n"/>
    </row>
    <row r="365">
      <c r="AI365" s="116" t="n"/>
      <c r="AJ365" s="116" t="n"/>
      <c r="AK365" s="116" t="n"/>
      <c r="AL365" s="116" t="n"/>
      <c r="AM365" s="116" t="n"/>
      <c r="AN365" s="116" t="n"/>
      <c r="AO365" s="116" t="n"/>
      <c r="AP365" s="116" t="n"/>
      <c r="AQ365" s="116" t="n"/>
      <c r="AR365" s="116" t="n"/>
      <c r="AS365" s="116" t="n"/>
      <c r="AT365" s="116" t="n"/>
      <c r="AU365" s="116" t="n"/>
      <c r="AV365" s="116" t="n"/>
    </row>
    <row r="366">
      <c r="AI366" s="116" t="n"/>
      <c r="AJ366" s="116" t="n"/>
      <c r="AK366" s="116" t="n"/>
      <c r="AL366" s="116" t="n"/>
      <c r="AM366" s="116" t="n"/>
      <c r="AN366" s="116" t="n"/>
      <c r="AO366" s="116" t="n"/>
      <c r="AP366" s="116" t="n"/>
      <c r="AQ366" s="116" t="n"/>
      <c r="AR366" s="116" t="n"/>
      <c r="AS366" s="116" t="n"/>
      <c r="AT366" s="116" t="n"/>
      <c r="AU366" s="116" t="n"/>
      <c r="AV366" s="116" t="n"/>
    </row>
    <row r="367">
      <c r="AI367" s="116" t="n"/>
      <c r="AJ367" s="116" t="n"/>
      <c r="AK367" s="116" t="n"/>
      <c r="AL367" s="116" t="n"/>
      <c r="AM367" s="116" t="n"/>
      <c r="AN367" s="116" t="n"/>
      <c r="AO367" s="116" t="n"/>
      <c r="AP367" s="116" t="n"/>
      <c r="AQ367" s="116" t="n"/>
      <c r="AR367" s="116" t="n"/>
      <c r="AS367" s="116" t="n"/>
      <c r="AT367" s="116" t="n"/>
      <c r="AU367" s="116" t="n"/>
      <c r="AV367" s="116" t="n"/>
    </row>
    <row r="368">
      <c r="AI368" s="116" t="n"/>
      <c r="AJ368" s="116" t="n"/>
      <c r="AK368" s="116" t="n"/>
      <c r="AL368" s="116" t="n"/>
      <c r="AM368" s="116" t="n"/>
      <c r="AN368" s="116" t="n"/>
      <c r="AO368" s="116" t="n"/>
      <c r="AP368" s="116" t="n"/>
      <c r="AQ368" s="116" t="n"/>
      <c r="AR368" s="116" t="n"/>
      <c r="AS368" s="116" t="n"/>
      <c r="AT368" s="116" t="n"/>
      <c r="AU368" s="116" t="n"/>
      <c r="AV368" s="116" t="n"/>
    </row>
    <row r="369">
      <c r="AI369" s="116" t="n"/>
      <c r="AJ369" s="116" t="n"/>
      <c r="AK369" s="116" t="n"/>
      <c r="AL369" s="116" t="n"/>
      <c r="AM369" s="116" t="n"/>
      <c r="AN369" s="116" t="n"/>
      <c r="AO369" s="116" t="n"/>
      <c r="AP369" s="116" t="n"/>
      <c r="AQ369" s="116" t="n"/>
      <c r="AR369" s="116" t="n"/>
      <c r="AS369" s="116" t="n"/>
      <c r="AT369" s="116" t="n"/>
      <c r="AU369" s="116" t="n"/>
      <c r="AV369" s="116" t="n"/>
    </row>
    <row r="370">
      <c r="AI370" s="116" t="n"/>
      <c r="AJ370" s="116" t="n"/>
      <c r="AK370" s="116" t="n"/>
      <c r="AL370" s="116" t="n"/>
      <c r="AM370" s="116" t="n"/>
      <c r="AN370" s="116" t="n"/>
      <c r="AO370" s="116" t="n"/>
      <c r="AP370" s="116" t="n"/>
      <c r="AQ370" s="116" t="n"/>
      <c r="AR370" s="116" t="n"/>
      <c r="AS370" s="116" t="n"/>
      <c r="AT370" s="116" t="n"/>
      <c r="AU370" s="116" t="n"/>
      <c r="AV370" s="116" t="n"/>
    </row>
    <row r="371">
      <c r="AI371" s="116" t="n"/>
      <c r="AJ371" s="116" t="n"/>
      <c r="AK371" s="116" t="n"/>
      <c r="AL371" s="116" t="n"/>
      <c r="AM371" s="116" t="n"/>
      <c r="AN371" s="116" t="n"/>
      <c r="AO371" s="116" t="n"/>
      <c r="AP371" s="116" t="n"/>
      <c r="AQ371" s="116" t="n"/>
      <c r="AR371" s="116" t="n"/>
      <c r="AS371" s="116" t="n"/>
      <c r="AT371" s="116" t="n"/>
      <c r="AU371" s="116" t="n"/>
      <c r="AV371" s="116" t="n"/>
    </row>
    <row r="372">
      <c r="AI372" s="116" t="n"/>
      <c r="AJ372" s="116" t="n"/>
      <c r="AK372" s="116" t="n"/>
      <c r="AL372" s="116" t="n"/>
      <c r="AM372" s="116" t="n"/>
      <c r="AN372" s="116" t="n"/>
      <c r="AO372" s="116" t="n"/>
      <c r="AP372" s="116" t="n"/>
      <c r="AQ372" s="116" t="n"/>
      <c r="AR372" s="116" t="n"/>
      <c r="AS372" s="116" t="n"/>
      <c r="AT372" s="116" t="n"/>
      <c r="AU372" s="116" t="n"/>
      <c r="AV372" s="116" t="n"/>
    </row>
    <row r="373">
      <c r="AI373" s="116" t="n"/>
      <c r="AJ373" s="116" t="n"/>
      <c r="AK373" s="116" t="n"/>
      <c r="AL373" s="116" t="n"/>
      <c r="AM373" s="116" t="n"/>
      <c r="AN373" s="116" t="n"/>
      <c r="AO373" s="116" t="n"/>
      <c r="AP373" s="116" t="n"/>
      <c r="AQ373" s="116" t="n"/>
      <c r="AR373" s="116" t="n"/>
      <c r="AS373" s="116" t="n"/>
      <c r="AT373" s="116" t="n"/>
      <c r="AU373" s="116" t="n"/>
      <c r="AV373" s="116" t="n"/>
    </row>
    <row r="374">
      <c r="AI374" s="116" t="n"/>
      <c r="AJ374" s="116" t="n"/>
      <c r="AK374" s="116" t="n"/>
      <c r="AL374" s="116" t="n"/>
      <c r="AM374" s="116" t="n"/>
      <c r="AN374" s="116" t="n"/>
      <c r="AO374" s="116" t="n"/>
      <c r="AP374" s="116" t="n"/>
      <c r="AQ374" s="116" t="n"/>
      <c r="AR374" s="116" t="n"/>
      <c r="AS374" s="116" t="n"/>
      <c r="AT374" s="116" t="n"/>
      <c r="AU374" s="116" t="n"/>
      <c r="AV374" s="116" t="n"/>
    </row>
    <row r="375">
      <c r="AI375" s="116" t="n"/>
      <c r="AJ375" s="116" t="n"/>
      <c r="AK375" s="116" t="n"/>
      <c r="AL375" s="116" t="n"/>
      <c r="AM375" s="116" t="n"/>
      <c r="AN375" s="116" t="n"/>
      <c r="AO375" s="116" t="n"/>
      <c r="AP375" s="116" t="n"/>
      <c r="AQ375" s="116" t="n"/>
      <c r="AR375" s="116" t="n"/>
      <c r="AS375" s="116" t="n"/>
      <c r="AT375" s="116" t="n"/>
      <c r="AU375" s="116" t="n"/>
      <c r="AV375" s="116" t="n"/>
    </row>
    <row r="376">
      <c r="AI376" s="116" t="n"/>
      <c r="AJ376" s="116" t="n"/>
      <c r="AK376" s="116" t="n"/>
      <c r="AL376" s="116" t="n"/>
      <c r="AM376" s="116" t="n"/>
      <c r="AN376" s="116" t="n"/>
      <c r="AO376" s="116" t="n"/>
      <c r="AP376" s="116" t="n"/>
      <c r="AQ376" s="116" t="n"/>
      <c r="AR376" s="116" t="n"/>
      <c r="AS376" s="116" t="n"/>
      <c r="AT376" s="116" t="n"/>
      <c r="AU376" s="116" t="n"/>
      <c r="AV376" s="116" t="n"/>
    </row>
    <row r="377">
      <c r="AI377" s="116" t="n"/>
      <c r="AJ377" s="116" t="n"/>
      <c r="AK377" s="116" t="n"/>
      <c r="AL377" s="116" t="n"/>
      <c r="AM377" s="116" t="n"/>
      <c r="AN377" s="116" t="n"/>
      <c r="AO377" s="116" t="n"/>
      <c r="AP377" s="116" t="n"/>
      <c r="AQ377" s="116" t="n"/>
      <c r="AR377" s="116" t="n"/>
      <c r="AS377" s="116" t="n"/>
      <c r="AT377" s="116" t="n"/>
      <c r="AU377" s="116" t="n"/>
      <c r="AV377" s="116" t="n"/>
    </row>
    <row r="378">
      <c r="AI378" s="116" t="n"/>
      <c r="AJ378" s="116" t="n"/>
      <c r="AK378" s="116" t="n"/>
      <c r="AL378" s="116" t="n"/>
      <c r="AM378" s="116" t="n"/>
      <c r="AN378" s="116" t="n"/>
      <c r="AO378" s="116" t="n"/>
      <c r="AP378" s="116" t="n"/>
      <c r="AQ378" s="116" t="n"/>
      <c r="AR378" s="116" t="n"/>
      <c r="AS378" s="116" t="n"/>
      <c r="AT378" s="116" t="n"/>
      <c r="AU378" s="116" t="n"/>
      <c r="AV378" s="116" t="n"/>
    </row>
    <row r="379">
      <c r="AI379" s="116" t="n"/>
      <c r="AJ379" s="116" t="n"/>
      <c r="AK379" s="116" t="n"/>
      <c r="AL379" s="116" t="n"/>
      <c r="AM379" s="116" t="n"/>
      <c r="AN379" s="116" t="n"/>
      <c r="AO379" s="116" t="n"/>
      <c r="AP379" s="116" t="n"/>
      <c r="AQ379" s="116" t="n"/>
      <c r="AR379" s="116" t="n"/>
      <c r="AS379" s="116" t="n"/>
      <c r="AT379" s="116" t="n"/>
      <c r="AU379" s="116" t="n"/>
      <c r="AV379" s="116" t="n"/>
    </row>
    <row r="380">
      <c r="AI380" s="116" t="n"/>
      <c r="AJ380" s="116" t="n"/>
      <c r="AK380" s="116" t="n"/>
      <c r="AL380" s="116" t="n"/>
      <c r="AM380" s="116" t="n"/>
      <c r="AN380" s="116" t="n"/>
      <c r="AO380" s="116" t="n"/>
      <c r="AP380" s="116" t="n"/>
      <c r="AQ380" s="116" t="n"/>
      <c r="AR380" s="116" t="n"/>
      <c r="AS380" s="116" t="n"/>
      <c r="AT380" s="116" t="n"/>
      <c r="AU380" s="116" t="n"/>
      <c r="AV380" s="116" t="n"/>
    </row>
    <row r="381">
      <c r="AI381" s="116" t="n"/>
      <c r="AJ381" s="116" t="n"/>
      <c r="AK381" s="116" t="n"/>
      <c r="AL381" s="116" t="n"/>
      <c r="AM381" s="116" t="n"/>
      <c r="AN381" s="116" t="n"/>
      <c r="AO381" s="116" t="n"/>
      <c r="AP381" s="116" t="n"/>
      <c r="AQ381" s="116" t="n"/>
      <c r="AR381" s="116" t="n"/>
      <c r="AS381" s="116" t="n"/>
      <c r="AT381" s="116" t="n"/>
      <c r="AU381" s="116" t="n"/>
      <c r="AV381" s="116" t="n"/>
    </row>
    <row r="382">
      <c r="AI382" s="116" t="n"/>
      <c r="AJ382" s="116" t="n"/>
      <c r="AK382" s="116" t="n"/>
      <c r="AL382" s="116" t="n"/>
      <c r="AM382" s="116" t="n"/>
      <c r="AN382" s="116" t="n"/>
      <c r="AO382" s="116" t="n"/>
      <c r="AP382" s="116" t="n"/>
      <c r="AQ382" s="116" t="n"/>
      <c r="AR382" s="116" t="n"/>
      <c r="AS382" s="116" t="n"/>
      <c r="AT382" s="116" t="n"/>
      <c r="AU382" s="116" t="n"/>
      <c r="AV382" s="116" t="n"/>
    </row>
    <row r="383">
      <c r="AI383" s="116" t="n"/>
      <c r="AJ383" s="116" t="n"/>
      <c r="AK383" s="116" t="n"/>
      <c r="AL383" s="116" t="n"/>
      <c r="AM383" s="116" t="n"/>
      <c r="AN383" s="116" t="n"/>
      <c r="AO383" s="116" t="n"/>
      <c r="AP383" s="116" t="n"/>
      <c r="AQ383" s="116" t="n"/>
      <c r="AR383" s="116" t="n"/>
      <c r="AS383" s="116" t="n"/>
      <c r="AT383" s="116" t="n"/>
      <c r="AU383" s="116" t="n"/>
      <c r="AV383" s="116" t="n"/>
    </row>
    <row r="384">
      <c r="AI384" s="116" t="n"/>
      <c r="AJ384" s="116" t="n"/>
      <c r="AK384" s="116" t="n"/>
      <c r="AL384" s="116" t="n"/>
      <c r="AM384" s="116" t="n"/>
      <c r="AN384" s="116" t="n"/>
      <c r="AO384" s="116" t="n"/>
      <c r="AP384" s="116" t="n"/>
      <c r="AQ384" s="116" t="n"/>
      <c r="AR384" s="116" t="n"/>
      <c r="AS384" s="116" t="n"/>
      <c r="AT384" s="116" t="n"/>
      <c r="AU384" s="116" t="n"/>
      <c r="AV384" s="116" t="n"/>
    </row>
    <row r="385">
      <c r="AI385" s="116" t="n"/>
      <c r="AJ385" s="116" t="n"/>
      <c r="AK385" s="116" t="n"/>
      <c r="AL385" s="116" t="n"/>
      <c r="AM385" s="116" t="n"/>
      <c r="AN385" s="116" t="n"/>
      <c r="AO385" s="116" t="n"/>
      <c r="AP385" s="116" t="n"/>
      <c r="AQ385" s="116" t="n"/>
      <c r="AR385" s="116" t="n"/>
      <c r="AS385" s="116" t="n"/>
      <c r="AT385" s="116" t="n"/>
      <c r="AU385" s="116" t="n"/>
      <c r="AV385" s="116" t="n"/>
    </row>
    <row r="386">
      <c r="AI386" s="116" t="n"/>
      <c r="AJ386" s="116" t="n"/>
      <c r="AK386" s="116" t="n"/>
      <c r="AL386" s="116" t="n"/>
      <c r="AM386" s="116" t="n"/>
      <c r="AN386" s="116" t="n"/>
      <c r="AO386" s="116" t="n"/>
      <c r="AP386" s="116" t="n"/>
      <c r="AQ386" s="116" t="n"/>
      <c r="AR386" s="116" t="n"/>
      <c r="AS386" s="116" t="n"/>
      <c r="AT386" s="116" t="n"/>
      <c r="AU386" s="116" t="n"/>
      <c r="AV386" s="116" t="n"/>
    </row>
    <row r="387">
      <c r="AI387" s="116" t="n"/>
      <c r="AJ387" s="116" t="n"/>
      <c r="AK387" s="116" t="n"/>
      <c r="AL387" s="116" t="n"/>
      <c r="AM387" s="116" t="n"/>
      <c r="AN387" s="116" t="n"/>
      <c r="AO387" s="116" t="n"/>
      <c r="AP387" s="116" t="n"/>
      <c r="AQ387" s="116" t="n"/>
      <c r="AR387" s="116" t="n"/>
      <c r="AS387" s="116" t="n"/>
      <c r="AT387" s="116" t="n"/>
      <c r="AU387" s="116" t="n"/>
      <c r="AV387" s="116" t="n"/>
    </row>
    <row r="388">
      <c r="AI388" s="116" t="n"/>
      <c r="AJ388" s="116" t="n"/>
      <c r="AK388" s="116" t="n"/>
      <c r="AL388" s="116" t="n"/>
      <c r="AM388" s="116" t="n"/>
      <c r="AN388" s="116" t="n"/>
      <c r="AO388" s="116" t="n"/>
      <c r="AP388" s="116" t="n"/>
      <c r="AQ388" s="116" t="n"/>
      <c r="AR388" s="116" t="n"/>
      <c r="AS388" s="116" t="n"/>
      <c r="AT388" s="116" t="n"/>
      <c r="AU388" s="116" t="n"/>
      <c r="AV388" s="116" t="n"/>
    </row>
    <row r="389">
      <c r="AI389" s="116" t="n"/>
      <c r="AJ389" s="116" t="n"/>
      <c r="AK389" s="116" t="n"/>
      <c r="AL389" s="116" t="n"/>
      <c r="AM389" s="116" t="n"/>
      <c r="AN389" s="116" t="n"/>
      <c r="AO389" s="116" t="n"/>
      <c r="AP389" s="116" t="n"/>
      <c r="AQ389" s="116" t="n"/>
      <c r="AR389" s="116" t="n"/>
      <c r="AS389" s="116" t="n"/>
      <c r="AT389" s="116" t="n"/>
      <c r="AU389" s="116" t="n"/>
      <c r="AV389" s="116" t="n"/>
    </row>
    <row r="390">
      <c r="AI390" s="116" t="n"/>
      <c r="AJ390" s="116" t="n"/>
      <c r="AK390" s="116" t="n"/>
      <c r="AL390" s="116" t="n"/>
      <c r="AM390" s="116" t="n"/>
      <c r="AN390" s="116" t="n"/>
      <c r="AO390" s="116" t="n"/>
      <c r="AP390" s="116" t="n"/>
      <c r="AQ390" s="116" t="n"/>
      <c r="AR390" s="116" t="n"/>
      <c r="AS390" s="116" t="n"/>
      <c r="AT390" s="116" t="n"/>
      <c r="AU390" s="116" t="n"/>
      <c r="AV390" s="116" t="n"/>
    </row>
    <row r="391">
      <c r="AI391" s="116" t="n"/>
      <c r="AJ391" s="116" t="n"/>
      <c r="AK391" s="116" t="n"/>
      <c r="AL391" s="116" t="n"/>
      <c r="AM391" s="116" t="n"/>
      <c r="AN391" s="116" t="n"/>
      <c r="AO391" s="116" t="n"/>
      <c r="AP391" s="116" t="n"/>
      <c r="AQ391" s="116" t="n"/>
      <c r="AR391" s="116" t="n"/>
      <c r="AS391" s="116" t="n"/>
      <c r="AT391" s="116" t="n"/>
      <c r="AU391" s="116" t="n"/>
      <c r="AV391" s="116" t="n"/>
    </row>
    <row r="392">
      <c r="AI392" s="116" t="n"/>
      <c r="AJ392" s="116" t="n"/>
      <c r="AK392" s="116" t="n"/>
      <c r="AL392" s="116" t="n"/>
      <c r="AM392" s="116" t="n"/>
      <c r="AN392" s="116" t="n"/>
      <c r="AO392" s="116" t="n"/>
      <c r="AP392" s="116" t="n"/>
      <c r="AQ392" s="116" t="n"/>
      <c r="AR392" s="116" t="n"/>
      <c r="AS392" s="116" t="n"/>
      <c r="AT392" s="116" t="n"/>
      <c r="AU392" s="116" t="n"/>
      <c r="AV392" s="116" t="n"/>
    </row>
    <row r="393">
      <c r="AI393" s="116" t="n"/>
      <c r="AJ393" s="116" t="n"/>
      <c r="AK393" s="116" t="n"/>
      <c r="AL393" s="116" t="n"/>
      <c r="AM393" s="116" t="n"/>
      <c r="AN393" s="116" t="n"/>
      <c r="AO393" s="116" t="n"/>
      <c r="AP393" s="116" t="n"/>
      <c r="AQ393" s="116" t="n"/>
      <c r="AR393" s="116" t="n"/>
      <c r="AS393" s="116" t="n"/>
      <c r="AT393" s="116" t="n"/>
      <c r="AU393" s="116" t="n"/>
      <c r="AV393" s="116" t="n"/>
    </row>
    <row r="394">
      <c r="AI394" s="116" t="n"/>
      <c r="AJ394" s="116" t="n"/>
      <c r="AK394" s="116" t="n"/>
      <c r="AL394" s="116" t="n"/>
      <c r="AM394" s="116" t="n"/>
      <c r="AN394" s="116" t="n"/>
      <c r="AO394" s="116" t="n"/>
      <c r="AP394" s="116" t="n"/>
      <c r="AQ394" s="116" t="n"/>
      <c r="AR394" s="116" t="n"/>
      <c r="AS394" s="116" t="n"/>
      <c r="AT394" s="116" t="n"/>
      <c r="AU394" s="116" t="n"/>
      <c r="AV394" s="116" t="n"/>
    </row>
    <row r="395">
      <c r="AI395" s="116" t="n"/>
      <c r="AJ395" s="116" t="n"/>
      <c r="AK395" s="116" t="n"/>
      <c r="AL395" s="116" t="n"/>
      <c r="AM395" s="116" t="n"/>
      <c r="AN395" s="116" t="n"/>
      <c r="AO395" s="116" t="n"/>
      <c r="AP395" s="116" t="n"/>
      <c r="AQ395" s="116" t="n"/>
      <c r="AR395" s="116" t="n"/>
      <c r="AS395" s="116" t="n"/>
      <c r="AT395" s="116" t="n"/>
      <c r="AU395" s="116" t="n"/>
      <c r="AV395" s="116" t="n"/>
    </row>
    <row r="396">
      <c r="AI396" s="116" t="n"/>
      <c r="AJ396" s="116" t="n"/>
      <c r="AK396" s="116" t="n"/>
      <c r="AL396" s="116" t="n"/>
      <c r="AM396" s="116" t="n"/>
      <c r="AN396" s="116" t="n"/>
      <c r="AO396" s="116" t="n"/>
      <c r="AP396" s="116" t="n"/>
      <c r="AQ396" s="116" t="n"/>
      <c r="AR396" s="116" t="n"/>
      <c r="AS396" s="116" t="n"/>
      <c r="AT396" s="116" t="n"/>
      <c r="AU396" s="116" t="n"/>
      <c r="AV396" s="116" t="n"/>
    </row>
    <row r="397">
      <c r="AI397" s="116" t="n"/>
      <c r="AJ397" s="116" t="n"/>
      <c r="AK397" s="116" t="n"/>
      <c r="AL397" s="116" t="n"/>
      <c r="AM397" s="116" t="n"/>
      <c r="AN397" s="116" t="n"/>
      <c r="AO397" s="116" t="n"/>
      <c r="AP397" s="116" t="n"/>
      <c r="AQ397" s="116" t="n"/>
      <c r="AR397" s="116" t="n"/>
      <c r="AS397" s="116" t="n"/>
      <c r="AT397" s="116" t="n"/>
      <c r="AU397" s="116" t="n"/>
      <c r="AV397" s="116" t="n"/>
    </row>
    <row r="398">
      <c r="AI398" s="116" t="n"/>
      <c r="AJ398" s="116" t="n"/>
      <c r="AK398" s="116" t="n"/>
      <c r="AL398" s="116" t="n"/>
      <c r="AM398" s="116" t="n"/>
      <c r="AN398" s="116" t="n"/>
      <c r="AO398" s="116" t="n"/>
      <c r="AP398" s="116" t="n"/>
      <c r="AQ398" s="116" t="n"/>
      <c r="AR398" s="116" t="n"/>
      <c r="AS398" s="116" t="n"/>
      <c r="AT398" s="116" t="n"/>
      <c r="AU398" s="116" t="n"/>
      <c r="AV398" s="116" t="n"/>
    </row>
    <row r="399">
      <c r="AI399" s="116" t="n"/>
      <c r="AJ399" s="116" t="n"/>
      <c r="AK399" s="116" t="n"/>
      <c r="AL399" s="116" t="n"/>
      <c r="AM399" s="116" t="n"/>
      <c r="AN399" s="116" t="n"/>
      <c r="AO399" s="116" t="n"/>
      <c r="AP399" s="116" t="n"/>
      <c r="AQ399" s="116" t="n"/>
      <c r="AR399" s="116" t="n"/>
      <c r="AS399" s="116" t="n"/>
      <c r="AT399" s="116" t="n"/>
      <c r="AU399" s="116" t="n"/>
      <c r="AV399" s="116" t="n"/>
    </row>
    <row r="400">
      <c r="AI400" s="116" t="n"/>
      <c r="AJ400" s="116" t="n"/>
      <c r="AK400" s="116" t="n"/>
      <c r="AL400" s="116" t="n"/>
      <c r="AM400" s="116" t="n"/>
      <c r="AN400" s="116" t="n"/>
      <c r="AO400" s="116" t="n"/>
      <c r="AP400" s="116" t="n"/>
      <c r="AQ400" s="116" t="n"/>
      <c r="AR400" s="116" t="n"/>
      <c r="AS400" s="116" t="n"/>
      <c r="AT400" s="116" t="n"/>
      <c r="AU400" s="116" t="n"/>
      <c r="AV400" s="116" t="n"/>
    </row>
    <row r="401">
      <c r="AI401" s="116" t="n"/>
      <c r="AJ401" s="116" t="n"/>
      <c r="AK401" s="116" t="n"/>
      <c r="AL401" s="116" t="n"/>
      <c r="AM401" s="116" t="n"/>
      <c r="AN401" s="116" t="n"/>
      <c r="AO401" s="116" t="n"/>
      <c r="AP401" s="116" t="n"/>
      <c r="AQ401" s="116" t="n"/>
      <c r="AR401" s="116" t="n"/>
      <c r="AS401" s="116" t="n"/>
      <c r="AT401" s="116" t="n"/>
      <c r="AU401" s="116" t="n"/>
      <c r="AV401" s="116" t="n"/>
    </row>
    <row r="402">
      <c r="AI402" s="116" t="n"/>
      <c r="AJ402" s="116" t="n"/>
      <c r="AK402" s="116" t="n"/>
      <c r="AL402" s="116" t="n"/>
      <c r="AM402" s="116" t="n"/>
      <c r="AN402" s="116" t="n"/>
      <c r="AO402" s="116" t="n"/>
      <c r="AP402" s="116" t="n"/>
      <c r="AQ402" s="116" t="n"/>
      <c r="AR402" s="116" t="n"/>
      <c r="AS402" s="116" t="n"/>
      <c r="AT402" s="116" t="n"/>
      <c r="AU402" s="116" t="n"/>
      <c r="AV402" s="116" t="n"/>
    </row>
    <row r="403">
      <c r="AI403" s="116" t="n"/>
      <c r="AJ403" s="116" t="n"/>
      <c r="AK403" s="116" t="n"/>
      <c r="AL403" s="116" t="n"/>
      <c r="AM403" s="116" t="n"/>
      <c r="AN403" s="116" t="n"/>
      <c r="AO403" s="116" t="n"/>
      <c r="AP403" s="116" t="n"/>
      <c r="AQ403" s="116" t="n"/>
      <c r="AR403" s="116" t="n"/>
      <c r="AS403" s="116" t="n"/>
      <c r="AT403" s="116" t="n"/>
      <c r="AU403" s="116" t="n"/>
      <c r="AV403" s="116" t="n"/>
    </row>
    <row r="404">
      <c r="AI404" s="116" t="n"/>
      <c r="AJ404" s="116" t="n"/>
      <c r="AK404" s="116" t="n"/>
      <c r="AL404" s="116" t="n"/>
      <c r="AM404" s="116" t="n"/>
      <c r="AN404" s="116" t="n"/>
      <c r="AO404" s="116" t="n"/>
      <c r="AP404" s="116" t="n"/>
      <c r="AQ404" s="116" t="n"/>
      <c r="AR404" s="116" t="n"/>
      <c r="AS404" s="116" t="n"/>
      <c r="AT404" s="116" t="n"/>
      <c r="AU404" s="116" t="n"/>
      <c r="AV404" s="116" t="n"/>
    </row>
    <row r="405">
      <c r="AI405" s="116" t="n"/>
      <c r="AJ405" s="116" t="n"/>
      <c r="AK405" s="116" t="n"/>
      <c r="AL405" s="116" t="n"/>
      <c r="AM405" s="116" t="n"/>
      <c r="AN405" s="116" t="n"/>
      <c r="AO405" s="116" t="n"/>
      <c r="AP405" s="116" t="n"/>
      <c r="AQ405" s="116" t="n"/>
      <c r="AR405" s="116" t="n"/>
      <c r="AS405" s="116" t="n"/>
      <c r="AT405" s="116" t="n"/>
      <c r="AU405" s="116" t="n"/>
      <c r="AV405" s="116" t="n"/>
    </row>
    <row r="406">
      <c r="AI406" s="116" t="n"/>
      <c r="AJ406" s="116" t="n"/>
      <c r="AK406" s="116" t="n"/>
      <c r="AL406" s="116" t="n"/>
      <c r="AM406" s="116" t="n"/>
      <c r="AN406" s="116" t="n"/>
      <c r="AO406" s="116" t="n"/>
      <c r="AP406" s="116" t="n"/>
      <c r="AQ406" s="116" t="n"/>
      <c r="AR406" s="116" t="n"/>
      <c r="AS406" s="116" t="n"/>
      <c r="AT406" s="116" t="n"/>
      <c r="AU406" s="116" t="n"/>
      <c r="AV406" s="116" t="n"/>
    </row>
    <row r="407">
      <c r="AI407" s="116" t="n"/>
      <c r="AJ407" s="116" t="n"/>
      <c r="AK407" s="116" t="n"/>
      <c r="AL407" s="116" t="n"/>
      <c r="AM407" s="116" t="n"/>
      <c r="AN407" s="116" t="n"/>
      <c r="AO407" s="116" t="n"/>
      <c r="AP407" s="116" t="n"/>
      <c r="AQ407" s="116" t="n"/>
      <c r="AR407" s="116" t="n"/>
      <c r="AS407" s="116" t="n"/>
      <c r="AT407" s="116" t="n"/>
      <c r="AU407" s="116" t="n"/>
      <c r="AV407" s="116" t="n"/>
    </row>
    <row r="408">
      <c r="AI408" s="116" t="n"/>
      <c r="AJ408" s="116" t="n"/>
      <c r="AK408" s="116" t="n"/>
      <c r="AL408" s="116" t="n"/>
      <c r="AM408" s="116" t="n"/>
      <c r="AN408" s="116" t="n"/>
      <c r="AO408" s="116" t="n"/>
      <c r="AP408" s="116" t="n"/>
      <c r="AQ408" s="116" t="n"/>
      <c r="AR408" s="116" t="n"/>
      <c r="AS408" s="116" t="n"/>
      <c r="AT408" s="116" t="n"/>
      <c r="AU408" s="116" t="n"/>
      <c r="AV408" s="116" t="n"/>
    </row>
    <row r="409">
      <c r="AI409" s="116" t="n"/>
      <c r="AJ409" s="116" t="n"/>
      <c r="AK409" s="116" t="n"/>
      <c r="AL409" s="116" t="n"/>
      <c r="AM409" s="116" t="n"/>
      <c r="AN409" s="116" t="n"/>
      <c r="AO409" s="116" t="n"/>
      <c r="AP409" s="116" t="n"/>
      <c r="AQ409" s="116" t="n"/>
      <c r="AR409" s="116" t="n"/>
      <c r="AS409" s="116" t="n"/>
      <c r="AT409" s="116" t="n"/>
      <c r="AU409" s="116" t="n"/>
      <c r="AV409" s="116" t="n"/>
    </row>
    <row r="410">
      <c r="AI410" s="116" t="n"/>
      <c r="AJ410" s="116" t="n"/>
      <c r="AK410" s="116" t="n"/>
      <c r="AL410" s="116" t="n"/>
      <c r="AM410" s="116" t="n"/>
      <c r="AN410" s="116" t="n"/>
      <c r="AO410" s="116" t="n"/>
      <c r="AP410" s="116" t="n"/>
      <c r="AQ410" s="116" t="n"/>
      <c r="AR410" s="116" t="n"/>
      <c r="AS410" s="116" t="n"/>
      <c r="AT410" s="116" t="n"/>
      <c r="AU410" s="116" t="n"/>
      <c r="AV410" s="116" t="n"/>
    </row>
    <row r="411">
      <c r="AI411" s="116" t="n"/>
      <c r="AJ411" s="116" t="n"/>
      <c r="AK411" s="116" t="n"/>
      <c r="AL411" s="116" t="n"/>
      <c r="AM411" s="116" t="n"/>
      <c r="AN411" s="116" t="n"/>
      <c r="AO411" s="116" t="n"/>
      <c r="AP411" s="116" t="n"/>
      <c r="AQ411" s="116" t="n"/>
      <c r="AR411" s="116" t="n"/>
      <c r="AS411" s="116" t="n"/>
      <c r="AT411" s="116" t="n"/>
      <c r="AU411" s="116" t="n"/>
      <c r="AV411" s="116" t="n"/>
    </row>
    <row r="412">
      <c r="AI412" s="116" t="n"/>
      <c r="AJ412" s="116" t="n"/>
      <c r="AK412" s="116" t="n"/>
      <c r="AL412" s="116" t="n"/>
      <c r="AM412" s="116" t="n"/>
      <c r="AN412" s="116" t="n"/>
      <c r="AO412" s="116" t="n"/>
      <c r="AP412" s="116" t="n"/>
      <c r="AQ412" s="116" t="n"/>
      <c r="AR412" s="116" t="n"/>
      <c r="AS412" s="116" t="n"/>
      <c r="AT412" s="116" t="n"/>
      <c r="AU412" s="116" t="n"/>
      <c r="AV412" s="116" t="n"/>
    </row>
    <row r="413">
      <c r="AI413" s="116" t="n"/>
      <c r="AJ413" s="116" t="n"/>
      <c r="AK413" s="116" t="n"/>
      <c r="AL413" s="116" t="n"/>
      <c r="AM413" s="116" t="n"/>
      <c r="AN413" s="116" t="n"/>
      <c r="AO413" s="116" t="n"/>
      <c r="AP413" s="116" t="n"/>
      <c r="AQ413" s="116" t="n"/>
      <c r="AR413" s="116" t="n"/>
      <c r="AS413" s="116" t="n"/>
      <c r="AT413" s="116" t="n"/>
      <c r="AU413" s="116" t="n"/>
      <c r="AV413" s="116" t="n"/>
    </row>
    <row r="414">
      <c r="AI414" s="116" t="n"/>
      <c r="AJ414" s="116" t="n"/>
      <c r="AK414" s="116" t="n"/>
      <c r="AL414" s="116" t="n"/>
      <c r="AM414" s="116" t="n"/>
      <c r="AN414" s="116" t="n"/>
      <c r="AO414" s="116" t="n"/>
      <c r="AP414" s="116" t="n"/>
      <c r="AQ414" s="116" t="n"/>
      <c r="AR414" s="116" t="n"/>
      <c r="AS414" s="116" t="n"/>
      <c r="AT414" s="116" t="n"/>
      <c r="AU414" s="116" t="n"/>
      <c r="AV414" s="116" t="n"/>
    </row>
    <row r="415">
      <c r="AI415" s="116" t="n"/>
      <c r="AJ415" s="116" t="n"/>
      <c r="AK415" s="116" t="n"/>
      <c r="AL415" s="116" t="n"/>
      <c r="AM415" s="116" t="n"/>
      <c r="AN415" s="116" t="n"/>
      <c r="AO415" s="116" t="n"/>
      <c r="AP415" s="116" t="n"/>
      <c r="AQ415" s="116" t="n"/>
      <c r="AR415" s="116" t="n"/>
      <c r="AS415" s="116" t="n"/>
      <c r="AT415" s="116" t="n"/>
      <c r="AU415" s="116" t="n"/>
      <c r="AV415" s="116" t="n"/>
    </row>
    <row r="416">
      <c r="AI416" s="116" t="n"/>
      <c r="AJ416" s="116" t="n"/>
      <c r="AK416" s="116" t="n"/>
      <c r="AL416" s="116" t="n"/>
      <c r="AM416" s="116" t="n"/>
      <c r="AN416" s="116" t="n"/>
      <c r="AO416" s="116" t="n"/>
      <c r="AP416" s="116" t="n"/>
      <c r="AQ416" s="116" t="n"/>
      <c r="AR416" s="116" t="n"/>
      <c r="AS416" s="116" t="n"/>
      <c r="AT416" s="116" t="n"/>
      <c r="AU416" s="116" t="n"/>
      <c r="AV416" s="116" t="n"/>
    </row>
    <row r="417">
      <c r="AI417" s="116" t="n"/>
      <c r="AJ417" s="116" t="n"/>
      <c r="AK417" s="116" t="n"/>
      <c r="AL417" s="116" t="n"/>
      <c r="AM417" s="116" t="n"/>
      <c r="AN417" s="116" t="n"/>
      <c r="AO417" s="116" t="n"/>
      <c r="AP417" s="116" t="n"/>
      <c r="AQ417" s="116" t="n"/>
      <c r="AR417" s="116" t="n"/>
      <c r="AS417" s="116" t="n"/>
      <c r="AT417" s="116" t="n"/>
      <c r="AU417" s="116" t="n"/>
      <c r="AV417" s="116" t="n"/>
    </row>
    <row r="418">
      <c r="AI418" s="116" t="n"/>
      <c r="AJ418" s="116" t="n"/>
      <c r="AK418" s="116" t="n"/>
      <c r="AL418" s="116" t="n"/>
      <c r="AM418" s="116" t="n"/>
      <c r="AN418" s="116" t="n"/>
      <c r="AO418" s="116" t="n"/>
      <c r="AP418" s="116" t="n"/>
      <c r="AQ418" s="116" t="n"/>
      <c r="AR418" s="116" t="n"/>
      <c r="AS418" s="116" t="n"/>
      <c r="AT418" s="116" t="n"/>
      <c r="AU418" s="116" t="n"/>
      <c r="AV418" s="116" t="n"/>
    </row>
    <row r="419">
      <c r="AI419" s="116" t="n"/>
      <c r="AJ419" s="116" t="n"/>
      <c r="AK419" s="116" t="n"/>
      <c r="AL419" s="116" t="n"/>
      <c r="AM419" s="116" t="n"/>
      <c r="AN419" s="116" t="n"/>
      <c r="AO419" s="116" t="n"/>
      <c r="AP419" s="116" t="n"/>
      <c r="AQ419" s="116" t="n"/>
      <c r="AR419" s="116" t="n"/>
      <c r="AS419" s="116" t="n"/>
      <c r="AT419" s="116" t="n"/>
      <c r="AU419" s="116" t="n"/>
      <c r="AV419" s="116" t="n"/>
    </row>
    <row r="420">
      <c r="AI420" s="116" t="n"/>
      <c r="AJ420" s="116" t="n"/>
      <c r="AK420" s="116" t="n"/>
      <c r="AL420" s="116" t="n"/>
      <c r="AM420" s="116" t="n"/>
      <c r="AN420" s="116" t="n"/>
      <c r="AO420" s="116" t="n"/>
      <c r="AP420" s="116" t="n"/>
      <c r="AQ420" s="116" t="n"/>
      <c r="AR420" s="116" t="n"/>
      <c r="AS420" s="116" t="n"/>
      <c r="AT420" s="116" t="n"/>
      <c r="AU420" s="116" t="n"/>
      <c r="AV420" s="116" t="n"/>
    </row>
    <row r="421">
      <c r="AI421" s="116" t="n"/>
      <c r="AJ421" s="116" t="n"/>
      <c r="AK421" s="116" t="n"/>
      <c r="AL421" s="116" t="n"/>
      <c r="AM421" s="116" t="n"/>
      <c r="AN421" s="116" t="n"/>
      <c r="AO421" s="116" t="n"/>
      <c r="AP421" s="116" t="n"/>
      <c r="AQ421" s="116" t="n"/>
      <c r="AR421" s="116" t="n"/>
      <c r="AS421" s="116" t="n"/>
      <c r="AT421" s="116" t="n"/>
      <c r="AU421" s="116" t="n"/>
      <c r="AV421" s="116" t="n"/>
    </row>
    <row r="422">
      <c r="AI422" s="116" t="n"/>
      <c r="AJ422" s="116" t="n"/>
      <c r="AK422" s="116" t="n"/>
      <c r="AL422" s="116" t="n"/>
      <c r="AM422" s="116" t="n"/>
      <c r="AN422" s="116" t="n"/>
      <c r="AO422" s="116" t="n"/>
      <c r="AP422" s="116" t="n"/>
      <c r="AQ422" s="116" t="n"/>
      <c r="AR422" s="116" t="n"/>
      <c r="AS422" s="116" t="n"/>
      <c r="AT422" s="116" t="n"/>
      <c r="AU422" s="116" t="n"/>
      <c r="AV422" s="116" t="n"/>
    </row>
    <row r="423">
      <c r="AI423" s="116" t="n"/>
      <c r="AJ423" s="116" t="n"/>
      <c r="AK423" s="116" t="n"/>
      <c r="AL423" s="116" t="n"/>
      <c r="AM423" s="116" t="n"/>
      <c r="AN423" s="116" t="n"/>
      <c r="AO423" s="116" t="n"/>
      <c r="AP423" s="116" t="n"/>
      <c r="AQ423" s="116" t="n"/>
      <c r="AR423" s="116" t="n"/>
      <c r="AS423" s="116" t="n"/>
      <c r="AT423" s="116" t="n"/>
      <c r="AU423" s="116" t="n"/>
      <c r="AV423" s="116" t="n"/>
    </row>
    <row r="424">
      <c r="AI424" s="116" t="n"/>
      <c r="AJ424" s="116" t="n"/>
      <c r="AK424" s="116" t="n"/>
      <c r="AL424" s="116" t="n"/>
      <c r="AM424" s="116" t="n"/>
      <c r="AN424" s="116" t="n"/>
      <c r="AO424" s="116" t="n"/>
      <c r="AP424" s="116" t="n"/>
      <c r="AQ424" s="116" t="n"/>
      <c r="AR424" s="116" t="n"/>
      <c r="AS424" s="116" t="n"/>
      <c r="AT424" s="116" t="n"/>
      <c r="AU424" s="116" t="n"/>
      <c r="AV424" s="116" t="n"/>
    </row>
    <row r="425">
      <c r="AI425" s="116" t="n"/>
      <c r="AJ425" s="116" t="n"/>
      <c r="AK425" s="116" t="n"/>
      <c r="AL425" s="116" t="n"/>
      <c r="AM425" s="116" t="n"/>
      <c r="AN425" s="116" t="n"/>
      <c r="AO425" s="116" t="n"/>
      <c r="AP425" s="116" t="n"/>
      <c r="AQ425" s="116" t="n"/>
      <c r="AR425" s="116" t="n"/>
      <c r="AS425" s="116" t="n"/>
      <c r="AT425" s="116" t="n"/>
      <c r="AU425" s="116" t="n"/>
      <c r="AV425" s="116" t="n"/>
    </row>
    <row r="426">
      <c r="AI426" s="116" t="n"/>
      <c r="AJ426" s="116" t="n"/>
      <c r="AK426" s="116" t="n"/>
      <c r="AL426" s="116" t="n"/>
      <c r="AM426" s="116" t="n"/>
      <c r="AN426" s="116" t="n"/>
      <c r="AO426" s="116" t="n"/>
      <c r="AP426" s="116" t="n"/>
      <c r="AQ426" s="116" t="n"/>
      <c r="AR426" s="116" t="n"/>
      <c r="AS426" s="116" t="n"/>
      <c r="AT426" s="116" t="n"/>
      <c r="AU426" s="116" t="n"/>
      <c r="AV426" s="116" t="n"/>
    </row>
    <row r="427">
      <c r="AI427" s="116" t="n"/>
      <c r="AJ427" s="116" t="n"/>
      <c r="AK427" s="116" t="n"/>
      <c r="AL427" s="116" t="n"/>
      <c r="AM427" s="116" t="n"/>
      <c r="AN427" s="116" t="n"/>
      <c r="AO427" s="116" t="n"/>
      <c r="AP427" s="116" t="n"/>
      <c r="AQ427" s="116" t="n"/>
      <c r="AR427" s="116" t="n"/>
      <c r="AS427" s="116" t="n"/>
      <c r="AT427" s="116" t="n"/>
      <c r="AU427" s="116" t="n"/>
      <c r="AV427" s="116" t="n"/>
    </row>
    <row r="428">
      <c r="AI428" s="116" t="n"/>
      <c r="AJ428" s="116" t="n"/>
      <c r="AK428" s="116" t="n"/>
      <c r="AL428" s="116" t="n"/>
      <c r="AM428" s="116" t="n"/>
      <c r="AN428" s="116" t="n"/>
      <c r="AO428" s="116" t="n"/>
      <c r="AP428" s="116" t="n"/>
      <c r="AQ428" s="116" t="n"/>
      <c r="AR428" s="116" t="n"/>
      <c r="AS428" s="116" t="n"/>
      <c r="AT428" s="116" t="n"/>
      <c r="AU428" s="116" t="n"/>
      <c r="AV428" s="116" t="n"/>
    </row>
    <row r="429">
      <c r="AI429" s="116" t="n"/>
      <c r="AJ429" s="116" t="n"/>
      <c r="AK429" s="116" t="n"/>
      <c r="AL429" s="116" t="n"/>
      <c r="AM429" s="116" t="n"/>
      <c r="AN429" s="116" t="n"/>
      <c r="AO429" s="116" t="n"/>
      <c r="AP429" s="116" t="n"/>
      <c r="AQ429" s="116" t="n"/>
      <c r="AR429" s="116" t="n"/>
      <c r="AS429" s="116" t="n"/>
      <c r="AT429" s="116" t="n"/>
      <c r="AU429" s="116" t="n"/>
      <c r="AV429" s="116" t="n"/>
    </row>
    <row r="430">
      <c r="AI430" s="116" t="n"/>
      <c r="AJ430" s="116" t="n"/>
      <c r="AK430" s="116" t="n"/>
      <c r="AL430" s="116" t="n"/>
      <c r="AM430" s="116" t="n"/>
      <c r="AN430" s="116" t="n"/>
      <c r="AO430" s="116" t="n"/>
      <c r="AP430" s="116" t="n"/>
      <c r="AQ430" s="116" t="n"/>
      <c r="AR430" s="116" t="n"/>
      <c r="AS430" s="116" t="n"/>
      <c r="AT430" s="116" t="n"/>
      <c r="AU430" s="116" t="n"/>
      <c r="AV430" s="116" t="n"/>
    </row>
    <row r="431">
      <c r="AI431" s="116" t="n"/>
      <c r="AJ431" s="116" t="n"/>
      <c r="AK431" s="116" t="n"/>
      <c r="AL431" s="116" t="n"/>
      <c r="AM431" s="116" t="n"/>
      <c r="AN431" s="116" t="n"/>
      <c r="AO431" s="116" t="n"/>
      <c r="AP431" s="116" t="n"/>
      <c r="AQ431" s="116" t="n"/>
      <c r="AR431" s="116" t="n"/>
      <c r="AS431" s="116" t="n"/>
      <c r="AT431" s="116" t="n"/>
      <c r="AU431" s="116" t="n"/>
      <c r="AV431" s="116" t="n"/>
    </row>
    <row r="432">
      <c r="AI432" s="116" t="n"/>
      <c r="AJ432" s="116" t="n"/>
      <c r="AK432" s="116" t="n"/>
      <c r="AL432" s="116" t="n"/>
      <c r="AM432" s="116" t="n"/>
      <c r="AN432" s="116" t="n"/>
      <c r="AO432" s="116" t="n"/>
      <c r="AP432" s="116" t="n"/>
      <c r="AQ432" s="116" t="n"/>
      <c r="AR432" s="116" t="n"/>
      <c r="AS432" s="116" t="n"/>
      <c r="AT432" s="116" t="n"/>
      <c r="AU432" s="116" t="n"/>
      <c r="AV432" s="116" t="n"/>
    </row>
    <row r="433">
      <c r="AI433" s="116" t="n"/>
      <c r="AJ433" s="116" t="n"/>
      <c r="AK433" s="116" t="n"/>
      <c r="AL433" s="116" t="n"/>
      <c r="AM433" s="116" t="n"/>
      <c r="AN433" s="116" t="n"/>
      <c r="AO433" s="116" t="n"/>
      <c r="AP433" s="116" t="n"/>
      <c r="AQ433" s="116" t="n"/>
      <c r="AR433" s="116" t="n"/>
      <c r="AS433" s="116" t="n"/>
      <c r="AT433" s="116" t="n"/>
      <c r="AU433" s="116" t="n"/>
      <c r="AV433" s="116" t="n"/>
    </row>
    <row r="434">
      <c r="AI434" s="116" t="n"/>
      <c r="AJ434" s="116" t="n"/>
      <c r="AK434" s="116" t="n"/>
      <c r="AL434" s="116" t="n"/>
      <c r="AM434" s="116" t="n"/>
      <c r="AN434" s="116" t="n"/>
      <c r="AO434" s="116" t="n"/>
      <c r="AP434" s="116" t="n"/>
      <c r="AQ434" s="116" t="n"/>
      <c r="AR434" s="116" t="n"/>
      <c r="AS434" s="116" t="n"/>
      <c r="AT434" s="116" t="n"/>
      <c r="AU434" s="116" t="n"/>
      <c r="AV434" s="116" t="n"/>
    </row>
    <row r="435">
      <c r="AI435" s="116" t="n"/>
      <c r="AJ435" s="116" t="n"/>
      <c r="AK435" s="116" t="n"/>
      <c r="AL435" s="116" t="n"/>
      <c r="AM435" s="116" t="n"/>
      <c r="AN435" s="116" t="n"/>
      <c r="AO435" s="116" t="n"/>
      <c r="AP435" s="116" t="n"/>
      <c r="AQ435" s="116" t="n"/>
      <c r="AR435" s="116" t="n"/>
      <c r="AS435" s="116" t="n"/>
      <c r="AT435" s="116" t="n"/>
      <c r="AU435" s="116" t="n"/>
      <c r="AV435" s="116" t="n"/>
    </row>
    <row r="436">
      <c r="AI436" s="116" t="n"/>
      <c r="AJ436" s="116" t="n"/>
      <c r="AK436" s="116" t="n"/>
      <c r="AL436" s="116" t="n"/>
      <c r="AM436" s="116" t="n"/>
      <c r="AN436" s="116" t="n"/>
      <c r="AO436" s="116" t="n"/>
      <c r="AP436" s="116" t="n"/>
      <c r="AQ436" s="116" t="n"/>
      <c r="AR436" s="116" t="n"/>
      <c r="AS436" s="116" t="n"/>
      <c r="AT436" s="116" t="n"/>
      <c r="AU436" s="116" t="n"/>
      <c r="AV436" s="116" t="n"/>
    </row>
    <row r="437">
      <c r="AI437" s="116" t="n"/>
      <c r="AJ437" s="116" t="n"/>
      <c r="AK437" s="116" t="n"/>
      <c r="AL437" s="116" t="n"/>
      <c r="AM437" s="116" t="n"/>
      <c r="AN437" s="116" t="n"/>
      <c r="AO437" s="116" t="n"/>
      <c r="AP437" s="116" t="n"/>
      <c r="AQ437" s="116" t="n"/>
      <c r="AR437" s="116" t="n"/>
      <c r="AS437" s="116" t="n"/>
      <c r="AT437" s="116" t="n"/>
      <c r="AU437" s="116" t="n"/>
      <c r="AV437" s="116" t="n"/>
    </row>
    <row r="438">
      <c r="AI438" s="116" t="n"/>
      <c r="AJ438" s="116" t="n"/>
      <c r="AK438" s="116" t="n"/>
      <c r="AL438" s="116" t="n"/>
      <c r="AM438" s="116" t="n"/>
      <c r="AN438" s="116" t="n"/>
      <c r="AO438" s="116" t="n"/>
      <c r="AP438" s="116" t="n"/>
      <c r="AQ438" s="116" t="n"/>
      <c r="AR438" s="116" t="n"/>
      <c r="AS438" s="116" t="n"/>
      <c r="AT438" s="116" t="n"/>
      <c r="AU438" s="116" t="n"/>
      <c r="AV438" s="116" t="n"/>
    </row>
    <row r="439">
      <c r="AI439" s="116" t="n"/>
      <c r="AJ439" s="116" t="n"/>
      <c r="AK439" s="116" t="n"/>
      <c r="AL439" s="116" t="n"/>
      <c r="AM439" s="116" t="n"/>
      <c r="AN439" s="116" t="n"/>
      <c r="AO439" s="116" t="n"/>
      <c r="AP439" s="116" t="n"/>
      <c r="AQ439" s="116" t="n"/>
      <c r="AR439" s="116" t="n"/>
      <c r="AS439" s="116" t="n"/>
      <c r="AT439" s="116" t="n"/>
      <c r="AU439" s="116" t="n"/>
      <c r="AV439" s="116" t="n"/>
    </row>
    <row r="440">
      <c r="AI440" s="116" t="n"/>
      <c r="AJ440" s="116" t="n"/>
      <c r="AK440" s="116" t="n"/>
      <c r="AL440" s="116" t="n"/>
      <c r="AM440" s="116" t="n"/>
      <c r="AN440" s="116" t="n"/>
      <c r="AO440" s="116" t="n"/>
      <c r="AP440" s="116" t="n"/>
      <c r="AQ440" s="116" t="n"/>
      <c r="AR440" s="116" t="n"/>
      <c r="AS440" s="116" t="n"/>
      <c r="AT440" s="116" t="n"/>
      <c r="AU440" s="116" t="n"/>
      <c r="AV440" s="116" t="n"/>
    </row>
    <row r="441">
      <c r="AI441" s="116" t="n"/>
      <c r="AJ441" s="116" t="n"/>
      <c r="AK441" s="116" t="n"/>
      <c r="AL441" s="116" t="n"/>
      <c r="AM441" s="116" t="n"/>
      <c r="AN441" s="116" t="n"/>
      <c r="AO441" s="116" t="n"/>
      <c r="AP441" s="116" t="n"/>
      <c r="AQ441" s="116" t="n"/>
      <c r="AR441" s="116" t="n"/>
      <c r="AS441" s="116" t="n"/>
      <c r="AT441" s="116" t="n"/>
      <c r="AU441" s="116" t="n"/>
      <c r="AV441" s="116" t="n"/>
    </row>
    <row r="442">
      <c r="AI442" s="116" t="n"/>
      <c r="AJ442" s="116" t="n"/>
      <c r="AK442" s="116" t="n"/>
      <c r="AL442" s="116" t="n"/>
      <c r="AM442" s="116" t="n"/>
      <c r="AN442" s="116" t="n"/>
      <c r="AO442" s="116" t="n"/>
      <c r="AP442" s="116" t="n"/>
      <c r="AQ442" s="116" t="n"/>
      <c r="AR442" s="116" t="n"/>
      <c r="AS442" s="116" t="n"/>
      <c r="AT442" s="116" t="n"/>
      <c r="AU442" s="116" t="n"/>
      <c r="AV442" s="116" t="n"/>
    </row>
    <row r="443">
      <c r="AI443" s="116" t="n"/>
      <c r="AJ443" s="116" t="n"/>
      <c r="AK443" s="116" t="n"/>
      <c r="AL443" s="116" t="n"/>
      <c r="AM443" s="116" t="n"/>
      <c r="AN443" s="116" t="n"/>
      <c r="AO443" s="116" t="n"/>
      <c r="AP443" s="116" t="n"/>
      <c r="AQ443" s="116" t="n"/>
      <c r="AR443" s="116" t="n"/>
      <c r="AS443" s="116" t="n"/>
      <c r="AT443" s="116" t="n"/>
      <c r="AU443" s="116" t="n"/>
      <c r="AV443" s="116" t="n"/>
    </row>
    <row r="444">
      <c r="AI444" s="116" t="n"/>
      <c r="AJ444" s="116" t="n"/>
      <c r="AK444" s="116" t="n"/>
      <c r="AL444" s="116" t="n"/>
      <c r="AM444" s="116" t="n"/>
      <c r="AN444" s="116" t="n"/>
      <c r="AO444" s="116" t="n"/>
      <c r="AP444" s="116" t="n"/>
      <c r="AQ444" s="116" t="n"/>
      <c r="AR444" s="116" t="n"/>
      <c r="AS444" s="116" t="n"/>
      <c r="AT444" s="116" t="n"/>
      <c r="AU444" s="116" t="n"/>
      <c r="AV444" s="116" t="n"/>
    </row>
    <row r="445">
      <c r="AI445" s="116" t="n"/>
      <c r="AJ445" s="116" t="n"/>
      <c r="AK445" s="116" t="n"/>
      <c r="AL445" s="116" t="n"/>
      <c r="AM445" s="116" t="n"/>
      <c r="AN445" s="116" t="n"/>
      <c r="AO445" s="116" t="n"/>
      <c r="AP445" s="116" t="n"/>
      <c r="AQ445" s="116" t="n"/>
      <c r="AR445" s="116" t="n"/>
      <c r="AS445" s="116" t="n"/>
      <c r="AT445" s="116" t="n"/>
      <c r="AU445" s="116" t="n"/>
      <c r="AV445" s="116" t="n"/>
    </row>
    <row r="446">
      <c r="AI446" s="116" t="n"/>
      <c r="AJ446" s="116" t="n"/>
      <c r="AK446" s="116" t="n"/>
      <c r="AL446" s="116" t="n"/>
      <c r="AM446" s="116" t="n"/>
      <c r="AN446" s="116" t="n"/>
      <c r="AO446" s="116" t="n"/>
      <c r="AP446" s="116" t="n"/>
      <c r="AQ446" s="116" t="n"/>
      <c r="AR446" s="116" t="n"/>
      <c r="AS446" s="116" t="n"/>
      <c r="AT446" s="116" t="n"/>
      <c r="AU446" s="116" t="n"/>
      <c r="AV446" s="116" t="n"/>
    </row>
    <row r="447">
      <c r="AI447" s="116" t="n"/>
      <c r="AJ447" s="116" t="n"/>
      <c r="AK447" s="116" t="n"/>
      <c r="AL447" s="116" t="n"/>
      <c r="AM447" s="116" t="n"/>
      <c r="AN447" s="116" t="n"/>
      <c r="AO447" s="116" t="n"/>
      <c r="AP447" s="116" t="n"/>
      <c r="AQ447" s="116" t="n"/>
      <c r="AR447" s="116" t="n"/>
      <c r="AS447" s="116" t="n"/>
      <c r="AT447" s="116" t="n"/>
      <c r="AU447" s="116" t="n"/>
      <c r="AV447" s="116" t="n"/>
    </row>
    <row r="448">
      <c r="AI448" s="116" t="n"/>
      <c r="AJ448" s="116" t="n"/>
      <c r="AK448" s="116" t="n"/>
      <c r="AL448" s="116" t="n"/>
      <c r="AM448" s="116" t="n"/>
      <c r="AN448" s="116" t="n"/>
      <c r="AO448" s="116" t="n"/>
      <c r="AP448" s="116" t="n"/>
      <c r="AQ448" s="116" t="n"/>
      <c r="AR448" s="116" t="n"/>
      <c r="AS448" s="116" t="n"/>
      <c r="AT448" s="116" t="n"/>
      <c r="AU448" s="116" t="n"/>
      <c r="AV448" s="116" t="n"/>
    </row>
    <row r="449">
      <c r="AI449" s="116" t="n"/>
      <c r="AJ449" s="116" t="n"/>
      <c r="AK449" s="116" t="n"/>
      <c r="AL449" s="116" t="n"/>
      <c r="AM449" s="116" t="n"/>
      <c r="AN449" s="116" t="n"/>
      <c r="AO449" s="116" t="n"/>
      <c r="AP449" s="116" t="n"/>
      <c r="AQ449" s="116" t="n"/>
      <c r="AR449" s="116" t="n"/>
      <c r="AS449" s="116" t="n"/>
      <c r="AT449" s="116" t="n"/>
      <c r="AU449" s="116" t="n"/>
      <c r="AV449" s="116" t="n"/>
    </row>
    <row r="450">
      <c r="AI450" s="116" t="n"/>
      <c r="AJ450" s="116" t="n"/>
      <c r="AK450" s="116" t="n"/>
      <c r="AL450" s="116" t="n"/>
      <c r="AM450" s="116" t="n"/>
      <c r="AN450" s="116" t="n"/>
      <c r="AO450" s="116" t="n"/>
      <c r="AP450" s="116" t="n"/>
      <c r="AQ450" s="116" t="n"/>
      <c r="AR450" s="116" t="n"/>
      <c r="AS450" s="116" t="n"/>
      <c r="AT450" s="116" t="n"/>
      <c r="AU450" s="116" t="n"/>
      <c r="AV450" s="116" t="n"/>
    </row>
    <row r="451">
      <c r="AI451" s="116" t="n"/>
      <c r="AJ451" s="116" t="n"/>
      <c r="AK451" s="116" t="n"/>
      <c r="AL451" s="116" t="n"/>
      <c r="AM451" s="116" t="n"/>
      <c r="AN451" s="116" t="n"/>
      <c r="AO451" s="116" t="n"/>
      <c r="AP451" s="116" t="n"/>
      <c r="AQ451" s="116" t="n"/>
      <c r="AR451" s="116" t="n"/>
      <c r="AS451" s="116" t="n"/>
      <c r="AT451" s="116" t="n"/>
      <c r="AU451" s="116" t="n"/>
      <c r="AV451" s="116" t="n"/>
    </row>
    <row r="452">
      <c r="AI452" s="116" t="n"/>
      <c r="AJ452" s="116" t="n"/>
      <c r="AK452" s="116" t="n"/>
      <c r="AL452" s="116" t="n"/>
      <c r="AM452" s="116" t="n"/>
      <c r="AN452" s="116" t="n"/>
      <c r="AO452" s="116" t="n"/>
      <c r="AP452" s="116" t="n"/>
      <c r="AQ452" s="116" t="n"/>
      <c r="AR452" s="116" t="n"/>
      <c r="AS452" s="116" t="n"/>
      <c r="AT452" s="116" t="n"/>
      <c r="AU452" s="116" t="n"/>
      <c r="AV452" s="116" t="n"/>
    </row>
    <row r="453">
      <c r="AI453" s="116" t="n"/>
      <c r="AJ453" s="116" t="n"/>
      <c r="AK453" s="116" t="n"/>
      <c r="AL453" s="116" t="n"/>
      <c r="AM453" s="116" t="n"/>
      <c r="AN453" s="116" t="n"/>
      <c r="AO453" s="116" t="n"/>
      <c r="AP453" s="116" t="n"/>
      <c r="AQ453" s="116" t="n"/>
      <c r="AR453" s="116" t="n"/>
      <c r="AS453" s="116" t="n"/>
      <c r="AT453" s="116" t="n"/>
      <c r="AU453" s="116" t="n"/>
      <c r="AV453" s="116" t="n"/>
    </row>
    <row r="454">
      <c r="AI454" s="116" t="n"/>
      <c r="AJ454" s="116" t="n"/>
      <c r="AK454" s="116" t="n"/>
      <c r="AL454" s="116" t="n"/>
      <c r="AM454" s="116" t="n"/>
      <c r="AN454" s="116" t="n"/>
      <c r="AO454" s="116" t="n"/>
      <c r="AP454" s="116" t="n"/>
      <c r="AQ454" s="116" t="n"/>
      <c r="AR454" s="116" t="n"/>
      <c r="AS454" s="116" t="n"/>
      <c r="AT454" s="116" t="n"/>
      <c r="AU454" s="116" t="n"/>
      <c r="AV454" s="116" t="n"/>
    </row>
    <row r="455">
      <c r="AI455" s="116" t="n"/>
      <c r="AJ455" s="116" t="n"/>
      <c r="AK455" s="116" t="n"/>
      <c r="AL455" s="116" t="n"/>
      <c r="AM455" s="116" t="n"/>
      <c r="AN455" s="116" t="n"/>
      <c r="AO455" s="116" t="n"/>
      <c r="AP455" s="116" t="n"/>
      <c r="AQ455" s="116" t="n"/>
      <c r="AR455" s="116" t="n"/>
      <c r="AS455" s="116" t="n"/>
      <c r="AT455" s="116" t="n"/>
      <c r="AU455" s="116" t="n"/>
      <c r="AV455" s="116" t="n"/>
    </row>
    <row r="456">
      <c r="AI456" s="116" t="n"/>
      <c r="AJ456" s="116" t="n"/>
      <c r="AK456" s="116" t="n"/>
      <c r="AL456" s="116" t="n"/>
      <c r="AM456" s="116" t="n"/>
      <c r="AN456" s="116" t="n"/>
      <c r="AO456" s="116" t="n"/>
      <c r="AP456" s="116" t="n"/>
      <c r="AQ456" s="116" t="n"/>
      <c r="AR456" s="116" t="n"/>
      <c r="AS456" s="116" t="n"/>
      <c r="AT456" s="116" t="n"/>
      <c r="AU456" s="116" t="n"/>
      <c r="AV456" s="116" t="n"/>
    </row>
    <row r="457">
      <c r="AI457" s="116" t="n"/>
      <c r="AJ457" s="116" t="n"/>
      <c r="AK457" s="116" t="n"/>
      <c r="AL457" s="116" t="n"/>
      <c r="AM457" s="116" t="n"/>
      <c r="AN457" s="116" t="n"/>
      <c r="AO457" s="116" t="n"/>
      <c r="AP457" s="116" t="n"/>
      <c r="AQ457" s="116" t="n"/>
      <c r="AR457" s="116" t="n"/>
      <c r="AS457" s="116" t="n"/>
      <c r="AT457" s="116" t="n"/>
      <c r="AU457" s="116" t="n"/>
      <c r="AV457" s="116" t="n"/>
    </row>
    <row r="458">
      <c r="AI458" s="116" t="n"/>
      <c r="AJ458" s="116" t="n"/>
      <c r="AK458" s="116" t="n"/>
      <c r="AL458" s="116" t="n"/>
      <c r="AM458" s="116" t="n"/>
      <c r="AN458" s="116" t="n"/>
      <c r="AO458" s="116" t="n"/>
      <c r="AP458" s="116" t="n"/>
      <c r="AQ458" s="116" t="n"/>
      <c r="AR458" s="116" t="n"/>
      <c r="AS458" s="116" t="n"/>
      <c r="AT458" s="116" t="n"/>
      <c r="AU458" s="116" t="n"/>
      <c r="AV458" s="116" t="n"/>
    </row>
    <row r="459">
      <c r="AI459" s="116" t="n"/>
      <c r="AJ459" s="116" t="n"/>
      <c r="AK459" s="116" t="n"/>
      <c r="AL459" s="116" t="n"/>
      <c r="AM459" s="116" t="n"/>
      <c r="AN459" s="116" t="n"/>
      <c r="AO459" s="116" t="n"/>
      <c r="AP459" s="116" t="n"/>
      <c r="AQ459" s="116" t="n"/>
      <c r="AR459" s="116" t="n"/>
      <c r="AS459" s="116" t="n"/>
      <c r="AT459" s="116" t="n"/>
      <c r="AU459" s="116" t="n"/>
      <c r="AV459" s="116" t="n"/>
    </row>
    <row r="460">
      <c r="AI460" s="116" t="n"/>
      <c r="AJ460" s="116" t="n"/>
      <c r="AK460" s="116" t="n"/>
      <c r="AL460" s="116" t="n"/>
      <c r="AM460" s="116" t="n"/>
      <c r="AN460" s="116" t="n"/>
      <c r="AO460" s="116" t="n"/>
      <c r="AP460" s="116" t="n"/>
      <c r="AQ460" s="116" t="n"/>
      <c r="AR460" s="116" t="n"/>
      <c r="AS460" s="116" t="n"/>
      <c r="AT460" s="116" t="n"/>
      <c r="AU460" s="116" t="n"/>
      <c r="AV460" s="116" t="n"/>
    </row>
    <row r="461">
      <c r="AI461" s="116" t="n"/>
      <c r="AJ461" s="116" t="n"/>
      <c r="AK461" s="116" t="n"/>
      <c r="AL461" s="116" t="n"/>
      <c r="AM461" s="116" t="n"/>
      <c r="AN461" s="116" t="n"/>
      <c r="AO461" s="116" t="n"/>
      <c r="AP461" s="116" t="n"/>
      <c r="AQ461" s="116" t="n"/>
      <c r="AR461" s="116" t="n"/>
      <c r="AS461" s="116" t="n"/>
      <c r="AT461" s="116" t="n"/>
      <c r="AU461" s="116" t="n"/>
      <c r="AV461" s="116" t="n"/>
    </row>
    <row r="462">
      <c r="AI462" s="116" t="n"/>
      <c r="AJ462" s="116" t="n"/>
      <c r="AK462" s="116" t="n"/>
      <c r="AL462" s="116" t="n"/>
      <c r="AM462" s="116" t="n"/>
      <c r="AN462" s="116" t="n"/>
      <c r="AO462" s="116" t="n"/>
      <c r="AP462" s="116" t="n"/>
      <c r="AQ462" s="116" t="n"/>
      <c r="AR462" s="116" t="n"/>
      <c r="AS462" s="116" t="n"/>
      <c r="AT462" s="116" t="n"/>
      <c r="AU462" s="116" t="n"/>
      <c r="AV462" s="116" t="n"/>
    </row>
    <row r="463">
      <c r="AI463" s="116" t="n"/>
      <c r="AJ463" s="116" t="n"/>
      <c r="AK463" s="116" t="n"/>
      <c r="AL463" s="116" t="n"/>
      <c r="AM463" s="116" t="n"/>
      <c r="AN463" s="116" t="n"/>
      <c r="AO463" s="116" t="n"/>
      <c r="AP463" s="116" t="n"/>
      <c r="AQ463" s="116" t="n"/>
      <c r="AR463" s="116" t="n"/>
      <c r="AS463" s="116" t="n"/>
      <c r="AT463" s="116" t="n"/>
      <c r="AU463" s="116" t="n"/>
      <c r="AV463" s="116" t="n"/>
    </row>
    <row r="464">
      <c r="AI464" s="116" t="n"/>
      <c r="AJ464" s="116" t="n"/>
      <c r="AK464" s="116" t="n"/>
      <c r="AL464" s="116" t="n"/>
      <c r="AM464" s="116" t="n"/>
      <c r="AN464" s="116" t="n"/>
      <c r="AO464" s="116" t="n"/>
      <c r="AP464" s="116" t="n"/>
      <c r="AQ464" s="116" t="n"/>
      <c r="AR464" s="116" t="n"/>
      <c r="AS464" s="116" t="n"/>
      <c r="AT464" s="116" t="n"/>
      <c r="AU464" s="116" t="n"/>
      <c r="AV464" s="116" t="n"/>
    </row>
    <row r="465">
      <c r="AI465" s="116" t="n"/>
      <c r="AJ465" s="116" t="n"/>
      <c r="AK465" s="116" t="n"/>
      <c r="AL465" s="116" t="n"/>
      <c r="AM465" s="116" t="n"/>
      <c r="AN465" s="116" t="n"/>
      <c r="AO465" s="116" t="n"/>
      <c r="AP465" s="116" t="n"/>
      <c r="AQ465" s="116" t="n"/>
      <c r="AR465" s="116" t="n"/>
      <c r="AS465" s="116" t="n"/>
      <c r="AT465" s="116" t="n"/>
      <c r="AU465" s="116" t="n"/>
      <c r="AV465" s="116" t="n"/>
    </row>
    <row r="466">
      <c r="AI466" s="116" t="n"/>
      <c r="AJ466" s="116" t="n"/>
      <c r="AK466" s="116" t="n"/>
      <c r="AL466" s="116" t="n"/>
      <c r="AM466" s="116" t="n"/>
      <c r="AN466" s="116" t="n"/>
      <c r="AO466" s="116" t="n"/>
      <c r="AP466" s="116" t="n"/>
      <c r="AQ466" s="116" t="n"/>
      <c r="AR466" s="116" t="n"/>
      <c r="AS466" s="116" t="n"/>
      <c r="AT466" s="116" t="n"/>
      <c r="AU466" s="116" t="n"/>
      <c r="AV466" s="116" t="n"/>
    </row>
    <row r="467">
      <c r="AI467" s="116" t="n"/>
      <c r="AJ467" s="116" t="n"/>
      <c r="AK467" s="116" t="n"/>
      <c r="AL467" s="116" t="n"/>
      <c r="AM467" s="116" t="n"/>
      <c r="AN467" s="116" t="n"/>
      <c r="AO467" s="116" t="n"/>
      <c r="AP467" s="116" t="n"/>
      <c r="AQ467" s="116" t="n"/>
      <c r="AR467" s="116" t="n"/>
      <c r="AS467" s="116" t="n"/>
      <c r="AT467" s="116" t="n"/>
      <c r="AU467" s="116" t="n"/>
      <c r="AV467" s="116" t="n"/>
    </row>
    <row r="468">
      <c r="AI468" s="116" t="n"/>
      <c r="AJ468" s="116" t="n"/>
      <c r="AK468" s="116" t="n"/>
      <c r="AL468" s="116" t="n"/>
      <c r="AM468" s="116" t="n"/>
      <c r="AN468" s="116" t="n"/>
      <c r="AO468" s="116" t="n"/>
      <c r="AP468" s="116" t="n"/>
      <c r="AQ468" s="116" t="n"/>
      <c r="AR468" s="116" t="n"/>
      <c r="AS468" s="116" t="n"/>
      <c r="AT468" s="116" t="n"/>
      <c r="AU468" s="116" t="n"/>
      <c r="AV468" s="116" t="n"/>
    </row>
    <row r="469">
      <c r="AI469" s="116" t="n"/>
      <c r="AJ469" s="116" t="n"/>
      <c r="AK469" s="116" t="n"/>
      <c r="AL469" s="116" t="n"/>
      <c r="AM469" s="116" t="n"/>
      <c r="AN469" s="116" t="n"/>
      <c r="AO469" s="116" t="n"/>
      <c r="AP469" s="116" t="n"/>
      <c r="AQ469" s="116" t="n"/>
      <c r="AR469" s="116" t="n"/>
      <c r="AS469" s="116" t="n"/>
      <c r="AT469" s="116" t="n"/>
      <c r="AU469" s="116" t="n"/>
      <c r="AV469" s="116" t="n"/>
    </row>
    <row r="470">
      <c r="AI470" s="116" t="n"/>
      <c r="AJ470" s="116" t="n"/>
      <c r="AK470" s="116" t="n"/>
      <c r="AL470" s="116" t="n"/>
      <c r="AM470" s="116" t="n"/>
      <c r="AN470" s="116" t="n"/>
      <c r="AO470" s="116" t="n"/>
      <c r="AP470" s="116" t="n"/>
      <c r="AQ470" s="116" t="n"/>
      <c r="AR470" s="116" t="n"/>
      <c r="AS470" s="116" t="n"/>
      <c r="AT470" s="116" t="n"/>
      <c r="AU470" s="116" t="n"/>
      <c r="AV470" s="116" t="n"/>
    </row>
    <row r="471">
      <c r="AI471" s="116" t="n"/>
      <c r="AJ471" s="116" t="n"/>
      <c r="AK471" s="116" t="n"/>
      <c r="AL471" s="116" t="n"/>
      <c r="AM471" s="116" t="n"/>
      <c r="AN471" s="116" t="n"/>
      <c r="AO471" s="116" t="n"/>
      <c r="AP471" s="116" t="n"/>
      <c r="AQ471" s="116" t="n"/>
      <c r="AR471" s="116" t="n"/>
      <c r="AS471" s="116" t="n"/>
      <c r="AT471" s="116" t="n"/>
      <c r="AU471" s="116" t="n"/>
      <c r="AV471" s="116" t="n"/>
    </row>
    <row r="472">
      <c r="AI472" s="116" t="n"/>
      <c r="AJ472" s="116" t="n"/>
      <c r="AK472" s="116" t="n"/>
      <c r="AL472" s="116" t="n"/>
      <c r="AM472" s="116" t="n"/>
      <c r="AN472" s="116" t="n"/>
      <c r="AO472" s="116" t="n"/>
      <c r="AP472" s="116" t="n"/>
      <c r="AQ472" s="116" t="n"/>
      <c r="AR472" s="116" t="n"/>
      <c r="AS472" s="116" t="n"/>
      <c r="AT472" s="116" t="n"/>
      <c r="AU472" s="116" t="n"/>
      <c r="AV472" s="116" t="n"/>
    </row>
    <row r="473">
      <c r="AI473" s="116" t="n"/>
      <c r="AJ473" s="116" t="n"/>
      <c r="AK473" s="116" t="n"/>
      <c r="AL473" s="116" t="n"/>
      <c r="AM473" s="116" t="n"/>
      <c r="AN473" s="116" t="n"/>
      <c r="AO473" s="116" t="n"/>
      <c r="AP473" s="116" t="n"/>
      <c r="AQ473" s="116" t="n"/>
      <c r="AR473" s="116" t="n"/>
      <c r="AS473" s="116" t="n"/>
      <c r="AT473" s="116" t="n"/>
      <c r="AU473" s="116" t="n"/>
      <c r="AV473" s="116" t="n"/>
    </row>
    <row r="474">
      <c r="AI474" s="116" t="n"/>
      <c r="AJ474" s="116" t="n"/>
      <c r="AK474" s="116" t="n"/>
      <c r="AL474" s="116" t="n"/>
      <c r="AM474" s="116" t="n"/>
      <c r="AN474" s="116" t="n"/>
      <c r="AO474" s="116" t="n"/>
      <c r="AP474" s="116" t="n"/>
      <c r="AQ474" s="116" t="n"/>
      <c r="AR474" s="116" t="n"/>
      <c r="AS474" s="116" t="n"/>
      <c r="AT474" s="116" t="n"/>
      <c r="AU474" s="116" t="n"/>
      <c r="AV474" s="116" t="n"/>
    </row>
    <row r="475">
      <c r="AI475" s="116" t="n"/>
      <c r="AJ475" s="116" t="n"/>
      <c r="AK475" s="116" t="n"/>
      <c r="AL475" s="116" t="n"/>
      <c r="AM475" s="116" t="n"/>
      <c r="AN475" s="116" t="n"/>
      <c r="AO475" s="116" t="n"/>
      <c r="AP475" s="116" t="n"/>
      <c r="AQ475" s="116" t="n"/>
      <c r="AR475" s="116" t="n"/>
      <c r="AS475" s="116" t="n"/>
      <c r="AT475" s="116" t="n"/>
      <c r="AU475" s="116" t="n"/>
      <c r="AV475" s="116" t="n"/>
    </row>
    <row r="476">
      <c r="AI476" s="116" t="n"/>
      <c r="AJ476" s="116" t="n"/>
      <c r="AK476" s="116" t="n"/>
      <c r="AL476" s="116" t="n"/>
      <c r="AM476" s="116" t="n"/>
      <c r="AN476" s="116" t="n"/>
      <c r="AO476" s="116" t="n"/>
      <c r="AP476" s="116" t="n"/>
      <c r="AQ476" s="116" t="n"/>
      <c r="AR476" s="116" t="n"/>
      <c r="AS476" s="116" t="n"/>
      <c r="AT476" s="116" t="n"/>
      <c r="AU476" s="116" t="n"/>
      <c r="AV476" s="116" t="n"/>
    </row>
    <row r="477">
      <c r="AI477" s="116" t="n"/>
      <c r="AJ477" s="116" t="n"/>
      <c r="AK477" s="116" t="n"/>
      <c r="AL477" s="116" t="n"/>
      <c r="AM477" s="116" t="n"/>
      <c r="AN477" s="116" t="n"/>
      <c r="AO477" s="116" t="n"/>
      <c r="AP477" s="116" t="n"/>
      <c r="AQ477" s="116" t="n"/>
      <c r="AR477" s="116" t="n"/>
      <c r="AS477" s="116" t="n"/>
      <c r="AT477" s="116" t="n"/>
      <c r="AU477" s="116" t="n"/>
      <c r="AV477" s="116" t="n"/>
    </row>
    <row r="478">
      <c r="AI478" s="116" t="n"/>
      <c r="AJ478" s="116" t="n"/>
      <c r="AK478" s="116" t="n"/>
      <c r="AL478" s="116" t="n"/>
      <c r="AM478" s="116" t="n"/>
      <c r="AN478" s="116" t="n"/>
      <c r="AO478" s="116" t="n"/>
      <c r="AP478" s="116" t="n"/>
      <c r="AQ478" s="116" t="n"/>
      <c r="AR478" s="116" t="n"/>
      <c r="AS478" s="116" t="n"/>
      <c r="AT478" s="116" t="n"/>
      <c r="AU478" s="116" t="n"/>
      <c r="AV478" s="116" t="n"/>
    </row>
    <row r="479">
      <c r="AI479" s="116" t="n"/>
      <c r="AJ479" s="116" t="n"/>
      <c r="AK479" s="116" t="n"/>
      <c r="AL479" s="116" t="n"/>
      <c r="AM479" s="116" t="n"/>
      <c r="AN479" s="116" t="n"/>
      <c r="AO479" s="116" t="n"/>
      <c r="AP479" s="116" t="n"/>
      <c r="AQ479" s="116" t="n"/>
      <c r="AR479" s="116" t="n"/>
      <c r="AS479" s="116" t="n"/>
      <c r="AT479" s="116" t="n"/>
      <c r="AU479" s="116" t="n"/>
      <c r="AV479" s="116" t="n"/>
    </row>
    <row r="480">
      <c r="AI480" s="116" t="n"/>
      <c r="AJ480" s="116" t="n"/>
      <c r="AK480" s="116" t="n"/>
      <c r="AL480" s="116" t="n"/>
      <c r="AM480" s="116" t="n"/>
      <c r="AN480" s="116" t="n"/>
      <c r="AO480" s="116" t="n"/>
      <c r="AP480" s="116" t="n"/>
      <c r="AQ480" s="116" t="n"/>
      <c r="AR480" s="116" t="n"/>
      <c r="AS480" s="116" t="n"/>
      <c r="AT480" s="116" t="n"/>
      <c r="AU480" s="116" t="n"/>
      <c r="AV480" s="116" t="n"/>
    </row>
    <row r="481">
      <c r="AI481" s="116" t="n"/>
      <c r="AJ481" s="116" t="n"/>
      <c r="AK481" s="116" t="n"/>
      <c r="AL481" s="116" t="n"/>
      <c r="AM481" s="116" t="n"/>
      <c r="AN481" s="116" t="n"/>
      <c r="AO481" s="116" t="n"/>
      <c r="AP481" s="116" t="n"/>
      <c r="AQ481" s="116" t="n"/>
      <c r="AR481" s="116" t="n"/>
      <c r="AS481" s="116" t="n"/>
      <c r="AT481" s="116" t="n"/>
      <c r="AU481" s="116" t="n"/>
      <c r="AV481" s="116" t="n"/>
    </row>
    <row r="482">
      <c r="AI482" s="116" t="n"/>
      <c r="AJ482" s="116" t="n"/>
      <c r="AK482" s="116" t="n"/>
      <c r="AL482" s="116" t="n"/>
      <c r="AM482" s="116" t="n"/>
      <c r="AN482" s="116" t="n"/>
      <c r="AO482" s="116" t="n"/>
      <c r="AP482" s="116" t="n"/>
      <c r="AQ482" s="116" t="n"/>
      <c r="AR482" s="116" t="n"/>
      <c r="AS482" s="116" t="n"/>
      <c r="AT482" s="116" t="n"/>
      <c r="AU482" s="116" t="n"/>
      <c r="AV482" s="116" t="n"/>
    </row>
    <row r="483">
      <c r="AI483" s="116" t="n"/>
      <c r="AJ483" s="116" t="n"/>
      <c r="AK483" s="116" t="n"/>
      <c r="AL483" s="116" t="n"/>
      <c r="AM483" s="116" t="n"/>
      <c r="AN483" s="116" t="n"/>
      <c r="AO483" s="116" t="n"/>
      <c r="AP483" s="116" t="n"/>
      <c r="AQ483" s="116" t="n"/>
      <c r="AR483" s="116" t="n"/>
      <c r="AS483" s="116" t="n"/>
      <c r="AT483" s="116" t="n"/>
      <c r="AU483" s="116" t="n"/>
      <c r="AV483" s="116" t="n"/>
    </row>
    <row r="484">
      <c r="AI484" s="116" t="n"/>
      <c r="AJ484" s="116" t="n"/>
      <c r="AK484" s="116" t="n"/>
      <c r="AL484" s="116" t="n"/>
      <c r="AM484" s="116" t="n"/>
      <c r="AN484" s="116" t="n"/>
      <c r="AO484" s="116" t="n"/>
      <c r="AP484" s="116" t="n"/>
      <c r="AQ484" s="116" t="n"/>
      <c r="AR484" s="116" t="n"/>
      <c r="AS484" s="116" t="n"/>
      <c r="AT484" s="116" t="n"/>
      <c r="AU484" s="116" t="n"/>
      <c r="AV484" s="116" t="n"/>
    </row>
    <row r="485">
      <c r="AI485" s="116" t="n"/>
      <c r="AJ485" s="116" t="n"/>
      <c r="AK485" s="116" t="n"/>
      <c r="AL485" s="116" t="n"/>
      <c r="AM485" s="116" t="n"/>
      <c r="AN485" s="116" t="n"/>
      <c r="AO485" s="116" t="n"/>
      <c r="AP485" s="116" t="n"/>
      <c r="AQ485" s="116" t="n"/>
      <c r="AR485" s="116" t="n"/>
      <c r="AS485" s="116" t="n"/>
      <c r="AT485" s="116" t="n"/>
      <c r="AU485" s="116" t="n"/>
      <c r="AV485" s="116" t="n"/>
    </row>
    <row r="486">
      <c r="AI486" s="116" t="n"/>
      <c r="AJ486" s="116" t="n"/>
      <c r="AK486" s="116" t="n"/>
      <c r="AL486" s="116" t="n"/>
      <c r="AM486" s="116" t="n"/>
      <c r="AN486" s="116" t="n"/>
      <c r="AO486" s="116" t="n"/>
      <c r="AP486" s="116" t="n"/>
      <c r="AQ486" s="116" t="n"/>
      <c r="AR486" s="116" t="n"/>
      <c r="AS486" s="116" t="n"/>
      <c r="AT486" s="116" t="n"/>
      <c r="AU486" s="116" t="n"/>
      <c r="AV486" s="116" t="n"/>
    </row>
    <row r="487">
      <c r="AI487" s="116" t="n"/>
      <c r="AJ487" s="116" t="n"/>
      <c r="AK487" s="116" t="n"/>
      <c r="AL487" s="116" t="n"/>
      <c r="AM487" s="116" t="n"/>
      <c r="AN487" s="116" t="n"/>
      <c r="AO487" s="116" t="n"/>
      <c r="AP487" s="116" t="n"/>
      <c r="AQ487" s="116" t="n"/>
      <c r="AR487" s="116" t="n"/>
      <c r="AS487" s="116" t="n"/>
      <c r="AT487" s="116" t="n"/>
      <c r="AU487" s="116" t="n"/>
      <c r="AV487" s="116" t="n"/>
    </row>
    <row r="488">
      <c r="AI488" s="116" t="n"/>
      <c r="AJ488" s="116" t="n"/>
      <c r="AK488" s="116" t="n"/>
      <c r="AL488" s="116" t="n"/>
      <c r="AM488" s="116" t="n"/>
      <c r="AN488" s="116" t="n"/>
      <c r="AO488" s="116" t="n"/>
      <c r="AP488" s="116" t="n"/>
      <c r="AQ488" s="116" t="n"/>
      <c r="AR488" s="116" t="n"/>
      <c r="AS488" s="116" t="n"/>
      <c r="AT488" s="116" t="n"/>
      <c r="AU488" s="116" t="n"/>
      <c r="AV488" s="116" t="n"/>
    </row>
    <row r="489">
      <c r="AI489" s="116" t="n"/>
      <c r="AJ489" s="116" t="n"/>
      <c r="AK489" s="116" t="n"/>
      <c r="AL489" s="116" t="n"/>
      <c r="AM489" s="116" t="n"/>
      <c r="AN489" s="116" t="n"/>
      <c r="AO489" s="116" t="n"/>
      <c r="AP489" s="116" t="n"/>
      <c r="AQ489" s="116" t="n"/>
      <c r="AR489" s="116" t="n"/>
      <c r="AS489" s="116" t="n"/>
      <c r="AT489" s="116" t="n"/>
      <c r="AU489" s="116" t="n"/>
      <c r="AV489" s="116" t="n"/>
    </row>
    <row r="490">
      <c r="AI490" s="116" t="n"/>
      <c r="AJ490" s="116" t="n"/>
      <c r="AK490" s="116" t="n"/>
      <c r="AL490" s="116" t="n"/>
      <c r="AM490" s="116" t="n"/>
      <c r="AN490" s="116" t="n"/>
      <c r="AO490" s="116" t="n"/>
      <c r="AP490" s="116" t="n"/>
      <c r="AQ490" s="116" t="n"/>
      <c r="AR490" s="116" t="n"/>
      <c r="AS490" s="116" t="n"/>
      <c r="AT490" s="116" t="n"/>
      <c r="AU490" s="116" t="n"/>
      <c r="AV490" s="116" t="n"/>
    </row>
    <row r="491">
      <c r="AI491" s="116" t="n"/>
      <c r="AJ491" s="116" t="n"/>
      <c r="AK491" s="116" t="n"/>
      <c r="AL491" s="116" t="n"/>
      <c r="AM491" s="116" t="n"/>
      <c r="AN491" s="116" t="n"/>
      <c r="AO491" s="116" t="n"/>
      <c r="AP491" s="116" t="n"/>
      <c r="AQ491" s="116" t="n"/>
      <c r="AR491" s="116" t="n"/>
      <c r="AS491" s="116" t="n"/>
      <c r="AT491" s="116" t="n"/>
      <c r="AU491" s="116" t="n"/>
      <c r="AV491" s="116" t="n"/>
    </row>
    <row r="492">
      <c r="AI492" s="116" t="n"/>
      <c r="AJ492" s="116" t="n"/>
      <c r="AK492" s="116" t="n"/>
      <c r="AL492" s="116" t="n"/>
      <c r="AM492" s="116" t="n"/>
      <c r="AN492" s="116" t="n"/>
      <c r="AO492" s="116" t="n"/>
      <c r="AP492" s="116" t="n"/>
      <c r="AQ492" s="116" t="n"/>
      <c r="AR492" s="116" t="n"/>
      <c r="AS492" s="116" t="n"/>
      <c r="AT492" s="116" t="n"/>
      <c r="AU492" s="116" t="n"/>
      <c r="AV492" s="116" t="n"/>
    </row>
    <row r="493">
      <c r="AI493" s="116" t="n"/>
      <c r="AJ493" s="116" t="n"/>
      <c r="AK493" s="116" t="n"/>
      <c r="AL493" s="116" t="n"/>
      <c r="AM493" s="116" t="n"/>
      <c r="AN493" s="116" t="n"/>
      <c r="AO493" s="116" t="n"/>
      <c r="AP493" s="116" t="n"/>
      <c r="AQ493" s="116" t="n"/>
      <c r="AR493" s="116" t="n"/>
      <c r="AS493" s="116" t="n"/>
      <c r="AT493" s="116" t="n"/>
      <c r="AU493" s="116" t="n"/>
      <c r="AV493" s="116" t="n"/>
    </row>
    <row r="494">
      <c r="AI494" s="116" t="n"/>
      <c r="AJ494" s="116" t="n"/>
      <c r="AK494" s="116" t="n"/>
      <c r="AL494" s="116" t="n"/>
      <c r="AM494" s="116" t="n"/>
      <c r="AN494" s="116" t="n"/>
      <c r="AO494" s="116" t="n"/>
      <c r="AP494" s="116" t="n"/>
      <c r="AQ494" s="116" t="n"/>
      <c r="AR494" s="116" t="n"/>
      <c r="AS494" s="116" t="n"/>
      <c r="AT494" s="116" t="n"/>
      <c r="AU494" s="116" t="n"/>
      <c r="AV494" s="116" t="n"/>
    </row>
    <row r="495">
      <c r="AI495" s="116" t="n"/>
      <c r="AJ495" s="116" t="n"/>
      <c r="AK495" s="116" t="n"/>
      <c r="AL495" s="116" t="n"/>
      <c r="AM495" s="116" t="n"/>
      <c r="AN495" s="116" t="n"/>
      <c r="AO495" s="116" t="n"/>
      <c r="AP495" s="116" t="n"/>
      <c r="AQ495" s="116" t="n"/>
      <c r="AR495" s="116" t="n"/>
      <c r="AS495" s="116" t="n"/>
      <c r="AT495" s="116" t="n"/>
      <c r="AU495" s="116" t="n"/>
      <c r="AV495" s="116" t="n"/>
    </row>
    <row r="496">
      <c r="AI496" s="116" t="n"/>
      <c r="AJ496" s="116" t="n"/>
      <c r="AK496" s="116" t="n"/>
      <c r="AL496" s="116" t="n"/>
      <c r="AM496" s="116" t="n"/>
      <c r="AN496" s="116" t="n"/>
      <c r="AO496" s="116" t="n"/>
      <c r="AP496" s="116" t="n"/>
      <c r="AQ496" s="116" t="n"/>
      <c r="AR496" s="116" t="n"/>
      <c r="AS496" s="116" t="n"/>
      <c r="AT496" s="116" t="n"/>
      <c r="AU496" s="116" t="n"/>
      <c r="AV496" s="116" t="n"/>
    </row>
    <row r="497">
      <c r="AI497" s="116" t="n"/>
      <c r="AJ497" s="116" t="n"/>
      <c r="AK497" s="116" t="n"/>
      <c r="AL497" s="116" t="n"/>
      <c r="AM497" s="116" t="n"/>
      <c r="AN497" s="116" t="n"/>
      <c r="AO497" s="116" t="n"/>
      <c r="AP497" s="116" t="n"/>
      <c r="AQ497" s="116" t="n"/>
      <c r="AR497" s="116" t="n"/>
      <c r="AS497" s="116" t="n"/>
      <c r="AT497" s="116" t="n"/>
      <c r="AU497" s="116" t="n"/>
      <c r="AV497" s="116" t="n"/>
    </row>
    <row r="498">
      <c r="AI498" s="116" t="n"/>
      <c r="AJ498" s="116" t="n"/>
      <c r="AK498" s="116" t="n"/>
      <c r="AL498" s="116" t="n"/>
      <c r="AM498" s="116" t="n"/>
      <c r="AN498" s="116" t="n"/>
      <c r="AO498" s="116" t="n"/>
      <c r="AP498" s="116" t="n"/>
      <c r="AQ498" s="116" t="n"/>
      <c r="AR498" s="116" t="n"/>
      <c r="AS498" s="116" t="n"/>
      <c r="AT498" s="116" t="n"/>
      <c r="AU498" s="116" t="n"/>
      <c r="AV498" s="116" t="n"/>
    </row>
    <row r="499">
      <c r="AI499" s="116" t="n"/>
      <c r="AJ499" s="116" t="n"/>
      <c r="AK499" s="116" t="n"/>
      <c r="AL499" s="116" t="n"/>
      <c r="AM499" s="116" t="n"/>
      <c r="AN499" s="116" t="n"/>
      <c r="AO499" s="116" t="n"/>
      <c r="AP499" s="116" t="n"/>
      <c r="AQ499" s="116" t="n"/>
      <c r="AR499" s="116" t="n"/>
      <c r="AS499" s="116" t="n"/>
      <c r="AT499" s="116" t="n"/>
      <c r="AU499" s="116" t="n"/>
      <c r="AV499" s="116" t="n"/>
    </row>
    <row r="500">
      <c r="AI500" s="116" t="n"/>
      <c r="AJ500" s="116" t="n"/>
      <c r="AK500" s="116" t="n"/>
      <c r="AL500" s="116" t="n"/>
      <c r="AM500" s="116" t="n"/>
      <c r="AN500" s="116" t="n"/>
      <c r="AO500" s="116" t="n"/>
      <c r="AP500" s="116" t="n"/>
      <c r="AQ500" s="116" t="n"/>
      <c r="AR500" s="116" t="n"/>
      <c r="AS500" s="116" t="n"/>
      <c r="AT500" s="116" t="n"/>
      <c r="AU500" s="116" t="n"/>
      <c r="AV500" s="116" t="n"/>
    </row>
    <row r="501">
      <c r="AI501" s="116" t="n"/>
      <c r="AJ501" s="116" t="n"/>
      <c r="AK501" s="116" t="n"/>
      <c r="AL501" s="116" t="n"/>
      <c r="AM501" s="116" t="n"/>
      <c r="AN501" s="116" t="n"/>
      <c r="AO501" s="116" t="n"/>
      <c r="AP501" s="116" t="n"/>
      <c r="AQ501" s="116" t="n"/>
      <c r="AR501" s="116" t="n"/>
      <c r="AS501" s="116" t="n"/>
      <c r="AT501" s="116" t="n"/>
      <c r="AU501" s="116" t="n"/>
      <c r="AV501" s="116" t="n"/>
    </row>
    <row r="502">
      <c r="AI502" s="116" t="n"/>
      <c r="AJ502" s="116" t="n"/>
      <c r="AK502" s="116" t="n"/>
      <c r="AL502" s="116" t="n"/>
      <c r="AM502" s="116" t="n"/>
      <c r="AN502" s="116" t="n"/>
      <c r="AO502" s="116" t="n"/>
      <c r="AP502" s="116" t="n"/>
      <c r="AQ502" s="116" t="n"/>
      <c r="AR502" s="116" t="n"/>
      <c r="AS502" s="116" t="n"/>
      <c r="AT502" s="116" t="n"/>
      <c r="AU502" s="116" t="n"/>
      <c r="AV502" s="116" t="n"/>
    </row>
    <row r="503">
      <c r="AI503" s="116" t="n"/>
      <c r="AJ503" s="116" t="n"/>
      <c r="AK503" s="116" t="n"/>
      <c r="AL503" s="116" t="n"/>
      <c r="AM503" s="116" t="n"/>
      <c r="AN503" s="116" t="n"/>
      <c r="AO503" s="116" t="n"/>
      <c r="AP503" s="116" t="n"/>
      <c r="AQ503" s="116" t="n"/>
      <c r="AR503" s="116" t="n"/>
      <c r="AS503" s="116" t="n"/>
      <c r="AT503" s="116" t="n"/>
      <c r="AU503" s="116" t="n"/>
      <c r="AV503" s="116" t="n"/>
    </row>
    <row r="504">
      <c r="AI504" s="116" t="n"/>
      <c r="AJ504" s="116" t="n"/>
      <c r="AK504" s="116" t="n"/>
      <c r="AL504" s="116" t="n"/>
      <c r="AM504" s="116" t="n"/>
      <c r="AN504" s="116" t="n"/>
      <c r="AO504" s="116" t="n"/>
      <c r="AP504" s="116" t="n"/>
      <c r="AQ504" s="116" t="n"/>
      <c r="AR504" s="116" t="n"/>
      <c r="AS504" s="116" t="n"/>
      <c r="AT504" s="116" t="n"/>
      <c r="AU504" s="116" t="n"/>
      <c r="AV504" s="116" t="n"/>
    </row>
    <row r="505">
      <c r="AI505" s="116" t="n"/>
      <c r="AJ505" s="116" t="n"/>
      <c r="AK505" s="116" t="n"/>
      <c r="AL505" s="116" t="n"/>
      <c r="AM505" s="116" t="n"/>
      <c r="AN505" s="116" t="n"/>
      <c r="AO505" s="116" t="n"/>
      <c r="AP505" s="116" t="n"/>
      <c r="AQ505" s="116" t="n"/>
      <c r="AR505" s="116" t="n"/>
      <c r="AS505" s="116" t="n"/>
      <c r="AT505" s="116" t="n"/>
      <c r="AU505" s="116" t="n"/>
      <c r="AV505" s="116" t="n"/>
    </row>
    <row r="506">
      <c r="AI506" s="116" t="n"/>
      <c r="AJ506" s="116" t="n"/>
      <c r="AK506" s="116" t="n"/>
      <c r="AL506" s="116" t="n"/>
      <c r="AM506" s="116" t="n"/>
      <c r="AN506" s="116" t="n"/>
      <c r="AO506" s="116" t="n"/>
      <c r="AP506" s="116" t="n"/>
      <c r="AQ506" s="116" t="n"/>
      <c r="AR506" s="116" t="n"/>
      <c r="AS506" s="116" t="n"/>
      <c r="AT506" s="116" t="n"/>
      <c r="AU506" s="116" t="n"/>
      <c r="AV506" s="116" t="n"/>
    </row>
    <row r="507">
      <c r="AI507" s="116" t="n"/>
      <c r="AJ507" s="116" t="n"/>
      <c r="AK507" s="116" t="n"/>
      <c r="AL507" s="116" t="n"/>
      <c r="AM507" s="116" t="n"/>
      <c r="AN507" s="116" t="n"/>
      <c r="AO507" s="116" t="n"/>
      <c r="AP507" s="116" t="n"/>
      <c r="AQ507" s="116" t="n"/>
      <c r="AR507" s="116" t="n"/>
      <c r="AS507" s="116" t="n"/>
      <c r="AT507" s="116" t="n"/>
      <c r="AU507" s="116" t="n"/>
      <c r="AV507" s="116" t="n"/>
    </row>
    <row r="508">
      <c r="AI508" s="116" t="n"/>
      <c r="AJ508" s="116" t="n"/>
      <c r="AK508" s="116" t="n"/>
      <c r="AL508" s="116" t="n"/>
      <c r="AM508" s="116" t="n"/>
      <c r="AN508" s="116" t="n"/>
      <c r="AO508" s="116" t="n"/>
      <c r="AP508" s="116" t="n"/>
      <c r="AQ508" s="116" t="n"/>
      <c r="AR508" s="116" t="n"/>
      <c r="AS508" s="116" t="n"/>
      <c r="AT508" s="116" t="n"/>
      <c r="AU508" s="116" t="n"/>
      <c r="AV508" s="116" t="n"/>
    </row>
    <row r="509">
      <c r="AI509" s="116" t="n"/>
      <c r="AJ509" s="116" t="n"/>
      <c r="AK509" s="116" t="n"/>
      <c r="AL509" s="116" t="n"/>
      <c r="AM509" s="116" t="n"/>
      <c r="AN509" s="116" t="n"/>
      <c r="AO509" s="116" t="n"/>
      <c r="AP509" s="116" t="n"/>
      <c r="AQ509" s="116" t="n"/>
      <c r="AR509" s="116" t="n"/>
      <c r="AS509" s="116" t="n"/>
      <c r="AT509" s="116" t="n"/>
      <c r="AU509" s="116" t="n"/>
      <c r="AV509" s="116" t="n"/>
    </row>
    <row r="510">
      <c r="AI510" s="116" t="n"/>
      <c r="AJ510" s="116" t="n"/>
      <c r="AK510" s="116" t="n"/>
      <c r="AL510" s="116" t="n"/>
      <c r="AM510" s="116" t="n"/>
      <c r="AN510" s="116" t="n"/>
      <c r="AO510" s="116" t="n"/>
      <c r="AP510" s="116" t="n"/>
      <c r="AQ510" s="116" t="n"/>
      <c r="AR510" s="116" t="n"/>
      <c r="AS510" s="116" t="n"/>
      <c r="AT510" s="116" t="n"/>
      <c r="AU510" s="116" t="n"/>
      <c r="AV510" s="116" t="n"/>
    </row>
    <row r="511">
      <c r="AI511" s="116" t="n"/>
      <c r="AJ511" s="116" t="n"/>
      <c r="AK511" s="116" t="n"/>
      <c r="AL511" s="116" t="n"/>
      <c r="AM511" s="116" t="n"/>
      <c r="AN511" s="116" t="n"/>
      <c r="AO511" s="116" t="n"/>
      <c r="AP511" s="116" t="n"/>
      <c r="AQ511" s="116" t="n"/>
      <c r="AR511" s="116" t="n"/>
      <c r="AS511" s="116" t="n"/>
      <c r="AT511" s="116" t="n"/>
      <c r="AU511" s="116" t="n"/>
      <c r="AV511" s="116" t="n"/>
    </row>
    <row r="512">
      <c r="AI512" s="116" t="n"/>
      <c r="AJ512" s="116" t="n"/>
      <c r="AK512" s="116" t="n"/>
      <c r="AL512" s="116" t="n"/>
      <c r="AM512" s="116" t="n"/>
      <c r="AN512" s="116" t="n"/>
      <c r="AO512" s="116" t="n"/>
      <c r="AP512" s="116" t="n"/>
      <c r="AQ512" s="116" t="n"/>
      <c r="AR512" s="116" t="n"/>
      <c r="AS512" s="116" t="n"/>
      <c r="AT512" s="116" t="n"/>
      <c r="AU512" s="116" t="n"/>
      <c r="AV512" s="116" t="n"/>
    </row>
    <row r="513">
      <c r="AI513" s="116" t="n"/>
      <c r="AJ513" s="116" t="n"/>
      <c r="AK513" s="116" t="n"/>
      <c r="AL513" s="116" t="n"/>
      <c r="AM513" s="116" t="n"/>
      <c r="AN513" s="116" t="n"/>
      <c r="AO513" s="116" t="n"/>
      <c r="AP513" s="116" t="n"/>
      <c r="AQ513" s="116" t="n"/>
      <c r="AR513" s="116" t="n"/>
      <c r="AS513" s="116" t="n"/>
      <c r="AT513" s="116" t="n"/>
      <c r="AU513" s="116" t="n"/>
      <c r="AV513" s="116" t="n"/>
    </row>
    <row r="514">
      <c r="AI514" s="116" t="n"/>
      <c r="AJ514" s="116" t="n"/>
      <c r="AK514" s="116" t="n"/>
      <c r="AL514" s="116" t="n"/>
      <c r="AM514" s="116" t="n"/>
      <c r="AN514" s="116" t="n"/>
      <c r="AO514" s="116" t="n"/>
      <c r="AP514" s="116" t="n"/>
      <c r="AQ514" s="116" t="n"/>
      <c r="AR514" s="116" t="n"/>
      <c r="AS514" s="116" t="n"/>
      <c r="AT514" s="116" t="n"/>
      <c r="AU514" s="116" t="n"/>
      <c r="AV514" s="116" t="n"/>
    </row>
    <row r="515">
      <c r="AI515" s="116" t="n"/>
      <c r="AJ515" s="116" t="n"/>
      <c r="AK515" s="116" t="n"/>
      <c r="AL515" s="116" t="n"/>
      <c r="AM515" s="116" t="n"/>
      <c r="AN515" s="116" t="n"/>
      <c r="AO515" s="116" t="n"/>
      <c r="AP515" s="116" t="n"/>
      <c r="AQ515" s="116" t="n"/>
      <c r="AR515" s="116" t="n"/>
      <c r="AS515" s="116" t="n"/>
      <c r="AT515" s="116" t="n"/>
      <c r="AU515" s="116" t="n"/>
      <c r="AV515" s="116" t="n"/>
    </row>
    <row r="516">
      <c r="AI516" s="116" t="n"/>
      <c r="AJ516" s="116" t="n"/>
      <c r="AK516" s="116" t="n"/>
      <c r="AL516" s="116" t="n"/>
      <c r="AM516" s="116" t="n"/>
      <c r="AN516" s="116" t="n"/>
      <c r="AO516" s="116" t="n"/>
      <c r="AP516" s="116" t="n"/>
      <c r="AQ516" s="116" t="n"/>
      <c r="AR516" s="116" t="n"/>
      <c r="AS516" s="116" t="n"/>
      <c r="AT516" s="116" t="n"/>
      <c r="AU516" s="116" t="n"/>
      <c r="AV516" s="116" t="n"/>
    </row>
    <row r="517">
      <c r="AI517" s="116" t="n"/>
      <c r="AJ517" s="116" t="n"/>
      <c r="AK517" s="116" t="n"/>
      <c r="AL517" s="116" t="n"/>
      <c r="AM517" s="116" t="n"/>
      <c r="AN517" s="116" t="n"/>
      <c r="AO517" s="116" t="n"/>
      <c r="AP517" s="116" t="n"/>
      <c r="AQ517" s="116" t="n"/>
      <c r="AR517" s="116" t="n"/>
      <c r="AS517" s="116" t="n"/>
      <c r="AT517" s="116" t="n"/>
      <c r="AU517" s="116" t="n"/>
      <c r="AV517" s="116" t="n"/>
    </row>
    <row r="518">
      <c r="AI518" s="116" t="n"/>
      <c r="AJ518" s="116" t="n"/>
      <c r="AK518" s="116" t="n"/>
      <c r="AL518" s="116" t="n"/>
      <c r="AM518" s="116" t="n"/>
      <c r="AN518" s="116" t="n"/>
      <c r="AO518" s="116" t="n"/>
      <c r="AP518" s="116" t="n"/>
      <c r="AQ518" s="116" t="n"/>
      <c r="AR518" s="116" t="n"/>
      <c r="AS518" s="116" t="n"/>
      <c r="AT518" s="116" t="n"/>
      <c r="AU518" s="116" t="n"/>
      <c r="AV518" s="116" t="n"/>
    </row>
    <row r="519">
      <c r="AI519" s="116" t="n"/>
      <c r="AJ519" s="116" t="n"/>
      <c r="AK519" s="116" t="n"/>
      <c r="AL519" s="116" t="n"/>
      <c r="AM519" s="116" t="n"/>
      <c r="AN519" s="116" t="n"/>
      <c r="AO519" s="116" t="n"/>
      <c r="AP519" s="116" t="n"/>
      <c r="AQ519" s="116" t="n"/>
      <c r="AR519" s="116" t="n"/>
      <c r="AS519" s="116" t="n"/>
      <c r="AT519" s="116" t="n"/>
      <c r="AU519" s="116" t="n"/>
      <c r="AV519" s="116" t="n"/>
    </row>
    <row r="520">
      <c r="AI520" s="116" t="n"/>
      <c r="AJ520" s="116" t="n"/>
      <c r="AK520" s="116" t="n"/>
      <c r="AL520" s="116" t="n"/>
      <c r="AM520" s="116" t="n"/>
      <c r="AN520" s="116" t="n"/>
      <c r="AO520" s="116" t="n"/>
      <c r="AP520" s="116" t="n"/>
      <c r="AQ520" s="116" t="n"/>
      <c r="AR520" s="116" t="n"/>
      <c r="AS520" s="116" t="n"/>
      <c r="AT520" s="116" t="n"/>
      <c r="AU520" s="116" t="n"/>
      <c r="AV520" s="116" t="n"/>
    </row>
    <row r="521">
      <c r="AI521" s="116" t="n"/>
      <c r="AJ521" s="116" t="n"/>
      <c r="AK521" s="116" t="n"/>
      <c r="AL521" s="116" t="n"/>
      <c r="AM521" s="116" t="n"/>
      <c r="AN521" s="116" t="n"/>
      <c r="AO521" s="116" t="n"/>
      <c r="AP521" s="116" t="n"/>
      <c r="AQ521" s="116" t="n"/>
      <c r="AR521" s="116" t="n"/>
      <c r="AS521" s="116" t="n"/>
      <c r="AT521" s="116" t="n"/>
      <c r="AU521" s="116" t="n"/>
      <c r="AV521" s="116" t="n"/>
    </row>
    <row r="522">
      <c r="AI522" s="116" t="n"/>
      <c r="AJ522" s="116" t="n"/>
      <c r="AK522" s="116" t="n"/>
      <c r="AL522" s="116" t="n"/>
      <c r="AM522" s="116" t="n"/>
      <c r="AN522" s="116" t="n"/>
      <c r="AO522" s="116" t="n"/>
      <c r="AP522" s="116" t="n"/>
      <c r="AQ522" s="116" t="n"/>
      <c r="AR522" s="116" t="n"/>
      <c r="AS522" s="116" t="n"/>
      <c r="AT522" s="116" t="n"/>
      <c r="AU522" s="116" t="n"/>
      <c r="AV522" s="116" t="n"/>
    </row>
    <row r="523">
      <c r="AI523" s="116" t="n"/>
      <c r="AJ523" s="116" t="n"/>
      <c r="AK523" s="116" t="n"/>
      <c r="AL523" s="116" t="n"/>
      <c r="AM523" s="116" t="n"/>
      <c r="AN523" s="116" t="n"/>
      <c r="AO523" s="116" t="n"/>
      <c r="AP523" s="116" t="n"/>
      <c r="AQ523" s="116" t="n"/>
      <c r="AR523" s="116" t="n"/>
      <c r="AS523" s="116" t="n"/>
      <c r="AT523" s="116" t="n"/>
      <c r="AU523" s="116" t="n"/>
      <c r="AV523" s="116" t="n"/>
    </row>
    <row r="524">
      <c r="AI524" s="116" t="n"/>
      <c r="AJ524" s="116" t="n"/>
      <c r="AK524" s="116" t="n"/>
      <c r="AL524" s="116" t="n"/>
      <c r="AM524" s="116" t="n"/>
      <c r="AN524" s="116" t="n"/>
      <c r="AO524" s="116" t="n"/>
      <c r="AP524" s="116" t="n"/>
      <c r="AQ524" s="116" t="n"/>
      <c r="AR524" s="116" t="n"/>
      <c r="AS524" s="116" t="n"/>
      <c r="AT524" s="116" t="n"/>
      <c r="AU524" s="116" t="n"/>
      <c r="AV524" s="116" t="n"/>
    </row>
    <row r="525">
      <c r="AI525" s="116" t="n"/>
      <c r="AJ525" s="116" t="n"/>
      <c r="AK525" s="116" t="n"/>
      <c r="AL525" s="116" t="n"/>
      <c r="AM525" s="116" t="n"/>
      <c r="AN525" s="116" t="n"/>
      <c r="AO525" s="116" t="n"/>
      <c r="AP525" s="116" t="n"/>
      <c r="AQ525" s="116" t="n"/>
      <c r="AR525" s="116" t="n"/>
      <c r="AS525" s="116" t="n"/>
      <c r="AT525" s="116" t="n"/>
      <c r="AU525" s="116" t="n"/>
      <c r="AV525" s="116" t="n"/>
    </row>
    <row r="526">
      <c r="AI526" s="116" t="n"/>
      <c r="AJ526" s="116" t="n"/>
      <c r="AK526" s="116" t="n"/>
      <c r="AL526" s="116" t="n"/>
      <c r="AM526" s="116" t="n"/>
      <c r="AN526" s="116" t="n"/>
      <c r="AO526" s="116" t="n"/>
      <c r="AP526" s="116" t="n"/>
      <c r="AQ526" s="116" t="n"/>
      <c r="AR526" s="116" t="n"/>
      <c r="AS526" s="116" t="n"/>
      <c r="AT526" s="116" t="n"/>
      <c r="AU526" s="116" t="n"/>
      <c r="AV526" s="116" t="n"/>
    </row>
    <row r="527">
      <c r="AI527" s="116" t="n"/>
      <c r="AJ527" s="116" t="n"/>
      <c r="AK527" s="116" t="n"/>
      <c r="AL527" s="116" t="n"/>
      <c r="AM527" s="116" t="n"/>
      <c r="AN527" s="116" t="n"/>
      <c r="AO527" s="116" t="n"/>
      <c r="AP527" s="116" t="n"/>
      <c r="AQ527" s="116" t="n"/>
      <c r="AR527" s="116" t="n"/>
      <c r="AS527" s="116" t="n"/>
      <c r="AT527" s="116" t="n"/>
      <c r="AU527" s="116" t="n"/>
      <c r="AV527" s="116" t="n"/>
    </row>
    <row r="528">
      <c r="AI528" s="116" t="n"/>
      <c r="AJ528" s="116" t="n"/>
      <c r="AK528" s="116" t="n"/>
      <c r="AL528" s="116" t="n"/>
      <c r="AM528" s="116" t="n"/>
      <c r="AN528" s="116" t="n"/>
      <c r="AO528" s="116" t="n"/>
      <c r="AP528" s="116" t="n"/>
      <c r="AQ528" s="116" t="n"/>
      <c r="AR528" s="116" t="n"/>
      <c r="AS528" s="116" t="n"/>
      <c r="AT528" s="116" t="n"/>
      <c r="AU528" s="116" t="n"/>
      <c r="AV528" s="116" t="n"/>
    </row>
    <row r="529">
      <c r="AI529" s="116" t="n"/>
      <c r="AJ529" s="116" t="n"/>
      <c r="AK529" s="116" t="n"/>
      <c r="AL529" s="116" t="n"/>
      <c r="AM529" s="116" t="n"/>
      <c r="AN529" s="116" t="n"/>
      <c r="AO529" s="116" t="n"/>
      <c r="AP529" s="116" t="n"/>
      <c r="AQ529" s="116" t="n"/>
      <c r="AR529" s="116" t="n"/>
      <c r="AS529" s="116" t="n"/>
      <c r="AT529" s="116" t="n"/>
      <c r="AU529" s="116" t="n"/>
      <c r="AV529" s="116" t="n"/>
    </row>
    <row r="530">
      <c r="AI530" s="116" t="n"/>
      <c r="AJ530" s="116" t="n"/>
      <c r="AK530" s="116" t="n"/>
      <c r="AL530" s="116" t="n"/>
      <c r="AM530" s="116" t="n"/>
      <c r="AN530" s="116" t="n"/>
      <c r="AO530" s="116" t="n"/>
      <c r="AP530" s="116" t="n"/>
      <c r="AQ530" s="116" t="n"/>
      <c r="AR530" s="116" t="n"/>
      <c r="AS530" s="116" t="n"/>
      <c r="AT530" s="116" t="n"/>
      <c r="AU530" s="116" t="n"/>
      <c r="AV530" s="116" t="n"/>
    </row>
    <row r="531">
      <c r="AI531" s="116" t="n"/>
      <c r="AJ531" s="116" t="n"/>
      <c r="AK531" s="116" t="n"/>
      <c r="AL531" s="116" t="n"/>
      <c r="AM531" s="116" t="n"/>
      <c r="AN531" s="116" t="n"/>
      <c r="AO531" s="116" t="n"/>
      <c r="AP531" s="116" t="n"/>
      <c r="AQ531" s="116" t="n"/>
      <c r="AR531" s="116" t="n"/>
      <c r="AS531" s="116" t="n"/>
      <c r="AT531" s="116" t="n"/>
      <c r="AU531" s="116" t="n"/>
      <c r="AV531" s="116" t="n"/>
    </row>
    <row r="532">
      <c r="AI532" s="116" t="n"/>
      <c r="AJ532" s="116" t="n"/>
      <c r="AK532" s="116" t="n"/>
      <c r="AL532" s="116" t="n"/>
      <c r="AM532" s="116" t="n"/>
      <c r="AN532" s="116" t="n"/>
      <c r="AO532" s="116" t="n"/>
      <c r="AP532" s="116" t="n"/>
      <c r="AQ532" s="116" t="n"/>
      <c r="AR532" s="116" t="n"/>
      <c r="AS532" s="116" t="n"/>
      <c r="AT532" s="116" t="n"/>
      <c r="AU532" s="116" t="n"/>
      <c r="AV532" s="116" t="n"/>
    </row>
    <row r="533">
      <c r="AI533" s="116" t="n"/>
      <c r="AJ533" s="116" t="n"/>
      <c r="AK533" s="116" t="n"/>
      <c r="AL533" s="116" t="n"/>
      <c r="AM533" s="116" t="n"/>
      <c r="AN533" s="116" t="n"/>
      <c r="AO533" s="116" t="n"/>
      <c r="AP533" s="116" t="n"/>
      <c r="AQ533" s="116" t="n"/>
      <c r="AR533" s="116" t="n"/>
      <c r="AS533" s="116" t="n"/>
      <c r="AT533" s="116" t="n"/>
      <c r="AU533" s="116" t="n"/>
      <c r="AV533" s="116" t="n"/>
    </row>
    <row r="534">
      <c r="AI534" s="116" t="n"/>
      <c r="AJ534" s="116" t="n"/>
      <c r="AK534" s="116" t="n"/>
      <c r="AL534" s="116" t="n"/>
      <c r="AM534" s="116" t="n"/>
      <c r="AN534" s="116" t="n"/>
      <c r="AO534" s="116" t="n"/>
      <c r="AP534" s="116" t="n"/>
      <c r="AQ534" s="116" t="n"/>
      <c r="AR534" s="116" t="n"/>
      <c r="AS534" s="116" t="n"/>
      <c r="AT534" s="116" t="n"/>
      <c r="AU534" s="116" t="n"/>
      <c r="AV534" s="116" t="n"/>
    </row>
    <row r="535">
      <c r="AI535" s="116" t="n"/>
      <c r="AJ535" s="116" t="n"/>
      <c r="AK535" s="116" t="n"/>
      <c r="AL535" s="116" t="n"/>
      <c r="AM535" s="116" t="n"/>
      <c r="AN535" s="116" t="n"/>
      <c r="AO535" s="116" t="n"/>
      <c r="AP535" s="116" t="n"/>
      <c r="AQ535" s="116" t="n"/>
      <c r="AR535" s="116" t="n"/>
      <c r="AS535" s="116" t="n"/>
      <c r="AT535" s="116" t="n"/>
      <c r="AU535" s="116" t="n"/>
      <c r="AV535" s="116" t="n"/>
    </row>
    <row r="536">
      <c r="AI536" s="116" t="n"/>
      <c r="AJ536" s="116" t="n"/>
      <c r="AK536" s="116" t="n"/>
      <c r="AL536" s="116" t="n"/>
      <c r="AM536" s="116" t="n"/>
      <c r="AN536" s="116" t="n"/>
      <c r="AO536" s="116" t="n"/>
      <c r="AP536" s="116" t="n"/>
      <c r="AQ536" s="116" t="n"/>
      <c r="AR536" s="116" t="n"/>
      <c r="AS536" s="116" t="n"/>
      <c r="AT536" s="116" t="n"/>
      <c r="AU536" s="116" t="n"/>
      <c r="AV536" s="116" t="n"/>
    </row>
    <row r="537">
      <c r="AI537" s="116" t="n"/>
      <c r="AJ537" s="116" t="n"/>
      <c r="AK537" s="116" t="n"/>
      <c r="AL537" s="116" t="n"/>
      <c r="AM537" s="116" t="n"/>
      <c r="AN537" s="116" t="n"/>
      <c r="AO537" s="116" t="n"/>
      <c r="AP537" s="116" t="n"/>
      <c r="AQ537" s="116" t="n"/>
      <c r="AR537" s="116" t="n"/>
      <c r="AS537" s="116" t="n"/>
      <c r="AT537" s="116" t="n"/>
      <c r="AU537" s="116" t="n"/>
      <c r="AV537" s="116" t="n"/>
    </row>
    <row r="538">
      <c r="AI538" s="116" t="n"/>
      <c r="AJ538" s="116" t="n"/>
      <c r="AK538" s="116" t="n"/>
      <c r="AL538" s="116" t="n"/>
      <c r="AM538" s="116" t="n"/>
      <c r="AN538" s="116" t="n"/>
      <c r="AO538" s="116" t="n"/>
      <c r="AP538" s="116" t="n"/>
      <c r="AQ538" s="116" t="n"/>
      <c r="AR538" s="116" t="n"/>
      <c r="AS538" s="116" t="n"/>
      <c r="AT538" s="116" t="n"/>
      <c r="AU538" s="116" t="n"/>
      <c r="AV538" s="116" t="n"/>
    </row>
    <row r="539">
      <c r="AI539" s="116" t="n"/>
      <c r="AJ539" s="116" t="n"/>
      <c r="AK539" s="116" t="n"/>
      <c r="AL539" s="116" t="n"/>
      <c r="AM539" s="116" t="n"/>
      <c r="AN539" s="116" t="n"/>
      <c r="AO539" s="116" t="n"/>
      <c r="AP539" s="116" t="n"/>
      <c r="AQ539" s="116" t="n"/>
      <c r="AR539" s="116" t="n"/>
      <c r="AS539" s="116" t="n"/>
      <c r="AT539" s="116" t="n"/>
      <c r="AU539" s="116" t="n"/>
      <c r="AV539" s="116" t="n"/>
    </row>
    <row r="540">
      <c r="AI540" s="116" t="n"/>
      <c r="AJ540" s="116" t="n"/>
      <c r="AK540" s="116" t="n"/>
      <c r="AL540" s="116" t="n"/>
      <c r="AM540" s="116" t="n"/>
      <c r="AN540" s="116" t="n"/>
      <c r="AO540" s="116" t="n"/>
      <c r="AP540" s="116" t="n"/>
      <c r="AQ540" s="116" t="n"/>
      <c r="AR540" s="116" t="n"/>
      <c r="AS540" s="116" t="n"/>
      <c r="AT540" s="116" t="n"/>
      <c r="AU540" s="116" t="n"/>
      <c r="AV540" s="116" t="n"/>
    </row>
    <row r="541">
      <c r="AI541" s="116" t="n"/>
      <c r="AJ541" s="116" t="n"/>
      <c r="AK541" s="116" t="n"/>
      <c r="AL541" s="116" t="n"/>
      <c r="AM541" s="116" t="n"/>
      <c r="AN541" s="116" t="n"/>
      <c r="AO541" s="116" t="n"/>
      <c r="AP541" s="116" t="n"/>
      <c r="AQ541" s="116" t="n"/>
      <c r="AR541" s="116" t="n"/>
      <c r="AS541" s="116" t="n"/>
      <c r="AT541" s="116" t="n"/>
      <c r="AU541" s="116" t="n"/>
      <c r="AV541" s="116" t="n"/>
    </row>
    <row r="542">
      <c r="AI542" s="116" t="n"/>
      <c r="AJ542" s="116" t="n"/>
      <c r="AK542" s="116" t="n"/>
      <c r="AL542" s="116" t="n"/>
      <c r="AM542" s="116" t="n"/>
      <c r="AN542" s="116" t="n"/>
      <c r="AO542" s="116" t="n"/>
      <c r="AP542" s="116" t="n"/>
      <c r="AQ542" s="116" t="n"/>
      <c r="AR542" s="116" t="n"/>
      <c r="AS542" s="116" t="n"/>
      <c r="AT542" s="116" t="n"/>
      <c r="AU542" s="116" t="n"/>
      <c r="AV542" s="116" t="n"/>
    </row>
    <row r="543">
      <c r="AI543" s="116" t="n"/>
      <c r="AJ543" s="116" t="n"/>
      <c r="AK543" s="116" t="n"/>
      <c r="AL543" s="116" t="n"/>
      <c r="AM543" s="116" t="n"/>
      <c r="AN543" s="116" t="n"/>
      <c r="AO543" s="116" t="n"/>
      <c r="AP543" s="116" t="n"/>
      <c r="AQ543" s="116" t="n"/>
      <c r="AR543" s="116" t="n"/>
      <c r="AS543" s="116" t="n"/>
      <c r="AT543" s="116" t="n"/>
      <c r="AU543" s="116" t="n"/>
      <c r="AV543" s="116" t="n"/>
    </row>
    <row r="544">
      <c r="AI544" s="116" t="n"/>
      <c r="AJ544" s="116" t="n"/>
      <c r="AK544" s="116" t="n"/>
      <c r="AL544" s="116" t="n"/>
      <c r="AM544" s="116" t="n"/>
      <c r="AN544" s="116" t="n"/>
      <c r="AO544" s="116" t="n"/>
      <c r="AP544" s="116" t="n"/>
      <c r="AQ544" s="116" t="n"/>
      <c r="AR544" s="116" t="n"/>
      <c r="AS544" s="116" t="n"/>
      <c r="AT544" s="116" t="n"/>
      <c r="AU544" s="116" t="n"/>
      <c r="AV544" s="116" t="n"/>
    </row>
    <row r="545">
      <c r="AI545" s="116" t="n"/>
      <c r="AJ545" s="116" t="n"/>
      <c r="AK545" s="116" t="n"/>
      <c r="AL545" s="116" t="n"/>
      <c r="AM545" s="116" t="n"/>
      <c r="AN545" s="116" t="n"/>
      <c r="AO545" s="116" t="n"/>
      <c r="AP545" s="116" t="n"/>
      <c r="AQ545" s="116" t="n"/>
      <c r="AR545" s="116" t="n"/>
      <c r="AS545" s="116" t="n"/>
      <c r="AT545" s="116" t="n"/>
      <c r="AU545" s="116" t="n"/>
      <c r="AV545" s="116" t="n"/>
    </row>
    <row r="546">
      <c r="AI546" s="116" t="n"/>
      <c r="AJ546" s="116" t="n"/>
      <c r="AK546" s="116" t="n"/>
      <c r="AL546" s="116" t="n"/>
      <c r="AM546" s="116" t="n"/>
      <c r="AN546" s="116" t="n"/>
      <c r="AO546" s="116" t="n"/>
      <c r="AP546" s="116" t="n"/>
      <c r="AQ546" s="116" t="n"/>
      <c r="AR546" s="116" t="n"/>
      <c r="AS546" s="116" t="n"/>
      <c r="AT546" s="116" t="n"/>
      <c r="AU546" s="116" t="n"/>
      <c r="AV546" s="116" t="n"/>
    </row>
    <row r="547">
      <c r="AI547" s="116" t="n"/>
      <c r="AJ547" s="116" t="n"/>
      <c r="AK547" s="116" t="n"/>
      <c r="AL547" s="116" t="n"/>
      <c r="AM547" s="116" t="n"/>
      <c r="AN547" s="116" t="n"/>
      <c r="AO547" s="116" t="n"/>
      <c r="AP547" s="116" t="n"/>
      <c r="AQ547" s="116" t="n"/>
      <c r="AR547" s="116" t="n"/>
      <c r="AS547" s="116" t="n"/>
      <c r="AT547" s="116" t="n"/>
      <c r="AU547" s="116" t="n"/>
      <c r="AV547" s="116" t="n"/>
    </row>
    <row r="548">
      <c r="AI548" s="116" t="n"/>
      <c r="AJ548" s="116" t="n"/>
      <c r="AK548" s="116" t="n"/>
      <c r="AL548" s="116" t="n"/>
      <c r="AM548" s="116" t="n"/>
      <c r="AN548" s="116" t="n"/>
      <c r="AO548" s="116" t="n"/>
      <c r="AP548" s="116" t="n"/>
      <c r="AQ548" s="116" t="n"/>
      <c r="AR548" s="116" t="n"/>
      <c r="AS548" s="116" t="n"/>
      <c r="AT548" s="116" t="n"/>
      <c r="AU548" s="116" t="n"/>
      <c r="AV548" s="116" t="n"/>
    </row>
    <row r="549">
      <c r="AI549" s="116" t="n"/>
      <c r="AJ549" s="116" t="n"/>
      <c r="AK549" s="116" t="n"/>
      <c r="AL549" s="116" t="n"/>
      <c r="AM549" s="116" t="n"/>
      <c r="AN549" s="116" t="n"/>
      <c r="AO549" s="116" t="n"/>
      <c r="AP549" s="116" t="n"/>
      <c r="AQ549" s="116" t="n"/>
      <c r="AR549" s="116" t="n"/>
      <c r="AS549" s="116" t="n"/>
      <c r="AT549" s="116" t="n"/>
      <c r="AU549" s="116" t="n"/>
      <c r="AV549" s="116" t="n"/>
    </row>
    <row r="550">
      <c r="AI550" s="116" t="n"/>
      <c r="AJ550" s="116" t="n"/>
      <c r="AK550" s="116" t="n"/>
      <c r="AL550" s="116" t="n"/>
      <c r="AM550" s="116" t="n"/>
      <c r="AN550" s="116" t="n"/>
      <c r="AO550" s="116" t="n"/>
      <c r="AP550" s="116" t="n"/>
      <c r="AQ550" s="116" t="n"/>
      <c r="AR550" s="116" t="n"/>
      <c r="AS550" s="116" t="n"/>
      <c r="AT550" s="116" t="n"/>
      <c r="AU550" s="116" t="n"/>
      <c r="AV550" s="116" t="n"/>
    </row>
    <row r="551">
      <c r="AI551" s="116" t="n"/>
      <c r="AJ551" s="116" t="n"/>
      <c r="AK551" s="116" t="n"/>
      <c r="AL551" s="116" t="n"/>
      <c r="AM551" s="116" t="n"/>
      <c r="AN551" s="116" t="n"/>
      <c r="AO551" s="116" t="n"/>
      <c r="AP551" s="116" t="n"/>
      <c r="AQ551" s="116" t="n"/>
      <c r="AR551" s="116" t="n"/>
      <c r="AS551" s="116" t="n"/>
      <c r="AT551" s="116" t="n"/>
      <c r="AU551" s="116" t="n"/>
      <c r="AV551" s="116" t="n"/>
    </row>
    <row r="552">
      <c r="AI552" s="116" t="n"/>
      <c r="AJ552" s="116" t="n"/>
      <c r="AK552" s="116" t="n"/>
      <c r="AL552" s="116" t="n"/>
      <c r="AM552" s="116" t="n"/>
      <c r="AN552" s="116" t="n"/>
      <c r="AO552" s="116" t="n"/>
      <c r="AP552" s="116" t="n"/>
      <c r="AQ552" s="116" t="n"/>
      <c r="AR552" s="116" t="n"/>
      <c r="AS552" s="116" t="n"/>
      <c r="AT552" s="116" t="n"/>
      <c r="AU552" s="116" t="n"/>
      <c r="AV552" s="116" t="n"/>
    </row>
    <row r="553">
      <c r="AI553" s="116" t="n"/>
      <c r="AJ553" s="116" t="n"/>
      <c r="AK553" s="116" t="n"/>
      <c r="AL553" s="116" t="n"/>
      <c r="AM553" s="116" t="n"/>
      <c r="AN553" s="116" t="n"/>
      <c r="AO553" s="116" t="n"/>
      <c r="AP553" s="116" t="n"/>
      <c r="AQ553" s="116" t="n"/>
      <c r="AR553" s="116" t="n"/>
      <c r="AS553" s="116" t="n"/>
      <c r="AT553" s="116" t="n"/>
      <c r="AU553" s="116" t="n"/>
      <c r="AV553" s="116" t="n"/>
    </row>
    <row r="554">
      <c r="AI554" s="116" t="n"/>
      <c r="AJ554" s="116" t="n"/>
      <c r="AK554" s="116" t="n"/>
      <c r="AL554" s="116" t="n"/>
      <c r="AM554" s="116" t="n"/>
      <c r="AN554" s="116" t="n"/>
      <c r="AO554" s="116" t="n"/>
      <c r="AP554" s="116" t="n"/>
      <c r="AQ554" s="116" t="n"/>
      <c r="AR554" s="116" t="n"/>
      <c r="AS554" s="116" t="n"/>
      <c r="AT554" s="116" t="n"/>
      <c r="AU554" s="116" t="n"/>
      <c r="AV554" s="116" t="n"/>
    </row>
    <row r="555">
      <c r="AI555" s="116" t="n"/>
      <c r="AJ555" s="116" t="n"/>
      <c r="AK555" s="116" t="n"/>
      <c r="AL555" s="116" t="n"/>
      <c r="AM555" s="116" t="n"/>
      <c r="AN555" s="116" t="n"/>
      <c r="AO555" s="116" t="n"/>
      <c r="AP555" s="116" t="n"/>
      <c r="AQ555" s="116" t="n"/>
      <c r="AR555" s="116" t="n"/>
      <c r="AS555" s="116" t="n"/>
      <c r="AT555" s="116" t="n"/>
      <c r="AU555" s="116" t="n"/>
      <c r="AV555" s="116" t="n"/>
    </row>
    <row r="556">
      <c r="AI556" s="116" t="n"/>
      <c r="AJ556" s="116" t="n"/>
      <c r="AK556" s="116" t="n"/>
      <c r="AL556" s="116" t="n"/>
      <c r="AM556" s="116" t="n"/>
      <c r="AN556" s="116" t="n"/>
      <c r="AO556" s="116" t="n"/>
      <c r="AP556" s="116" t="n"/>
      <c r="AQ556" s="116" t="n"/>
      <c r="AR556" s="116" t="n"/>
      <c r="AS556" s="116" t="n"/>
      <c r="AT556" s="116" t="n"/>
      <c r="AU556" s="116" t="n"/>
      <c r="AV556" s="116" t="n"/>
    </row>
    <row r="557">
      <c r="AI557" s="116" t="n"/>
      <c r="AJ557" s="116" t="n"/>
      <c r="AK557" s="116" t="n"/>
      <c r="AL557" s="116" t="n"/>
      <c r="AM557" s="116" t="n"/>
      <c r="AN557" s="116" t="n"/>
      <c r="AO557" s="116" t="n"/>
      <c r="AP557" s="116" t="n"/>
      <c r="AQ557" s="116" t="n"/>
      <c r="AR557" s="116" t="n"/>
      <c r="AS557" s="116" t="n"/>
      <c r="AT557" s="116" t="n"/>
      <c r="AU557" s="116" t="n"/>
      <c r="AV557" s="116" t="n"/>
    </row>
    <row r="558">
      <c r="AI558" s="116" t="n"/>
      <c r="AJ558" s="116" t="n"/>
      <c r="AK558" s="116" t="n"/>
      <c r="AL558" s="116" t="n"/>
      <c r="AM558" s="116" t="n"/>
      <c r="AN558" s="116" t="n"/>
      <c r="AO558" s="116" t="n"/>
      <c r="AP558" s="116" t="n"/>
      <c r="AQ558" s="116" t="n"/>
      <c r="AR558" s="116" t="n"/>
      <c r="AS558" s="116" t="n"/>
      <c r="AT558" s="116" t="n"/>
      <c r="AU558" s="116" t="n"/>
      <c r="AV558" s="116" t="n"/>
    </row>
    <row r="559">
      <c r="AI559" s="116" t="n"/>
      <c r="AJ559" s="116" t="n"/>
      <c r="AK559" s="116" t="n"/>
      <c r="AL559" s="116" t="n"/>
      <c r="AM559" s="116" t="n"/>
      <c r="AN559" s="116" t="n"/>
      <c r="AO559" s="116" t="n"/>
      <c r="AP559" s="116" t="n"/>
      <c r="AQ559" s="116" t="n"/>
      <c r="AR559" s="116" t="n"/>
      <c r="AS559" s="116" t="n"/>
      <c r="AT559" s="116" t="n"/>
      <c r="AU559" s="116" t="n"/>
      <c r="AV559" s="116" t="n"/>
    </row>
    <row r="560">
      <c r="AI560" s="116" t="n"/>
      <c r="AJ560" s="116" t="n"/>
      <c r="AK560" s="116" t="n"/>
      <c r="AL560" s="116" t="n"/>
      <c r="AM560" s="116" t="n"/>
      <c r="AN560" s="116" t="n"/>
      <c r="AO560" s="116" t="n"/>
      <c r="AP560" s="116" t="n"/>
      <c r="AQ560" s="116" t="n"/>
      <c r="AR560" s="116" t="n"/>
      <c r="AS560" s="116" t="n"/>
      <c r="AT560" s="116" t="n"/>
      <c r="AU560" s="116" t="n"/>
      <c r="AV560" s="116" t="n"/>
    </row>
    <row r="561">
      <c r="AI561" s="116" t="n"/>
      <c r="AJ561" s="116" t="n"/>
      <c r="AK561" s="116" t="n"/>
      <c r="AL561" s="116" t="n"/>
      <c r="AM561" s="116" t="n"/>
      <c r="AN561" s="116" t="n"/>
      <c r="AO561" s="116" t="n"/>
      <c r="AP561" s="116" t="n"/>
      <c r="AQ561" s="116" t="n"/>
      <c r="AR561" s="116" t="n"/>
      <c r="AS561" s="116" t="n"/>
      <c r="AT561" s="116" t="n"/>
      <c r="AU561" s="116" t="n"/>
      <c r="AV561" s="116" t="n"/>
    </row>
    <row r="562">
      <c r="AI562" s="116" t="n"/>
      <c r="AJ562" s="116" t="n"/>
      <c r="AK562" s="116" t="n"/>
      <c r="AL562" s="116" t="n"/>
      <c r="AM562" s="116" t="n"/>
      <c r="AN562" s="116" t="n"/>
      <c r="AO562" s="116" t="n"/>
      <c r="AP562" s="116" t="n"/>
      <c r="AQ562" s="116" t="n"/>
      <c r="AR562" s="116" t="n"/>
      <c r="AS562" s="116" t="n"/>
      <c r="AT562" s="116" t="n"/>
      <c r="AU562" s="116" t="n"/>
      <c r="AV562" s="116" t="n"/>
    </row>
    <row r="563">
      <c r="AI563" s="116" t="n"/>
      <c r="AJ563" s="116" t="n"/>
      <c r="AK563" s="116" t="n"/>
      <c r="AL563" s="116" t="n"/>
      <c r="AM563" s="116" t="n"/>
      <c r="AN563" s="116" t="n"/>
      <c r="AO563" s="116" t="n"/>
      <c r="AP563" s="116" t="n"/>
      <c r="AQ563" s="116" t="n"/>
      <c r="AR563" s="116" t="n"/>
      <c r="AS563" s="116" t="n"/>
      <c r="AT563" s="116" t="n"/>
      <c r="AU563" s="116" t="n"/>
      <c r="AV563" s="116" t="n"/>
    </row>
    <row r="564">
      <c r="AI564" s="116" t="n"/>
      <c r="AJ564" s="116" t="n"/>
      <c r="AK564" s="116" t="n"/>
      <c r="AL564" s="116" t="n"/>
      <c r="AM564" s="116" t="n"/>
      <c r="AN564" s="116" t="n"/>
      <c r="AO564" s="116" t="n"/>
      <c r="AP564" s="116" t="n"/>
      <c r="AQ564" s="116" t="n"/>
      <c r="AR564" s="116" t="n"/>
      <c r="AS564" s="116" t="n"/>
      <c r="AT564" s="116" t="n"/>
      <c r="AU564" s="116" t="n"/>
      <c r="AV564" s="116" t="n"/>
    </row>
    <row r="565">
      <c r="AI565" s="116" t="n"/>
      <c r="AJ565" s="116" t="n"/>
      <c r="AK565" s="116" t="n"/>
      <c r="AL565" s="116" t="n"/>
      <c r="AM565" s="116" t="n"/>
      <c r="AN565" s="116" t="n"/>
      <c r="AO565" s="116" t="n"/>
      <c r="AP565" s="116" t="n"/>
      <c r="AQ565" s="116" t="n"/>
      <c r="AR565" s="116" t="n"/>
      <c r="AS565" s="116" t="n"/>
      <c r="AT565" s="116" t="n"/>
      <c r="AU565" s="116" t="n"/>
      <c r="AV565" s="116" t="n"/>
    </row>
    <row r="566">
      <c r="AI566" s="116" t="n"/>
      <c r="AJ566" s="116" t="n"/>
      <c r="AK566" s="116" t="n"/>
      <c r="AL566" s="116" t="n"/>
      <c r="AM566" s="116" t="n"/>
      <c r="AN566" s="116" t="n"/>
      <c r="AO566" s="116" t="n"/>
      <c r="AP566" s="116" t="n"/>
      <c r="AQ566" s="116" t="n"/>
      <c r="AR566" s="116" t="n"/>
      <c r="AS566" s="116" t="n"/>
      <c r="AT566" s="116" t="n"/>
      <c r="AU566" s="116" t="n"/>
      <c r="AV566" s="116" t="n"/>
    </row>
    <row r="567">
      <c r="AI567" s="116" t="n"/>
      <c r="AJ567" s="116" t="n"/>
      <c r="AK567" s="116" t="n"/>
      <c r="AL567" s="116" t="n"/>
      <c r="AM567" s="116" t="n"/>
      <c r="AN567" s="116" t="n"/>
      <c r="AO567" s="116" t="n"/>
      <c r="AP567" s="116" t="n"/>
      <c r="AQ567" s="116" t="n"/>
      <c r="AR567" s="116" t="n"/>
      <c r="AS567" s="116" t="n"/>
      <c r="AT567" s="116" t="n"/>
      <c r="AU567" s="116" t="n"/>
      <c r="AV567" s="116" t="n"/>
    </row>
    <row r="568">
      <c r="AI568" s="116" t="n"/>
      <c r="AJ568" s="116" t="n"/>
      <c r="AK568" s="116" t="n"/>
      <c r="AL568" s="116" t="n"/>
      <c r="AM568" s="116" t="n"/>
      <c r="AN568" s="116" t="n"/>
      <c r="AO568" s="116" t="n"/>
      <c r="AP568" s="116" t="n"/>
      <c r="AQ568" s="116" t="n"/>
      <c r="AR568" s="116" t="n"/>
      <c r="AS568" s="116" t="n"/>
      <c r="AT568" s="116" t="n"/>
      <c r="AU568" s="116" t="n"/>
      <c r="AV568" s="116" t="n"/>
    </row>
    <row r="569">
      <c r="AI569" s="116" t="n"/>
      <c r="AJ569" s="116" t="n"/>
      <c r="AK569" s="116" t="n"/>
      <c r="AL569" s="116" t="n"/>
      <c r="AM569" s="116" t="n"/>
      <c r="AN569" s="116" t="n"/>
      <c r="AO569" s="116" t="n"/>
      <c r="AP569" s="116" t="n"/>
      <c r="AQ569" s="116" t="n"/>
      <c r="AR569" s="116" t="n"/>
      <c r="AS569" s="116" t="n"/>
      <c r="AT569" s="116" t="n"/>
      <c r="AU569" s="116" t="n"/>
      <c r="AV569" s="116" t="n"/>
    </row>
    <row r="570">
      <c r="AI570" s="116" t="n"/>
      <c r="AJ570" s="116" t="n"/>
      <c r="AK570" s="116" t="n"/>
      <c r="AL570" s="116" t="n"/>
      <c r="AM570" s="116" t="n"/>
      <c r="AN570" s="116" t="n"/>
      <c r="AO570" s="116" t="n"/>
      <c r="AP570" s="116" t="n"/>
      <c r="AQ570" s="116" t="n"/>
      <c r="AR570" s="116" t="n"/>
      <c r="AS570" s="116" t="n"/>
      <c r="AT570" s="116" t="n"/>
      <c r="AU570" s="116" t="n"/>
      <c r="AV570" s="116" t="n"/>
    </row>
    <row r="571">
      <c r="AI571" s="116" t="n"/>
      <c r="AJ571" s="116" t="n"/>
      <c r="AK571" s="116" t="n"/>
      <c r="AL571" s="116" t="n"/>
      <c r="AM571" s="116" t="n"/>
      <c r="AN571" s="116" t="n"/>
      <c r="AO571" s="116" t="n"/>
      <c r="AP571" s="116" t="n"/>
      <c r="AQ571" s="116" t="n"/>
      <c r="AR571" s="116" t="n"/>
      <c r="AS571" s="116" t="n"/>
      <c r="AT571" s="116" t="n"/>
      <c r="AU571" s="116" t="n"/>
      <c r="AV571" s="116" t="n"/>
    </row>
    <row r="572">
      <c r="AI572" s="116" t="n"/>
      <c r="AJ572" s="116" t="n"/>
      <c r="AK572" s="116" t="n"/>
      <c r="AL572" s="116" t="n"/>
      <c r="AM572" s="116" t="n"/>
      <c r="AN572" s="116" t="n"/>
      <c r="AO572" s="116" t="n"/>
      <c r="AP572" s="116" t="n"/>
      <c r="AQ572" s="116" t="n"/>
      <c r="AR572" s="116" t="n"/>
      <c r="AS572" s="116" t="n"/>
      <c r="AT572" s="116" t="n"/>
      <c r="AU572" s="116" t="n"/>
      <c r="AV572" s="116" t="n"/>
    </row>
    <row r="573">
      <c r="AI573" s="116" t="n"/>
      <c r="AJ573" s="116" t="n"/>
      <c r="AK573" s="116" t="n"/>
      <c r="AL573" s="116" t="n"/>
      <c r="AM573" s="116" t="n"/>
      <c r="AN573" s="116" t="n"/>
      <c r="AO573" s="116" t="n"/>
      <c r="AP573" s="116" t="n"/>
      <c r="AQ573" s="116" t="n"/>
      <c r="AR573" s="116" t="n"/>
      <c r="AS573" s="116" t="n"/>
      <c r="AT573" s="116" t="n"/>
      <c r="AU573" s="116" t="n"/>
      <c r="AV573" s="116" t="n"/>
    </row>
    <row r="574">
      <c r="AI574" s="116" t="n"/>
      <c r="AJ574" s="116" t="n"/>
      <c r="AK574" s="116" t="n"/>
      <c r="AL574" s="116" t="n"/>
      <c r="AM574" s="116" t="n"/>
      <c r="AN574" s="116" t="n"/>
      <c r="AO574" s="116" t="n"/>
      <c r="AP574" s="116" t="n"/>
      <c r="AQ574" s="116" t="n"/>
      <c r="AR574" s="116" t="n"/>
      <c r="AS574" s="116" t="n"/>
      <c r="AT574" s="116" t="n"/>
      <c r="AU574" s="116" t="n"/>
      <c r="AV574" s="116" t="n"/>
    </row>
    <row r="575">
      <c r="AI575" s="116" t="n"/>
      <c r="AJ575" s="116" t="n"/>
      <c r="AK575" s="116" t="n"/>
      <c r="AL575" s="116" t="n"/>
      <c r="AM575" s="116" t="n"/>
      <c r="AN575" s="116" t="n"/>
      <c r="AO575" s="116" t="n"/>
      <c r="AP575" s="116" t="n"/>
      <c r="AQ575" s="116" t="n"/>
      <c r="AR575" s="116" t="n"/>
      <c r="AS575" s="116" t="n"/>
      <c r="AT575" s="116" t="n"/>
      <c r="AU575" s="116" t="n"/>
      <c r="AV575" s="116" t="n"/>
    </row>
    <row r="576">
      <c r="AI576" s="116" t="n"/>
      <c r="AJ576" s="116" t="n"/>
      <c r="AK576" s="116" t="n"/>
      <c r="AL576" s="116" t="n"/>
      <c r="AM576" s="116" t="n"/>
      <c r="AN576" s="116" t="n"/>
      <c r="AO576" s="116" t="n"/>
      <c r="AP576" s="116" t="n"/>
      <c r="AQ576" s="116" t="n"/>
      <c r="AR576" s="116" t="n"/>
      <c r="AS576" s="116" t="n"/>
      <c r="AT576" s="116" t="n"/>
      <c r="AU576" s="116" t="n"/>
      <c r="AV576" s="116" t="n"/>
    </row>
    <row r="577">
      <c r="AI577" s="116" t="n"/>
      <c r="AJ577" s="116" t="n"/>
      <c r="AK577" s="116" t="n"/>
      <c r="AL577" s="116" t="n"/>
      <c r="AM577" s="116" t="n"/>
      <c r="AN577" s="116" t="n"/>
      <c r="AO577" s="116" t="n"/>
      <c r="AP577" s="116" t="n"/>
      <c r="AQ577" s="116" t="n"/>
      <c r="AR577" s="116" t="n"/>
      <c r="AS577" s="116" t="n"/>
      <c r="AT577" s="116" t="n"/>
      <c r="AU577" s="116" t="n"/>
      <c r="AV577" s="116" t="n"/>
    </row>
    <row r="578">
      <c r="AI578" s="116" t="n"/>
      <c r="AJ578" s="116" t="n"/>
      <c r="AK578" s="116" t="n"/>
      <c r="AL578" s="116" t="n"/>
      <c r="AM578" s="116" t="n"/>
      <c r="AN578" s="116" t="n"/>
      <c r="AO578" s="116" t="n"/>
      <c r="AP578" s="116" t="n"/>
      <c r="AQ578" s="116" t="n"/>
      <c r="AR578" s="116" t="n"/>
      <c r="AS578" s="116" t="n"/>
      <c r="AT578" s="116" t="n"/>
      <c r="AU578" s="116" t="n"/>
      <c r="AV578" s="116" t="n"/>
    </row>
    <row r="579">
      <c r="AI579" s="116" t="n"/>
      <c r="AJ579" s="116" t="n"/>
      <c r="AK579" s="116" t="n"/>
      <c r="AL579" s="116" t="n"/>
      <c r="AM579" s="116" t="n"/>
      <c r="AN579" s="116" t="n"/>
      <c r="AO579" s="116" t="n"/>
      <c r="AP579" s="116" t="n"/>
      <c r="AQ579" s="116" t="n"/>
      <c r="AR579" s="116" t="n"/>
      <c r="AS579" s="116" t="n"/>
      <c r="AT579" s="116" t="n"/>
      <c r="AU579" s="116" t="n"/>
      <c r="AV579" s="116" t="n"/>
    </row>
    <row r="580">
      <c r="AI580" s="116" t="n"/>
      <c r="AJ580" s="116" t="n"/>
      <c r="AK580" s="116" t="n"/>
      <c r="AL580" s="116" t="n"/>
      <c r="AM580" s="116" t="n"/>
      <c r="AN580" s="116" t="n"/>
      <c r="AO580" s="116" t="n"/>
      <c r="AP580" s="116" t="n"/>
      <c r="AQ580" s="116" t="n"/>
      <c r="AR580" s="116" t="n"/>
      <c r="AS580" s="116" t="n"/>
      <c r="AT580" s="116" t="n"/>
      <c r="AU580" s="116" t="n"/>
      <c r="AV580" s="116" t="n"/>
    </row>
    <row r="581">
      <c r="AI581" s="116" t="n"/>
      <c r="AJ581" s="116" t="n"/>
      <c r="AK581" s="116" t="n"/>
      <c r="AL581" s="116" t="n"/>
      <c r="AM581" s="116" t="n"/>
      <c r="AN581" s="116" t="n"/>
      <c r="AO581" s="116" t="n"/>
      <c r="AP581" s="116" t="n"/>
      <c r="AQ581" s="116" t="n"/>
      <c r="AR581" s="116" t="n"/>
      <c r="AS581" s="116" t="n"/>
      <c r="AT581" s="116" t="n"/>
      <c r="AU581" s="116" t="n"/>
      <c r="AV581" s="116" t="n"/>
    </row>
    <row r="582">
      <c r="AI582" s="116" t="n"/>
      <c r="AJ582" s="116" t="n"/>
      <c r="AK582" s="116" t="n"/>
      <c r="AL582" s="116" t="n"/>
      <c r="AM582" s="116" t="n"/>
      <c r="AN582" s="116" t="n"/>
      <c r="AO582" s="116" t="n"/>
      <c r="AP582" s="116" t="n"/>
      <c r="AQ582" s="116" t="n"/>
      <c r="AR582" s="116" t="n"/>
      <c r="AS582" s="116" t="n"/>
      <c r="AT582" s="116" t="n"/>
      <c r="AU582" s="116" t="n"/>
      <c r="AV582" s="116" t="n"/>
    </row>
    <row r="583">
      <c r="AI583" s="116" t="n"/>
      <c r="AJ583" s="116" t="n"/>
      <c r="AK583" s="116" t="n"/>
      <c r="AL583" s="116" t="n"/>
      <c r="AM583" s="116" t="n"/>
      <c r="AN583" s="116" t="n"/>
      <c r="AO583" s="116" t="n"/>
      <c r="AP583" s="116" t="n"/>
      <c r="AQ583" s="116" t="n"/>
      <c r="AR583" s="116" t="n"/>
      <c r="AS583" s="116" t="n"/>
      <c r="AT583" s="116" t="n"/>
      <c r="AU583" s="116" t="n"/>
      <c r="AV583" s="116" t="n"/>
    </row>
    <row r="584">
      <c r="AI584" s="116" t="n"/>
      <c r="AJ584" s="116" t="n"/>
      <c r="AK584" s="116" t="n"/>
      <c r="AL584" s="116" t="n"/>
      <c r="AM584" s="116" t="n"/>
      <c r="AN584" s="116" t="n"/>
      <c r="AO584" s="116" t="n"/>
      <c r="AP584" s="116" t="n"/>
      <c r="AQ584" s="116" t="n"/>
      <c r="AR584" s="116" t="n"/>
      <c r="AS584" s="116" t="n"/>
      <c r="AT584" s="116" t="n"/>
      <c r="AU584" s="116" t="n"/>
      <c r="AV584" s="116" t="n"/>
    </row>
    <row r="585">
      <c r="AI585" s="116" t="n"/>
      <c r="AJ585" s="116" t="n"/>
      <c r="AK585" s="116" t="n"/>
      <c r="AL585" s="116" t="n"/>
      <c r="AM585" s="116" t="n"/>
      <c r="AN585" s="116" t="n"/>
      <c r="AO585" s="116" t="n"/>
      <c r="AP585" s="116" t="n"/>
      <c r="AQ585" s="116" t="n"/>
      <c r="AR585" s="116" t="n"/>
      <c r="AS585" s="116" t="n"/>
      <c r="AT585" s="116" t="n"/>
      <c r="AU585" s="116" t="n"/>
      <c r="AV585" s="116" t="n"/>
    </row>
    <row r="586">
      <c r="AI586" s="116" t="n"/>
      <c r="AJ586" s="116" t="n"/>
      <c r="AK586" s="116" t="n"/>
      <c r="AL586" s="116" t="n"/>
      <c r="AM586" s="116" t="n"/>
      <c r="AN586" s="116" t="n"/>
      <c r="AO586" s="116" t="n"/>
      <c r="AP586" s="116" t="n"/>
      <c r="AQ586" s="116" t="n"/>
      <c r="AR586" s="116" t="n"/>
      <c r="AS586" s="116" t="n"/>
      <c r="AT586" s="116" t="n"/>
      <c r="AU586" s="116" t="n"/>
      <c r="AV586" s="116" t="n"/>
    </row>
    <row r="587">
      <c r="AI587" s="116" t="n"/>
      <c r="AJ587" s="116" t="n"/>
      <c r="AK587" s="116" t="n"/>
      <c r="AL587" s="116" t="n"/>
      <c r="AM587" s="116" t="n"/>
      <c r="AN587" s="116" t="n"/>
      <c r="AO587" s="116" t="n"/>
      <c r="AP587" s="116" t="n"/>
      <c r="AQ587" s="116" t="n"/>
      <c r="AR587" s="116" t="n"/>
      <c r="AS587" s="116" t="n"/>
      <c r="AT587" s="116" t="n"/>
      <c r="AU587" s="116" t="n"/>
      <c r="AV587" s="116" t="n"/>
    </row>
    <row r="588">
      <c r="AI588" s="116" t="n"/>
      <c r="AJ588" s="116" t="n"/>
      <c r="AK588" s="116" t="n"/>
      <c r="AL588" s="116" t="n"/>
      <c r="AM588" s="116" t="n"/>
      <c r="AN588" s="116" t="n"/>
      <c r="AO588" s="116" t="n"/>
      <c r="AP588" s="116" t="n"/>
      <c r="AQ588" s="116" t="n"/>
      <c r="AR588" s="116" t="n"/>
      <c r="AS588" s="116" t="n"/>
      <c r="AT588" s="116" t="n"/>
      <c r="AU588" s="116" t="n"/>
      <c r="AV588" s="116" t="n"/>
    </row>
    <row r="589">
      <c r="AI589" s="116" t="n"/>
      <c r="AJ589" s="116" t="n"/>
      <c r="AK589" s="116" t="n"/>
      <c r="AL589" s="116" t="n"/>
      <c r="AM589" s="116" t="n"/>
      <c r="AN589" s="116" t="n"/>
      <c r="AO589" s="116" t="n"/>
      <c r="AP589" s="116" t="n"/>
      <c r="AQ589" s="116" t="n"/>
      <c r="AR589" s="116" t="n"/>
      <c r="AS589" s="116" t="n"/>
      <c r="AT589" s="116" t="n"/>
      <c r="AU589" s="116" t="n"/>
      <c r="AV589" s="116" t="n"/>
    </row>
    <row r="590">
      <c r="AI590" s="116" t="n"/>
      <c r="AJ590" s="116" t="n"/>
      <c r="AK590" s="116" t="n"/>
      <c r="AL590" s="116" t="n"/>
      <c r="AM590" s="116" t="n"/>
      <c r="AN590" s="116" t="n"/>
      <c r="AO590" s="116" t="n"/>
      <c r="AP590" s="116" t="n"/>
      <c r="AQ590" s="116" t="n"/>
      <c r="AR590" s="116" t="n"/>
      <c r="AS590" s="116" t="n"/>
      <c r="AT590" s="116" t="n"/>
      <c r="AU590" s="116" t="n"/>
      <c r="AV590" s="116" t="n"/>
    </row>
    <row r="591">
      <c r="AI591" s="116" t="n"/>
      <c r="AJ591" s="116" t="n"/>
      <c r="AK591" s="116" t="n"/>
      <c r="AL591" s="116" t="n"/>
      <c r="AM591" s="116" t="n"/>
      <c r="AN591" s="116" t="n"/>
      <c r="AO591" s="116" t="n"/>
      <c r="AP591" s="116" t="n"/>
      <c r="AQ591" s="116" t="n"/>
      <c r="AR591" s="116" t="n"/>
      <c r="AS591" s="116" t="n"/>
      <c r="AT591" s="116" t="n"/>
      <c r="AU591" s="116" t="n"/>
      <c r="AV591" s="116" t="n"/>
    </row>
    <row r="592">
      <c r="AI592" s="116" t="n"/>
      <c r="AJ592" s="116" t="n"/>
      <c r="AK592" s="116" t="n"/>
      <c r="AL592" s="116" t="n"/>
      <c r="AM592" s="116" t="n"/>
      <c r="AN592" s="116" t="n"/>
      <c r="AO592" s="116" t="n"/>
      <c r="AP592" s="116" t="n"/>
      <c r="AQ592" s="116" t="n"/>
      <c r="AR592" s="116" t="n"/>
      <c r="AS592" s="116" t="n"/>
      <c r="AT592" s="116" t="n"/>
      <c r="AU592" s="116" t="n"/>
      <c r="AV592" s="116" t="n"/>
    </row>
    <row r="593">
      <c r="AI593" s="116" t="n"/>
      <c r="AJ593" s="116" t="n"/>
      <c r="AK593" s="116" t="n"/>
      <c r="AL593" s="116" t="n"/>
      <c r="AM593" s="116" t="n"/>
      <c r="AN593" s="116" t="n"/>
      <c r="AO593" s="116" t="n"/>
      <c r="AP593" s="116" t="n"/>
      <c r="AQ593" s="116" t="n"/>
      <c r="AR593" s="116" t="n"/>
      <c r="AS593" s="116" t="n"/>
      <c r="AT593" s="116" t="n"/>
      <c r="AU593" s="116" t="n"/>
      <c r="AV593" s="116" t="n"/>
    </row>
    <row r="594">
      <c r="AI594" s="116" t="n"/>
      <c r="AJ594" s="116" t="n"/>
      <c r="AK594" s="116" t="n"/>
      <c r="AL594" s="116" t="n"/>
      <c r="AM594" s="116" t="n"/>
      <c r="AN594" s="116" t="n"/>
      <c r="AO594" s="116" t="n"/>
      <c r="AP594" s="116" t="n"/>
      <c r="AQ594" s="116" t="n"/>
      <c r="AR594" s="116" t="n"/>
      <c r="AS594" s="116" t="n"/>
      <c r="AT594" s="116" t="n"/>
      <c r="AU594" s="116" t="n"/>
      <c r="AV594" s="116" t="n"/>
    </row>
    <row r="595">
      <c r="AI595" s="116" t="n"/>
      <c r="AJ595" s="116" t="n"/>
      <c r="AK595" s="116" t="n"/>
      <c r="AL595" s="116" t="n"/>
      <c r="AM595" s="116" t="n"/>
      <c r="AN595" s="116" t="n"/>
      <c r="AO595" s="116" t="n"/>
      <c r="AP595" s="116" t="n"/>
      <c r="AQ595" s="116" t="n"/>
      <c r="AR595" s="116" t="n"/>
      <c r="AS595" s="116" t="n"/>
      <c r="AT595" s="116" t="n"/>
      <c r="AU595" s="116" t="n"/>
      <c r="AV595" s="116" t="n"/>
    </row>
    <row r="596">
      <c r="AI596" s="116" t="n"/>
      <c r="AJ596" s="116" t="n"/>
      <c r="AK596" s="116" t="n"/>
      <c r="AL596" s="116" t="n"/>
      <c r="AM596" s="116" t="n"/>
      <c r="AN596" s="116" t="n"/>
      <c r="AO596" s="116" t="n"/>
      <c r="AP596" s="116" t="n"/>
      <c r="AQ596" s="116" t="n"/>
      <c r="AR596" s="116" t="n"/>
      <c r="AS596" s="116" t="n"/>
      <c r="AT596" s="116" t="n"/>
      <c r="AU596" s="116" t="n"/>
      <c r="AV596" s="116" t="n"/>
    </row>
    <row r="597">
      <c r="AI597" s="116" t="n"/>
      <c r="AJ597" s="116" t="n"/>
      <c r="AK597" s="116" t="n"/>
      <c r="AL597" s="116" t="n"/>
      <c r="AM597" s="116" t="n"/>
      <c r="AN597" s="116" t="n"/>
      <c r="AO597" s="116" t="n"/>
      <c r="AP597" s="116" t="n"/>
      <c r="AQ597" s="116" t="n"/>
      <c r="AR597" s="116" t="n"/>
      <c r="AS597" s="116" t="n"/>
      <c r="AT597" s="116" t="n"/>
      <c r="AU597" s="116" t="n"/>
      <c r="AV597" s="116" t="n"/>
    </row>
    <row r="598">
      <c r="AI598" s="116" t="n"/>
      <c r="AJ598" s="116" t="n"/>
      <c r="AK598" s="116" t="n"/>
      <c r="AL598" s="116" t="n"/>
      <c r="AM598" s="116" t="n"/>
      <c r="AN598" s="116" t="n"/>
      <c r="AO598" s="116" t="n"/>
      <c r="AP598" s="116" t="n"/>
      <c r="AQ598" s="116" t="n"/>
      <c r="AR598" s="116" t="n"/>
      <c r="AS598" s="116" t="n"/>
      <c r="AT598" s="116" t="n"/>
      <c r="AU598" s="116" t="n"/>
      <c r="AV598" s="116" t="n"/>
    </row>
    <row r="599">
      <c r="AI599" s="116" t="n"/>
      <c r="AJ599" s="116" t="n"/>
      <c r="AK599" s="116" t="n"/>
      <c r="AL599" s="116" t="n"/>
      <c r="AM599" s="116" t="n"/>
      <c r="AN599" s="116" t="n"/>
      <c r="AO599" s="116" t="n"/>
      <c r="AP599" s="116" t="n"/>
      <c r="AQ599" s="116" t="n"/>
      <c r="AR599" s="116" t="n"/>
      <c r="AS599" s="116" t="n"/>
      <c r="AT599" s="116" t="n"/>
      <c r="AU599" s="116" t="n"/>
      <c r="AV599" s="116" t="n"/>
    </row>
    <row r="600">
      <c r="AI600" s="116" t="n"/>
      <c r="AJ600" s="116" t="n"/>
      <c r="AK600" s="116" t="n"/>
      <c r="AL600" s="116" t="n"/>
      <c r="AM600" s="116" t="n"/>
      <c r="AN600" s="116" t="n"/>
      <c r="AO600" s="116" t="n"/>
      <c r="AP600" s="116" t="n"/>
      <c r="AQ600" s="116" t="n"/>
      <c r="AR600" s="116" t="n"/>
      <c r="AS600" s="116" t="n"/>
      <c r="AT600" s="116" t="n"/>
      <c r="AU600" s="116" t="n"/>
      <c r="AV600" s="116" t="n"/>
    </row>
    <row r="601">
      <c r="AI601" s="116" t="n"/>
      <c r="AJ601" s="116" t="n"/>
      <c r="AK601" s="116" t="n"/>
      <c r="AL601" s="116" t="n"/>
      <c r="AM601" s="116" t="n"/>
      <c r="AN601" s="116" t="n"/>
      <c r="AO601" s="116" t="n"/>
      <c r="AP601" s="116" t="n"/>
      <c r="AQ601" s="116" t="n"/>
      <c r="AR601" s="116" t="n"/>
      <c r="AS601" s="116" t="n"/>
      <c r="AT601" s="116" t="n"/>
      <c r="AU601" s="116" t="n"/>
      <c r="AV601" s="116" t="n"/>
    </row>
    <row r="602">
      <c r="AI602" s="116" t="n"/>
      <c r="AJ602" s="116" t="n"/>
      <c r="AK602" s="116" t="n"/>
      <c r="AL602" s="116" t="n"/>
      <c r="AM602" s="116" t="n"/>
      <c r="AN602" s="116" t="n"/>
      <c r="AO602" s="116" t="n"/>
      <c r="AP602" s="116" t="n"/>
      <c r="AQ602" s="116" t="n"/>
      <c r="AR602" s="116" t="n"/>
      <c r="AS602" s="116" t="n"/>
      <c r="AT602" s="116" t="n"/>
      <c r="AU602" s="116" t="n"/>
      <c r="AV602" s="116" t="n"/>
    </row>
    <row r="603">
      <c r="AI603" s="116" t="n"/>
      <c r="AJ603" s="116" t="n"/>
      <c r="AK603" s="116" t="n"/>
      <c r="AL603" s="116" t="n"/>
      <c r="AM603" s="116" t="n"/>
      <c r="AN603" s="116" t="n"/>
      <c r="AO603" s="116" t="n"/>
      <c r="AP603" s="116" t="n"/>
      <c r="AQ603" s="116" t="n"/>
      <c r="AR603" s="116" t="n"/>
      <c r="AS603" s="116" t="n"/>
      <c r="AT603" s="116" t="n"/>
      <c r="AU603" s="116" t="n"/>
      <c r="AV603" s="116" t="n"/>
    </row>
    <row r="604">
      <c r="AI604" s="116" t="n"/>
      <c r="AJ604" s="116" t="n"/>
      <c r="AK604" s="116" t="n"/>
      <c r="AL604" s="116" t="n"/>
      <c r="AM604" s="116" t="n"/>
      <c r="AN604" s="116" t="n"/>
      <c r="AO604" s="116" t="n"/>
      <c r="AP604" s="116" t="n"/>
      <c r="AQ604" s="116" t="n"/>
      <c r="AR604" s="116" t="n"/>
      <c r="AS604" s="116" t="n"/>
      <c r="AT604" s="116" t="n"/>
      <c r="AU604" s="116" t="n"/>
      <c r="AV604" s="116" t="n"/>
    </row>
    <row r="605">
      <c r="AI605" s="116" t="n"/>
      <c r="AJ605" s="116" t="n"/>
      <c r="AK605" s="116" t="n"/>
      <c r="AL605" s="116" t="n"/>
      <c r="AM605" s="116" t="n"/>
      <c r="AN605" s="116" t="n"/>
      <c r="AO605" s="116" t="n"/>
      <c r="AP605" s="116" t="n"/>
      <c r="AQ605" s="116" t="n"/>
      <c r="AR605" s="116" t="n"/>
      <c r="AS605" s="116" t="n"/>
      <c r="AT605" s="116" t="n"/>
      <c r="AU605" s="116" t="n"/>
      <c r="AV605" s="116" t="n"/>
    </row>
    <row r="606">
      <c r="AI606" s="116" t="n"/>
      <c r="AJ606" s="116" t="n"/>
      <c r="AK606" s="116" t="n"/>
      <c r="AL606" s="116" t="n"/>
      <c r="AM606" s="116" t="n"/>
      <c r="AN606" s="116" t="n"/>
      <c r="AO606" s="116" t="n"/>
      <c r="AP606" s="116" t="n"/>
      <c r="AQ606" s="116" t="n"/>
      <c r="AR606" s="116" t="n"/>
      <c r="AS606" s="116" t="n"/>
      <c r="AT606" s="116" t="n"/>
      <c r="AU606" s="116" t="n"/>
      <c r="AV606" s="116" t="n"/>
    </row>
    <row r="607">
      <c r="AI607" s="116" t="n"/>
      <c r="AJ607" s="116" t="n"/>
      <c r="AK607" s="116" t="n"/>
      <c r="AL607" s="116" t="n"/>
      <c r="AM607" s="116" t="n"/>
      <c r="AN607" s="116" t="n"/>
      <c r="AO607" s="116" t="n"/>
      <c r="AP607" s="116" t="n"/>
      <c r="AQ607" s="116" t="n"/>
      <c r="AR607" s="116" t="n"/>
      <c r="AS607" s="116" t="n"/>
      <c r="AT607" s="116" t="n"/>
      <c r="AU607" s="116" t="n"/>
      <c r="AV607" s="116" t="n"/>
    </row>
    <row r="608">
      <c r="AI608" s="116" t="n"/>
      <c r="AJ608" s="116" t="n"/>
      <c r="AK608" s="116" t="n"/>
      <c r="AL608" s="116" t="n"/>
      <c r="AM608" s="116" t="n"/>
      <c r="AN608" s="116" t="n"/>
      <c r="AO608" s="116" t="n"/>
      <c r="AP608" s="116" t="n"/>
      <c r="AQ608" s="116" t="n"/>
      <c r="AR608" s="116" t="n"/>
      <c r="AS608" s="116" t="n"/>
      <c r="AT608" s="116" t="n"/>
      <c r="AU608" s="116" t="n"/>
      <c r="AV608" s="116" t="n"/>
    </row>
    <row r="609">
      <c r="AI609" s="116" t="n"/>
      <c r="AJ609" s="116" t="n"/>
      <c r="AK609" s="116" t="n"/>
      <c r="AL609" s="116" t="n"/>
      <c r="AM609" s="116" t="n"/>
      <c r="AN609" s="116" t="n"/>
      <c r="AO609" s="116" t="n"/>
      <c r="AP609" s="116" t="n"/>
      <c r="AQ609" s="116" t="n"/>
      <c r="AR609" s="116" t="n"/>
      <c r="AS609" s="116" t="n"/>
      <c r="AT609" s="116" t="n"/>
      <c r="AU609" s="116" t="n"/>
      <c r="AV609" s="116" t="n"/>
    </row>
    <row r="610">
      <c r="AI610" s="116" t="n"/>
      <c r="AJ610" s="116" t="n"/>
      <c r="AK610" s="116" t="n"/>
      <c r="AL610" s="116" t="n"/>
      <c r="AM610" s="116" t="n"/>
      <c r="AN610" s="116" t="n"/>
      <c r="AO610" s="116" t="n"/>
      <c r="AP610" s="116" t="n"/>
      <c r="AQ610" s="116" t="n"/>
      <c r="AR610" s="116" t="n"/>
      <c r="AS610" s="116" t="n"/>
      <c r="AT610" s="116" t="n"/>
      <c r="AU610" s="116" t="n"/>
      <c r="AV610" s="116" t="n"/>
    </row>
    <row r="611">
      <c r="AI611" s="116" t="n"/>
      <c r="AJ611" s="116" t="n"/>
      <c r="AK611" s="116" t="n"/>
      <c r="AL611" s="116" t="n"/>
      <c r="AM611" s="116" t="n"/>
      <c r="AN611" s="116" t="n"/>
      <c r="AO611" s="116" t="n"/>
      <c r="AP611" s="116" t="n"/>
      <c r="AQ611" s="116" t="n"/>
      <c r="AR611" s="116" t="n"/>
      <c r="AS611" s="116" t="n"/>
      <c r="AT611" s="116" t="n"/>
      <c r="AU611" s="116" t="n"/>
      <c r="AV611" s="116" t="n"/>
    </row>
    <row r="612">
      <c r="AI612" s="116" t="n"/>
      <c r="AJ612" s="116" t="n"/>
      <c r="AK612" s="116" t="n"/>
      <c r="AL612" s="116" t="n"/>
      <c r="AM612" s="116" t="n"/>
      <c r="AN612" s="116" t="n"/>
      <c r="AO612" s="116" t="n"/>
      <c r="AP612" s="116" t="n"/>
      <c r="AQ612" s="116" t="n"/>
      <c r="AR612" s="116" t="n"/>
      <c r="AS612" s="116" t="n"/>
      <c r="AT612" s="116" t="n"/>
      <c r="AU612" s="116" t="n"/>
      <c r="AV612" s="116" t="n"/>
    </row>
    <row r="613">
      <c r="AI613" s="116" t="n"/>
      <c r="AJ613" s="116" t="n"/>
      <c r="AK613" s="116" t="n"/>
      <c r="AL613" s="116" t="n"/>
      <c r="AM613" s="116" t="n"/>
      <c r="AN613" s="116" t="n"/>
      <c r="AO613" s="116" t="n"/>
      <c r="AP613" s="116" t="n"/>
      <c r="AQ613" s="116" t="n"/>
      <c r="AR613" s="116" t="n"/>
      <c r="AS613" s="116" t="n"/>
      <c r="AT613" s="116" t="n"/>
      <c r="AU613" s="116" t="n"/>
      <c r="AV613" s="116" t="n"/>
    </row>
    <row r="614">
      <c r="AI614" s="116" t="n"/>
      <c r="AJ614" s="116" t="n"/>
      <c r="AK614" s="116" t="n"/>
      <c r="AL614" s="116" t="n"/>
      <c r="AM614" s="116" t="n"/>
      <c r="AN614" s="116" t="n"/>
      <c r="AO614" s="116" t="n"/>
      <c r="AP614" s="116" t="n"/>
      <c r="AQ614" s="116" t="n"/>
      <c r="AR614" s="116" t="n"/>
      <c r="AS614" s="116" t="n"/>
      <c r="AT614" s="116" t="n"/>
      <c r="AU614" s="116" t="n"/>
      <c r="AV614" s="116" t="n"/>
    </row>
    <row r="615">
      <c r="AI615" s="116" t="n"/>
      <c r="AJ615" s="116" t="n"/>
      <c r="AK615" s="116" t="n"/>
      <c r="AL615" s="116" t="n"/>
      <c r="AM615" s="116" t="n"/>
      <c r="AN615" s="116" t="n"/>
      <c r="AO615" s="116" t="n"/>
      <c r="AP615" s="116" t="n"/>
      <c r="AQ615" s="116" t="n"/>
      <c r="AR615" s="116" t="n"/>
      <c r="AS615" s="116" t="n"/>
      <c r="AT615" s="116" t="n"/>
      <c r="AU615" s="116" t="n"/>
      <c r="AV615" s="116" t="n"/>
    </row>
    <row r="616">
      <c r="AI616" s="116" t="n"/>
      <c r="AJ616" s="116" t="n"/>
      <c r="AK616" s="116" t="n"/>
      <c r="AL616" s="116" t="n"/>
      <c r="AM616" s="116" t="n"/>
      <c r="AN616" s="116" t="n"/>
      <c r="AO616" s="116" t="n"/>
      <c r="AP616" s="116" t="n"/>
      <c r="AQ616" s="116" t="n"/>
      <c r="AR616" s="116" t="n"/>
      <c r="AS616" s="116" t="n"/>
      <c r="AT616" s="116" t="n"/>
      <c r="AU616" s="116" t="n"/>
      <c r="AV616" s="116" t="n"/>
    </row>
    <row r="617">
      <c r="AI617" s="116" t="n"/>
      <c r="AJ617" s="116" t="n"/>
      <c r="AK617" s="116" t="n"/>
      <c r="AL617" s="116" t="n"/>
      <c r="AM617" s="116" t="n"/>
      <c r="AN617" s="116" t="n"/>
      <c r="AO617" s="116" t="n"/>
      <c r="AP617" s="116" t="n"/>
      <c r="AQ617" s="116" t="n"/>
      <c r="AR617" s="116" t="n"/>
      <c r="AS617" s="116" t="n"/>
      <c r="AT617" s="116" t="n"/>
      <c r="AU617" s="116" t="n"/>
      <c r="AV617" s="116" t="n"/>
    </row>
    <row r="618">
      <c r="AI618" s="116" t="n"/>
      <c r="AJ618" s="116" t="n"/>
      <c r="AK618" s="116" t="n"/>
      <c r="AL618" s="116" t="n"/>
      <c r="AM618" s="116" t="n"/>
      <c r="AN618" s="116" t="n"/>
      <c r="AO618" s="116" t="n"/>
      <c r="AP618" s="116" t="n"/>
      <c r="AQ618" s="116" t="n"/>
      <c r="AR618" s="116" t="n"/>
      <c r="AS618" s="116" t="n"/>
      <c r="AT618" s="116" t="n"/>
      <c r="AU618" s="116" t="n"/>
      <c r="AV618" s="116" t="n"/>
    </row>
    <row r="619">
      <c r="AI619" s="116" t="n"/>
      <c r="AJ619" s="116" t="n"/>
      <c r="AK619" s="116" t="n"/>
      <c r="AL619" s="116" t="n"/>
      <c r="AM619" s="116" t="n"/>
      <c r="AN619" s="116" t="n"/>
      <c r="AO619" s="116" t="n"/>
      <c r="AP619" s="116" t="n"/>
      <c r="AQ619" s="116" t="n"/>
      <c r="AR619" s="116" t="n"/>
      <c r="AS619" s="116" t="n"/>
      <c r="AT619" s="116" t="n"/>
      <c r="AU619" s="116" t="n"/>
      <c r="AV619" s="116" t="n"/>
    </row>
    <row r="620">
      <c r="AI620" s="116" t="n"/>
      <c r="AJ620" s="116" t="n"/>
      <c r="AK620" s="116" t="n"/>
      <c r="AL620" s="116" t="n"/>
      <c r="AM620" s="116" t="n"/>
      <c r="AN620" s="116" t="n"/>
      <c r="AO620" s="116" t="n"/>
      <c r="AP620" s="116" t="n"/>
      <c r="AQ620" s="116" t="n"/>
      <c r="AR620" s="116" t="n"/>
      <c r="AS620" s="116" t="n"/>
      <c r="AT620" s="116" t="n"/>
      <c r="AU620" s="116" t="n"/>
      <c r="AV620" s="116" t="n"/>
    </row>
    <row r="621">
      <c r="AI621" s="116" t="n"/>
      <c r="AJ621" s="116" t="n"/>
      <c r="AK621" s="116" t="n"/>
      <c r="AL621" s="116" t="n"/>
      <c r="AM621" s="116" t="n"/>
      <c r="AN621" s="116" t="n"/>
      <c r="AO621" s="116" t="n"/>
      <c r="AP621" s="116" t="n"/>
      <c r="AQ621" s="116" t="n"/>
      <c r="AR621" s="116" t="n"/>
      <c r="AS621" s="116" t="n"/>
      <c r="AT621" s="116" t="n"/>
      <c r="AU621" s="116" t="n"/>
      <c r="AV621" s="116" t="n"/>
    </row>
    <row r="622">
      <c r="AI622" s="116" t="n"/>
      <c r="AJ622" s="116" t="n"/>
      <c r="AK622" s="116" t="n"/>
      <c r="AL622" s="116" t="n"/>
      <c r="AM622" s="116" t="n"/>
      <c r="AN622" s="116" t="n"/>
      <c r="AO622" s="116" t="n"/>
      <c r="AP622" s="116" t="n"/>
      <c r="AQ622" s="116" t="n"/>
      <c r="AR622" s="116" t="n"/>
      <c r="AS622" s="116" t="n"/>
      <c r="AT622" s="116" t="n"/>
      <c r="AU622" s="116" t="n"/>
      <c r="AV622" s="116" t="n"/>
    </row>
    <row r="623">
      <c r="AI623" s="116" t="n"/>
      <c r="AJ623" s="116" t="n"/>
      <c r="AK623" s="116" t="n"/>
      <c r="AL623" s="116" t="n"/>
      <c r="AM623" s="116" t="n"/>
      <c r="AN623" s="116" t="n"/>
      <c r="AO623" s="116" t="n"/>
      <c r="AP623" s="116" t="n"/>
      <c r="AQ623" s="116" t="n"/>
      <c r="AR623" s="116" t="n"/>
      <c r="AS623" s="116" t="n"/>
      <c r="AT623" s="116" t="n"/>
      <c r="AU623" s="116" t="n"/>
      <c r="AV623" s="116" t="n"/>
    </row>
    <row r="624">
      <c r="AI624" s="116" t="n"/>
      <c r="AJ624" s="116" t="n"/>
      <c r="AK624" s="116" t="n"/>
      <c r="AL624" s="116" t="n"/>
      <c r="AM624" s="116" t="n"/>
      <c r="AN624" s="116" t="n"/>
      <c r="AO624" s="116" t="n"/>
      <c r="AP624" s="116" t="n"/>
      <c r="AQ624" s="116" t="n"/>
      <c r="AR624" s="116" t="n"/>
      <c r="AS624" s="116" t="n"/>
      <c r="AT624" s="116" t="n"/>
      <c r="AU624" s="116" t="n"/>
      <c r="AV624" s="116" t="n"/>
    </row>
    <row r="625">
      <c r="AI625" s="116" t="n"/>
      <c r="AJ625" s="116" t="n"/>
      <c r="AK625" s="116" t="n"/>
      <c r="AL625" s="116" t="n"/>
      <c r="AM625" s="116" t="n"/>
      <c r="AN625" s="116" t="n"/>
      <c r="AO625" s="116" t="n"/>
      <c r="AP625" s="116" t="n"/>
      <c r="AQ625" s="116" t="n"/>
      <c r="AR625" s="116" t="n"/>
      <c r="AS625" s="116" t="n"/>
      <c r="AT625" s="116" t="n"/>
      <c r="AU625" s="116" t="n"/>
      <c r="AV625" s="116" t="n"/>
    </row>
    <row r="626">
      <c r="AI626" s="116" t="n"/>
      <c r="AJ626" s="116" t="n"/>
      <c r="AK626" s="116" t="n"/>
      <c r="AL626" s="116" t="n"/>
      <c r="AM626" s="116" t="n"/>
      <c r="AN626" s="116" t="n"/>
      <c r="AO626" s="116" t="n"/>
      <c r="AP626" s="116" t="n"/>
      <c r="AQ626" s="116" t="n"/>
      <c r="AR626" s="116" t="n"/>
      <c r="AS626" s="116" t="n"/>
      <c r="AT626" s="116" t="n"/>
      <c r="AU626" s="116" t="n"/>
      <c r="AV626" s="116" t="n"/>
    </row>
    <row r="627">
      <c r="AI627" s="116" t="n"/>
      <c r="AJ627" s="116" t="n"/>
      <c r="AK627" s="116" t="n"/>
      <c r="AL627" s="116" t="n"/>
      <c r="AM627" s="116" t="n"/>
      <c r="AN627" s="116" t="n"/>
      <c r="AO627" s="116" t="n"/>
      <c r="AP627" s="116" t="n"/>
      <c r="AQ627" s="116" t="n"/>
      <c r="AR627" s="116" t="n"/>
      <c r="AS627" s="116" t="n"/>
      <c r="AT627" s="116" t="n"/>
      <c r="AU627" s="116" t="n"/>
      <c r="AV627" s="116" t="n"/>
    </row>
    <row r="628">
      <c r="AI628" s="116" t="n"/>
      <c r="AJ628" s="116" t="n"/>
      <c r="AK628" s="116" t="n"/>
      <c r="AL628" s="116" t="n"/>
      <c r="AM628" s="116" t="n"/>
      <c r="AN628" s="116" t="n"/>
      <c r="AO628" s="116" t="n"/>
      <c r="AP628" s="116" t="n"/>
      <c r="AQ628" s="116" t="n"/>
      <c r="AR628" s="116" t="n"/>
      <c r="AS628" s="116" t="n"/>
      <c r="AT628" s="116" t="n"/>
      <c r="AU628" s="116" t="n"/>
      <c r="AV628" s="116" t="n"/>
    </row>
    <row r="629">
      <c r="AI629" s="116" t="n"/>
      <c r="AJ629" s="116" t="n"/>
      <c r="AK629" s="116" t="n"/>
      <c r="AL629" s="116" t="n"/>
      <c r="AM629" s="116" t="n"/>
      <c r="AN629" s="116" t="n"/>
      <c r="AO629" s="116" t="n"/>
      <c r="AP629" s="116" t="n"/>
      <c r="AQ629" s="116" t="n"/>
      <c r="AR629" s="116" t="n"/>
      <c r="AS629" s="116" t="n"/>
      <c r="AT629" s="116" t="n"/>
      <c r="AU629" s="116" t="n"/>
      <c r="AV629" s="116" t="n"/>
    </row>
    <row r="630">
      <c r="AI630" s="116" t="n"/>
      <c r="AJ630" s="116" t="n"/>
      <c r="AK630" s="116" t="n"/>
      <c r="AL630" s="116" t="n"/>
      <c r="AM630" s="116" t="n"/>
      <c r="AN630" s="116" t="n"/>
      <c r="AO630" s="116" t="n"/>
      <c r="AP630" s="116" t="n"/>
      <c r="AQ630" s="116" t="n"/>
      <c r="AR630" s="116" t="n"/>
      <c r="AS630" s="116" t="n"/>
      <c r="AT630" s="116" t="n"/>
      <c r="AU630" s="116" t="n"/>
      <c r="AV630" s="116" t="n"/>
    </row>
    <row r="631">
      <c r="AI631" s="116" t="n"/>
      <c r="AJ631" s="116" t="n"/>
      <c r="AK631" s="116" t="n"/>
      <c r="AL631" s="116" t="n"/>
      <c r="AM631" s="116" t="n"/>
      <c r="AN631" s="116" t="n"/>
      <c r="AO631" s="116" t="n"/>
      <c r="AP631" s="116" t="n"/>
      <c r="AQ631" s="116" t="n"/>
      <c r="AR631" s="116" t="n"/>
      <c r="AS631" s="116" t="n"/>
      <c r="AT631" s="116" t="n"/>
      <c r="AU631" s="116" t="n"/>
      <c r="AV631" s="116" t="n"/>
    </row>
    <row r="632">
      <c r="AI632" s="116" t="n"/>
      <c r="AJ632" s="116" t="n"/>
      <c r="AK632" s="116" t="n"/>
      <c r="AL632" s="116" t="n"/>
      <c r="AM632" s="116" t="n"/>
      <c r="AN632" s="116" t="n"/>
      <c r="AO632" s="116" t="n"/>
      <c r="AP632" s="116" t="n"/>
      <c r="AQ632" s="116" t="n"/>
      <c r="AR632" s="116" t="n"/>
      <c r="AS632" s="116" t="n"/>
      <c r="AT632" s="116" t="n"/>
      <c r="AU632" s="116" t="n"/>
      <c r="AV632" s="116" t="n"/>
    </row>
    <row r="633">
      <c r="AI633" s="116" t="n"/>
      <c r="AJ633" s="116" t="n"/>
      <c r="AK633" s="116" t="n"/>
      <c r="AL633" s="116" t="n"/>
      <c r="AM633" s="116" t="n"/>
      <c r="AN633" s="116" t="n"/>
      <c r="AO633" s="116" t="n"/>
      <c r="AP633" s="116" t="n"/>
      <c r="AQ633" s="116" t="n"/>
      <c r="AR633" s="116" t="n"/>
      <c r="AS633" s="116" t="n"/>
      <c r="AT633" s="116" t="n"/>
      <c r="AU633" s="116" t="n"/>
      <c r="AV633" s="116" t="n"/>
    </row>
    <row r="634">
      <c r="AI634" s="116" t="n"/>
      <c r="AJ634" s="116" t="n"/>
      <c r="AK634" s="116" t="n"/>
      <c r="AL634" s="116" t="n"/>
      <c r="AM634" s="116" t="n"/>
      <c r="AN634" s="116" t="n"/>
      <c r="AO634" s="116" t="n"/>
      <c r="AP634" s="116" t="n"/>
      <c r="AQ634" s="116" t="n"/>
      <c r="AR634" s="116" t="n"/>
      <c r="AS634" s="116" t="n"/>
      <c r="AT634" s="116" t="n"/>
      <c r="AU634" s="116" t="n"/>
      <c r="AV634" s="116" t="n"/>
    </row>
    <row r="635">
      <c r="AI635" s="116" t="n"/>
      <c r="AJ635" s="116" t="n"/>
      <c r="AK635" s="116" t="n"/>
      <c r="AL635" s="116" t="n"/>
      <c r="AM635" s="116" t="n"/>
      <c r="AN635" s="116" t="n"/>
      <c r="AO635" s="116" t="n"/>
      <c r="AP635" s="116" t="n"/>
      <c r="AQ635" s="116" t="n"/>
      <c r="AR635" s="116" t="n"/>
      <c r="AS635" s="116" t="n"/>
      <c r="AT635" s="116" t="n"/>
      <c r="AU635" s="116" t="n"/>
      <c r="AV635" s="116" t="n"/>
    </row>
    <row r="636">
      <c r="AI636" s="116" t="n"/>
      <c r="AJ636" s="116" t="n"/>
      <c r="AK636" s="116" t="n"/>
      <c r="AL636" s="116" t="n"/>
      <c r="AM636" s="116" t="n"/>
      <c r="AN636" s="116" t="n"/>
      <c r="AO636" s="116" t="n"/>
      <c r="AP636" s="116" t="n"/>
      <c r="AQ636" s="116" t="n"/>
      <c r="AR636" s="116" t="n"/>
      <c r="AS636" s="116" t="n"/>
      <c r="AT636" s="116" t="n"/>
      <c r="AU636" s="116" t="n"/>
      <c r="AV636" s="116" t="n"/>
    </row>
    <row r="637">
      <c r="AI637" s="116" t="n"/>
      <c r="AJ637" s="116" t="n"/>
      <c r="AK637" s="116" t="n"/>
      <c r="AL637" s="116" t="n"/>
      <c r="AM637" s="116" t="n"/>
      <c r="AN637" s="116" t="n"/>
      <c r="AO637" s="116" t="n"/>
      <c r="AP637" s="116" t="n"/>
      <c r="AQ637" s="116" t="n"/>
      <c r="AR637" s="116" t="n"/>
      <c r="AS637" s="116" t="n"/>
      <c r="AT637" s="116" t="n"/>
      <c r="AU637" s="116" t="n"/>
      <c r="AV637" s="116" t="n"/>
    </row>
    <row r="638">
      <c r="AI638" s="116" t="n"/>
      <c r="AJ638" s="116" t="n"/>
      <c r="AK638" s="116" t="n"/>
      <c r="AL638" s="116" t="n"/>
      <c r="AM638" s="116" t="n"/>
      <c r="AN638" s="116" t="n"/>
      <c r="AO638" s="116" t="n"/>
      <c r="AP638" s="116" t="n"/>
      <c r="AQ638" s="116" t="n"/>
      <c r="AR638" s="116" t="n"/>
      <c r="AS638" s="116" t="n"/>
      <c r="AT638" s="116" t="n"/>
      <c r="AU638" s="116" t="n"/>
      <c r="AV638" s="116" t="n"/>
    </row>
    <row r="639">
      <c r="AI639" s="116" t="n"/>
      <c r="AJ639" s="116" t="n"/>
      <c r="AK639" s="116" t="n"/>
      <c r="AL639" s="116" t="n"/>
      <c r="AM639" s="116" t="n"/>
      <c r="AN639" s="116" t="n"/>
      <c r="AO639" s="116" t="n"/>
      <c r="AP639" s="116" t="n"/>
      <c r="AQ639" s="116" t="n"/>
      <c r="AR639" s="116" t="n"/>
      <c r="AS639" s="116" t="n"/>
      <c r="AT639" s="116" t="n"/>
      <c r="AU639" s="116" t="n"/>
      <c r="AV639" s="116" t="n"/>
    </row>
    <row r="640">
      <c r="AI640" s="116" t="n"/>
      <c r="AJ640" s="116" t="n"/>
      <c r="AK640" s="116" t="n"/>
      <c r="AL640" s="116" t="n"/>
      <c r="AM640" s="116" t="n"/>
      <c r="AN640" s="116" t="n"/>
      <c r="AO640" s="116" t="n"/>
      <c r="AP640" s="116" t="n"/>
      <c r="AQ640" s="116" t="n"/>
      <c r="AR640" s="116" t="n"/>
      <c r="AS640" s="116" t="n"/>
      <c r="AT640" s="116" t="n"/>
      <c r="AU640" s="116" t="n"/>
      <c r="AV640" s="116" t="n"/>
    </row>
    <row r="641">
      <c r="AI641" s="116" t="n"/>
      <c r="AJ641" s="116" t="n"/>
      <c r="AK641" s="116" t="n"/>
      <c r="AL641" s="116" t="n"/>
      <c r="AM641" s="116" t="n"/>
      <c r="AN641" s="116" t="n"/>
      <c r="AO641" s="116" t="n"/>
      <c r="AP641" s="116" t="n"/>
      <c r="AQ641" s="116" t="n"/>
      <c r="AR641" s="116" t="n"/>
      <c r="AS641" s="116" t="n"/>
      <c r="AT641" s="116" t="n"/>
      <c r="AU641" s="116" t="n"/>
      <c r="AV641" s="116" t="n"/>
    </row>
    <row r="642">
      <c r="AI642" s="116" t="n"/>
      <c r="AJ642" s="116" t="n"/>
      <c r="AK642" s="116" t="n"/>
      <c r="AL642" s="116" t="n"/>
      <c r="AM642" s="116" t="n"/>
      <c r="AN642" s="116" t="n"/>
      <c r="AO642" s="116" t="n"/>
      <c r="AP642" s="116" t="n"/>
      <c r="AQ642" s="116" t="n"/>
      <c r="AR642" s="116" t="n"/>
      <c r="AS642" s="116" t="n"/>
      <c r="AT642" s="116" t="n"/>
      <c r="AU642" s="116" t="n"/>
      <c r="AV642" s="116" t="n"/>
    </row>
    <row r="643">
      <c r="AI643" s="116" t="n"/>
      <c r="AJ643" s="116" t="n"/>
      <c r="AK643" s="116" t="n"/>
      <c r="AL643" s="116" t="n"/>
      <c r="AM643" s="116" t="n"/>
      <c r="AN643" s="116" t="n"/>
      <c r="AO643" s="116" t="n"/>
      <c r="AP643" s="116" t="n"/>
      <c r="AQ643" s="116" t="n"/>
      <c r="AR643" s="116" t="n"/>
      <c r="AS643" s="116" t="n"/>
      <c r="AT643" s="116" t="n"/>
      <c r="AU643" s="116" t="n"/>
      <c r="AV643" s="116" t="n"/>
    </row>
    <row r="644">
      <c r="AI644" s="116" t="n"/>
      <c r="AJ644" s="116" t="n"/>
      <c r="AK644" s="116" t="n"/>
      <c r="AL644" s="116" t="n"/>
      <c r="AM644" s="116" t="n"/>
      <c r="AN644" s="116" t="n"/>
      <c r="AO644" s="116" t="n"/>
      <c r="AP644" s="116" t="n"/>
      <c r="AQ644" s="116" t="n"/>
      <c r="AR644" s="116" t="n"/>
      <c r="AS644" s="116" t="n"/>
      <c r="AT644" s="116" t="n"/>
      <c r="AU644" s="116" t="n"/>
      <c r="AV644" s="116" t="n"/>
    </row>
    <row r="645">
      <c r="AI645" s="116" t="n"/>
      <c r="AJ645" s="116" t="n"/>
      <c r="AK645" s="116" t="n"/>
      <c r="AL645" s="116" t="n"/>
      <c r="AM645" s="116" t="n"/>
      <c r="AN645" s="116" t="n"/>
      <c r="AO645" s="116" t="n"/>
      <c r="AP645" s="116" t="n"/>
      <c r="AQ645" s="116" t="n"/>
      <c r="AR645" s="116" t="n"/>
      <c r="AS645" s="116" t="n"/>
      <c r="AT645" s="116" t="n"/>
      <c r="AU645" s="116" t="n"/>
      <c r="AV645" s="116" t="n"/>
    </row>
    <row r="646">
      <c r="AI646" s="116" t="n"/>
      <c r="AJ646" s="116" t="n"/>
      <c r="AK646" s="116" t="n"/>
      <c r="AL646" s="116" t="n"/>
      <c r="AM646" s="116" t="n"/>
      <c r="AN646" s="116" t="n"/>
      <c r="AO646" s="116" t="n"/>
      <c r="AP646" s="116" t="n"/>
      <c r="AQ646" s="116" t="n"/>
      <c r="AR646" s="116" t="n"/>
      <c r="AS646" s="116" t="n"/>
      <c r="AT646" s="116" t="n"/>
      <c r="AU646" s="116" t="n"/>
      <c r="AV646" s="116" t="n"/>
    </row>
    <row r="647">
      <c r="AI647" s="116" t="n"/>
      <c r="AJ647" s="116" t="n"/>
      <c r="AK647" s="116" t="n"/>
      <c r="AL647" s="116" t="n"/>
      <c r="AM647" s="116" t="n"/>
      <c r="AN647" s="116" t="n"/>
      <c r="AO647" s="116" t="n"/>
      <c r="AP647" s="116" t="n"/>
      <c r="AQ647" s="116" t="n"/>
      <c r="AR647" s="116" t="n"/>
      <c r="AS647" s="116" t="n"/>
      <c r="AT647" s="116" t="n"/>
      <c r="AU647" s="116" t="n"/>
      <c r="AV647" s="116" t="n"/>
    </row>
    <row r="648">
      <c r="AI648" s="116" t="n"/>
      <c r="AJ648" s="116" t="n"/>
      <c r="AK648" s="116" t="n"/>
      <c r="AL648" s="116" t="n"/>
      <c r="AM648" s="116" t="n"/>
      <c r="AN648" s="116" t="n"/>
      <c r="AO648" s="116" t="n"/>
      <c r="AP648" s="116" t="n"/>
      <c r="AQ648" s="116" t="n"/>
      <c r="AR648" s="116" t="n"/>
      <c r="AS648" s="116" t="n"/>
      <c r="AT648" s="116" t="n"/>
      <c r="AU648" s="116" t="n"/>
      <c r="AV648" s="116" t="n"/>
    </row>
    <row r="649">
      <c r="AI649" s="116" t="n"/>
      <c r="AJ649" s="116" t="n"/>
      <c r="AK649" s="116" t="n"/>
      <c r="AL649" s="116" t="n"/>
      <c r="AM649" s="116" t="n"/>
      <c r="AN649" s="116" t="n"/>
      <c r="AO649" s="116" t="n"/>
      <c r="AP649" s="116" t="n"/>
      <c r="AQ649" s="116" t="n"/>
      <c r="AR649" s="116" t="n"/>
      <c r="AS649" s="116" t="n"/>
      <c r="AT649" s="116" t="n"/>
      <c r="AU649" s="116" t="n"/>
      <c r="AV649" s="116" t="n"/>
    </row>
    <row r="650">
      <c r="AI650" s="116" t="n"/>
      <c r="AJ650" s="116" t="n"/>
      <c r="AK650" s="116" t="n"/>
      <c r="AL650" s="116" t="n"/>
      <c r="AM650" s="116" t="n"/>
      <c r="AN650" s="116" t="n"/>
      <c r="AO650" s="116" t="n"/>
      <c r="AP650" s="116" t="n"/>
      <c r="AQ650" s="116" t="n"/>
      <c r="AR650" s="116" t="n"/>
      <c r="AS650" s="116" t="n"/>
      <c r="AT650" s="116" t="n"/>
      <c r="AU650" s="116" t="n"/>
      <c r="AV650" s="116" t="n"/>
    </row>
    <row r="651">
      <c r="AI651" s="116" t="n"/>
      <c r="AJ651" s="116" t="n"/>
      <c r="AK651" s="116" t="n"/>
      <c r="AL651" s="116" t="n"/>
      <c r="AM651" s="116" t="n"/>
      <c r="AN651" s="116" t="n"/>
      <c r="AO651" s="116" t="n"/>
      <c r="AP651" s="116" t="n"/>
      <c r="AQ651" s="116" t="n"/>
      <c r="AR651" s="116" t="n"/>
      <c r="AS651" s="116" t="n"/>
      <c r="AT651" s="116" t="n"/>
      <c r="AU651" s="116" t="n"/>
      <c r="AV651" s="116" t="n"/>
    </row>
    <row r="652">
      <c r="AI652" s="116" t="n"/>
      <c r="AJ652" s="116" t="n"/>
      <c r="AK652" s="116" t="n"/>
      <c r="AL652" s="116" t="n"/>
      <c r="AM652" s="116" t="n"/>
      <c r="AN652" s="116" t="n"/>
      <c r="AO652" s="116" t="n"/>
      <c r="AP652" s="116" t="n"/>
      <c r="AQ652" s="116" t="n"/>
      <c r="AR652" s="116" t="n"/>
      <c r="AS652" s="116" t="n"/>
      <c r="AT652" s="116" t="n"/>
      <c r="AU652" s="116" t="n"/>
      <c r="AV652" s="116" t="n"/>
    </row>
    <row r="653">
      <c r="AI653" s="116" t="n"/>
      <c r="AJ653" s="116" t="n"/>
      <c r="AK653" s="116" t="n"/>
      <c r="AL653" s="116" t="n"/>
      <c r="AM653" s="116" t="n"/>
      <c r="AN653" s="116" t="n"/>
      <c r="AO653" s="116" t="n"/>
      <c r="AP653" s="116" t="n"/>
      <c r="AQ653" s="116" t="n"/>
      <c r="AR653" s="116" t="n"/>
      <c r="AS653" s="116" t="n"/>
      <c r="AT653" s="116" t="n"/>
      <c r="AU653" s="116" t="n"/>
      <c r="AV653" s="116" t="n"/>
    </row>
    <row r="654">
      <c r="AI654" s="116" t="n"/>
      <c r="AJ654" s="116" t="n"/>
      <c r="AK654" s="116" t="n"/>
      <c r="AL654" s="116" t="n"/>
      <c r="AM654" s="116" t="n"/>
      <c r="AN654" s="116" t="n"/>
      <c r="AO654" s="116" t="n"/>
      <c r="AP654" s="116" t="n"/>
      <c r="AQ654" s="116" t="n"/>
      <c r="AR654" s="116" t="n"/>
      <c r="AS654" s="116" t="n"/>
      <c r="AT654" s="116" t="n"/>
      <c r="AU654" s="116" t="n"/>
      <c r="AV654" s="116" t="n"/>
    </row>
    <row r="655">
      <c r="AI655" s="116" t="n"/>
      <c r="AJ655" s="116" t="n"/>
      <c r="AK655" s="116" t="n"/>
      <c r="AL655" s="116" t="n"/>
      <c r="AM655" s="116" t="n"/>
      <c r="AN655" s="116" t="n"/>
      <c r="AO655" s="116" t="n"/>
      <c r="AP655" s="116" t="n"/>
      <c r="AQ655" s="116" t="n"/>
      <c r="AR655" s="116" t="n"/>
      <c r="AS655" s="116" t="n"/>
      <c r="AT655" s="116" t="n"/>
      <c r="AU655" s="116" t="n"/>
      <c r="AV655" s="116" t="n"/>
    </row>
    <row r="656">
      <c r="AI656" s="116" t="n"/>
      <c r="AJ656" s="116" t="n"/>
      <c r="AK656" s="116" t="n"/>
      <c r="AL656" s="116" t="n"/>
      <c r="AM656" s="116" t="n"/>
      <c r="AN656" s="116" t="n"/>
      <c r="AO656" s="116" t="n"/>
      <c r="AP656" s="116" t="n"/>
      <c r="AQ656" s="116" t="n"/>
      <c r="AR656" s="116" t="n"/>
      <c r="AS656" s="116" t="n"/>
      <c r="AT656" s="116" t="n"/>
      <c r="AU656" s="116" t="n"/>
      <c r="AV656" s="116" t="n"/>
    </row>
    <row r="657">
      <c r="AI657" s="116" t="n"/>
      <c r="AJ657" s="116" t="n"/>
      <c r="AK657" s="116" t="n"/>
      <c r="AL657" s="116" t="n"/>
      <c r="AM657" s="116" t="n"/>
      <c r="AN657" s="116" t="n"/>
      <c r="AO657" s="116" t="n"/>
      <c r="AP657" s="116" t="n"/>
      <c r="AQ657" s="116" t="n"/>
      <c r="AR657" s="116" t="n"/>
      <c r="AS657" s="116" t="n"/>
      <c r="AT657" s="116" t="n"/>
      <c r="AU657" s="116" t="n"/>
      <c r="AV657" s="116" t="n"/>
    </row>
    <row r="658">
      <c r="AI658" s="116" t="n"/>
      <c r="AJ658" s="116" t="n"/>
      <c r="AK658" s="116" t="n"/>
      <c r="AL658" s="116" t="n"/>
      <c r="AM658" s="116" t="n"/>
      <c r="AN658" s="116" t="n"/>
      <c r="AO658" s="116" t="n"/>
      <c r="AP658" s="116" t="n"/>
      <c r="AQ658" s="116" t="n"/>
      <c r="AR658" s="116" t="n"/>
      <c r="AS658" s="116" t="n"/>
      <c r="AT658" s="116" t="n"/>
      <c r="AU658" s="116" t="n"/>
      <c r="AV658" s="116" t="n"/>
    </row>
    <row r="659">
      <c r="AI659" s="116" t="n"/>
      <c r="AJ659" s="116" t="n"/>
      <c r="AK659" s="116" t="n"/>
      <c r="AL659" s="116" t="n"/>
      <c r="AM659" s="116" t="n"/>
      <c r="AN659" s="116" t="n"/>
      <c r="AO659" s="116" t="n"/>
      <c r="AP659" s="116" t="n"/>
      <c r="AQ659" s="116" t="n"/>
      <c r="AR659" s="116" t="n"/>
      <c r="AS659" s="116" t="n"/>
      <c r="AT659" s="116" t="n"/>
      <c r="AU659" s="116" t="n"/>
      <c r="AV659" s="116" t="n"/>
    </row>
    <row r="660">
      <c r="AI660" s="116" t="n"/>
      <c r="AJ660" s="116" t="n"/>
      <c r="AK660" s="116" t="n"/>
      <c r="AL660" s="116" t="n"/>
      <c r="AM660" s="116" t="n"/>
      <c r="AN660" s="116" t="n"/>
      <c r="AO660" s="116" t="n"/>
      <c r="AP660" s="116" t="n"/>
      <c r="AQ660" s="116" t="n"/>
      <c r="AR660" s="116" t="n"/>
      <c r="AS660" s="116" t="n"/>
      <c r="AT660" s="116" t="n"/>
      <c r="AU660" s="116" t="n"/>
      <c r="AV660" s="116" t="n"/>
    </row>
    <row r="661">
      <c r="AI661" s="116" t="n"/>
      <c r="AJ661" s="116" t="n"/>
      <c r="AK661" s="116" t="n"/>
      <c r="AL661" s="116" t="n"/>
      <c r="AM661" s="116" t="n"/>
      <c r="AN661" s="116" t="n"/>
      <c r="AO661" s="116" t="n"/>
      <c r="AP661" s="116" t="n"/>
      <c r="AQ661" s="116" t="n"/>
      <c r="AR661" s="116" t="n"/>
      <c r="AS661" s="116" t="n"/>
      <c r="AT661" s="116" t="n"/>
      <c r="AU661" s="116" t="n"/>
      <c r="AV661" s="116" t="n"/>
    </row>
    <row r="662">
      <c r="AI662" s="116" t="n"/>
      <c r="AJ662" s="116" t="n"/>
      <c r="AK662" s="116" t="n"/>
      <c r="AL662" s="116" t="n"/>
      <c r="AM662" s="116" t="n"/>
      <c r="AN662" s="116" t="n"/>
      <c r="AO662" s="116" t="n"/>
      <c r="AP662" s="116" t="n"/>
      <c r="AQ662" s="116" t="n"/>
      <c r="AR662" s="116" t="n"/>
      <c r="AS662" s="116" t="n"/>
      <c r="AT662" s="116" t="n"/>
      <c r="AU662" s="116" t="n"/>
      <c r="AV662" s="116" t="n"/>
    </row>
    <row r="663">
      <c r="AI663" s="116" t="n"/>
      <c r="AJ663" s="116" t="n"/>
      <c r="AK663" s="116" t="n"/>
      <c r="AL663" s="116" t="n"/>
      <c r="AM663" s="116" t="n"/>
      <c r="AN663" s="116" t="n"/>
      <c r="AO663" s="116" t="n"/>
      <c r="AP663" s="116" t="n"/>
      <c r="AQ663" s="116" t="n"/>
      <c r="AR663" s="116" t="n"/>
      <c r="AS663" s="116" t="n"/>
      <c r="AT663" s="116" t="n"/>
      <c r="AU663" s="116" t="n"/>
      <c r="AV663" s="116" t="n"/>
    </row>
    <row r="664">
      <c r="AI664" s="116" t="n"/>
      <c r="AJ664" s="116" t="n"/>
      <c r="AK664" s="116" t="n"/>
      <c r="AL664" s="116" t="n"/>
      <c r="AM664" s="116" t="n"/>
      <c r="AN664" s="116" t="n"/>
      <c r="AO664" s="116" t="n"/>
      <c r="AP664" s="116" t="n"/>
      <c r="AQ664" s="116" t="n"/>
      <c r="AR664" s="116" t="n"/>
      <c r="AS664" s="116" t="n"/>
      <c r="AT664" s="116" t="n"/>
      <c r="AU664" s="116" t="n"/>
      <c r="AV664" s="116" t="n"/>
    </row>
    <row r="665">
      <c r="AI665" s="116" t="n"/>
      <c r="AJ665" s="116" t="n"/>
      <c r="AK665" s="116" t="n"/>
      <c r="AL665" s="116" t="n"/>
      <c r="AM665" s="116" t="n"/>
      <c r="AN665" s="116" t="n"/>
      <c r="AO665" s="116" t="n"/>
      <c r="AP665" s="116" t="n"/>
      <c r="AQ665" s="116" t="n"/>
      <c r="AR665" s="116" t="n"/>
      <c r="AS665" s="116" t="n"/>
      <c r="AT665" s="116" t="n"/>
      <c r="AU665" s="116" t="n"/>
      <c r="AV665" s="116" t="n"/>
    </row>
    <row r="666">
      <c r="AI666" s="116" t="n"/>
      <c r="AJ666" s="116" t="n"/>
      <c r="AK666" s="116" t="n"/>
      <c r="AL666" s="116" t="n"/>
      <c r="AM666" s="116" t="n"/>
      <c r="AN666" s="116" t="n"/>
      <c r="AO666" s="116" t="n"/>
      <c r="AP666" s="116" t="n"/>
      <c r="AQ666" s="116" t="n"/>
      <c r="AR666" s="116" t="n"/>
      <c r="AS666" s="116" t="n"/>
      <c r="AT666" s="116" t="n"/>
      <c r="AU666" s="116" t="n"/>
      <c r="AV666" s="116" t="n"/>
    </row>
    <row r="667">
      <c r="AI667" s="116" t="n"/>
      <c r="AJ667" s="116" t="n"/>
      <c r="AK667" s="116" t="n"/>
      <c r="AL667" s="116" t="n"/>
      <c r="AM667" s="116" t="n"/>
      <c r="AN667" s="116" t="n"/>
      <c r="AO667" s="116" t="n"/>
      <c r="AP667" s="116" t="n"/>
      <c r="AQ667" s="116" t="n"/>
      <c r="AR667" s="116" t="n"/>
      <c r="AS667" s="116" t="n"/>
      <c r="AT667" s="116" t="n"/>
      <c r="AU667" s="116" t="n"/>
      <c r="AV667" s="116" t="n"/>
    </row>
    <row r="668">
      <c r="AI668" s="116" t="n"/>
      <c r="AJ668" s="116" t="n"/>
      <c r="AK668" s="116" t="n"/>
      <c r="AL668" s="116" t="n"/>
      <c r="AM668" s="116" t="n"/>
      <c r="AN668" s="116" t="n"/>
      <c r="AO668" s="116" t="n"/>
      <c r="AP668" s="116" t="n"/>
      <c r="AQ668" s="116" t="n"/>
      <c r="AR668" s="116" t="n"/>
      <c r="AS668" s="116" t="n"/>
      <c r="AT668" s="116" t="n"/>
      <c r="AU668" s="116" t="n"/>
      <c r="AV668" s="116" t="n"/>
    </row>
    <row r="669">
      <c r="AI669" s="116" t="n"/>
      <c r="AJ669" s="116" t="n"/>
      <c r="AK669" s="116" t="n"/>
      <c r="AL669" s="116" t="n"/>
      <c r="AM669" s="116" t="n"/>
      <c r="AN669" s="116" t="n"/>
      <c r="AO669" s="116" t="n"/>
      <c r="AP669" s="116" t="n"/>
      <c r="AQ669" s="116" t="n"/>
      <c r="AR669" s="116" t="n"/>
      <c r="AS669" s="116" t="n"/>
      <c r="AT669" s="116" t="n"/>
      <c r="AU669" s="116" t="n"/>
      <c r="AV669" s="116" t="n"/>
    </row>
    <row r="670">
      <c r="AI670" s="116" t="n"/>
      <c r="AJ670" s="116" t="n"/>
      <c r="AK670" s="116" t="n"/>
      <c r="AL670" s="116" t="n"/>
      <c r="AM670" s="116" t="n"/>
      <c r="AN670" s="116" t="n"/>
      <c r="AO670" s="116" t="n"/>
      <c r="AP670" s="116" t="n"/>
      <c r="AQ670" s="116" t="n"/>
      <c r="AR670" s="116" t="n"/>
      <c r="AS670" s="116" t="n"/>
      <c r="AT670" s="116" t="n"/>
      <c r="AU670" s="116" t="n"/>
      <c r="AV670" s="116" t="n"/>
    </row>
    <row r="671">
      <c r="AI671" s="116" t="n"/>
      <c r="AJ671" s="116" t="n"/>
      <c r="AK671" s="116" t="n"/>
      <c r="AL671" s="116" t="n"/>
      <c r="AM671" s="116" t="n"/>
      <c r="AN671" s="116" t="n"/>
      <c r="AO671" s="116" t="n"/>
      <c r="AP671" s="116" t="n"/>
      <c r="AQ671" s="116" t="n"/>
      <c r="AR671" s="116" t="n"/>
      <c r="AS671" s="116" t="n"/>
      <c r="AT671" s="116" t="n"/>
      <c r="AU671" s="116" t="n"/>
      <c r="AV671" s="116" t="n"/>
    </row>
    <row r="672">
      <c r="AI672" s="116" t="n"/>
      <c r="AJ672" s="116" t="n"/>
      <c r="AK672" s="116" t="n"/>
      <c r="AL672" s="116" t="n"/>
      <c r="AM672" s="116" t="n"/>
      <c r="AN672" s="116" t="n"/>
      <c r="AO672" s="116" t="n"/>
      <c r="AP672" s="116" t="n"/>
      <c r="AQ672" s="116" t="n"/>
      <c r="AR672" s="116" t="n"/>
      <c r="AS672" s="116" t="n"/>
      <c r="AT672" s="116" t="n"/>
      <c r="AU672" s="116" t="n"/>
      <c r="AV672" s="116" t="n"/>
    </row>
    <row r="673">
      <c r="AI673" s="116" t="n"/>
      <c r="AJ673" s="116" t="n"/>
      <c r="AK673" s="116" t="n"/>
      <c r="AL673" s="116" t="n"/>
      <c r="AM673" s="116" t="n"/>
      <c r="AN673" s="116" t="n"/>
      <c r="AO673" s="116" t="n"/>
      <c r="AP673" s="116" t="n"/>
      <c r="AQ673" s="116" t="n"/>
      <c r="AR673" s="116" t="n"/>
      <c r="AS673" s="116" t="n"/>
      <c r="AT673" s="116" t="n"/>
      <c r="AU673" s="116" t="n"/>
      <c r="AV673" s="116" t="n"/>
    </row>
    <row r="674">
      <c r="AI674" s="116" t="n"/>
      <c r="AJ674" s="116" t="n"/>
      <c r="AK674" s="116" t="n"/>
      <c r="AL674" s="116" t="n"/>
      <c r="AM674" s="116" t="n"/>
      <c r="AN674" s="116" t="n"/>
      <c r="AO674" s="116" t="n"/>
      <c r="AP674" s="116" t="n"/>
      <c r="AQ674" s="116" t="n"/>
      <c r="AR674" s="116" t="n"/>
      <c r="AS674" s="116" t="n"/>
      <c r="AT674" s="116" t="n"/>
      <c r="AU674" s="116" t="n"/>
      <c r="AV674" s="116" t="n"/>
    </row>
    <row r="675">
      <c r="AI675" s="116" t="n"/>
      <c r="AJ675" s="116" t="n"/>
      <c r="AK675" s="116" t="n"/>
      <c r="AL675" s="116" t="n"/>
      <c r="AM675" s="116" t="n"/>
      <c r="AN675" s="116" t="n"/>
      <c r="AO675" s="116" t="n"/>
      <c r="AP675" s="116" t="n"/>
      <c r="AQ675" s="116" t="n"/>
      <c r="AR675" s="116" t="n"/>
      <c r="AS675" s="116" t="n"/>
      <c r="AT675" s="116" t="n"/>
      <c r="AU675" s="116" t="n"/>
      <c r="AV675" s="116" t="n"/>
    </row>
    <row r="676">
      <c r="AI676" s="116" t="n"/>
      <c r="AJ676" s="116" t="n"/>
      <c r="AK676" s="116" t="n"/>
      <c r="AL676" s="116" t="n"/>
      <c r="AM676" s="116" t="n"/>
      <c r="AN676" s="116" t="n"/>
      <c r="AO676" s="116" t="n"/>
      <c r="AP676" s="116" t="n"/>
      <c r="AQ676" s="116" t="n"/>
      <c r="AR676" s="116" t="n"/>
      <c r="AS676" s="116" t="n"/>
      <c r="AT676" s="116" t="n"/>
      <c r="AU676" s="116" t="n"/>
      <c r="AV676" s="116" t="n"/>
    </row>
    <row r="677">
      <c r="AI677" s="116" t="n"/>
      <c r="AJ677" s="116" t="n"/>
      <c r="AK677" s="116" t="n"/>
      <c r="AL677" s="116" t="n"/>
      <c r="AM677" s="116" t="n"/>
      <c r="AN677" s="116" t="n"/>
      <c r="AO677" s="116" t="n"/>
      <c r="AP677" s="116" t="n"/>
      <c r="AQ677" s="116" t="n"/>
      <c r="AR677" s="116" t="n"/>
      <c r="AS677" s="116" t="n"/>
      <c r="AT677" s="116" t="n"/>
      <c r="AU677" s="116" t="n"/>
      <c r="AV677" s="116" t="n"/>
    </row>
    <row r="678">
      <c r="AI678" s="116" t="n"/>
      <c r="AJ678" s="116" t="n"/>
      <c r="AK678" s="116" t="n"/>
      <c r="AL678" s="116" t="n"/>
      <c r="AM678" s="116" t="n"/>
      <c r="AN678" s="116" t="n"/>
      <c r="AO678" s="116" t="n"/>
      <c r="AP678" s="116" t="n"/>
      <c r="AQ678" s="116" t="n"/>
      <c r="AR678" s="116" t="n"/>
      <c r="AS678" s="116" t="n"/>
      <c r="AT678" s="116" t="n"/>
      <c r="AU678" s="116" t="n"/>
      <c r="AV678" s="116" t="n"/>
    </row>
    <row r="679">
      <c r="AI679" s="116" t="n"/>
      <c r="AJ679" s="116" t="n"/>
      <c r="AK679" s="116" t="n"/>
      <c r="AL679" s="116" t="n"/>
      <c r="AM679" s="116" t="n"/>
      <c r="AN679" s="116" t="n"/>
      <c r="AO679" s="116" t="n"/>
      <c r="AP679" s="116" t="n"/>
      <c r="AQ679" s="116" t="n"/>
      <c r="AR679" s="116" t="n"/>
      <c r="AS679" s="116" t="n"/>
      <c r="AT679" s="116" t="n"/>
      <c r="AU679" s="116" t="n"/>
      <c r="AV679" s="116" t="n"/>
    </row>
    <row r="680">
      <c r="AI680" s="116" t="n"/>
      <c r="AJ680" s="116" t="n"/>
      <c r="AK680" s="116" t="n"/>
      <c r="AL680" s="116" t="n"/>
      <c r="AM680" s="116" t="n"/>
      <c r="AN680" s="116" t="n"/>
      <c r="AO680" s="116" t="n"/>
      <c r="AP680" s="116" t="n"/>
      <c r="AQ680" s="116" t="n"/>
      <c r="AR680" s="116" t="n"/>
      <c r="AS680" s="116" t="n"/>
      <c r="AT680" s="116" t="n"/>
      <c r="AU680" s="116" t="n"/>
      <c r="AV680" s="116" t="n"/>
    </row>
    <row r="681">
      <c r="AI681" s="116" t="n"/>
      <c r="AJ681" s="116" t="n"/>
      <c r="AK681" s="116" t="n"/>
      <c r="AL681" s="116" t="n"/>
      <c r="AM681" s="116" t="n"/>
      <c r="AN681" s="116" t="n"/>
      <c r="AO681" s="116" t="n"/>
      <c r="AP681" s="116" t="n"/>
      <c r="AQ681" s="116" t="n"/>
      <c r="AR681" s="116" t="n"/>
      <c r="AS681" s="116" t="n"/>
      <c r="AT681" s="116" t="n"/>
      <c r="AU681" s="116" t="n"/>
      <c r="AV681" s="116" t="n"/>
    </row>
    <row r="682">
      <c r="AI682" s="116" t="n"/>
      <c r="AJ682" s="116" t="n"/>
      <c r="AK682" s="116" t="n"/>
      <c r="AL682" s="116" t="n"/>
      <c r="AM682" s="116" t="n"/>
      <c r="AN682" s="116" t="n"/>
      <c r="AO682" s="116" t="n"/>
      <c r="AP682" s="116" t="n"/>
      <c r="AQ682" s="116" t="n"/>
      <c r="AR682" s="116" t="n"/>
      <c r="AS682" s="116" t="n"/>
      <c r="AT682" s="116" t="n"/>
      <c r="AU682" s="116" t="n"/>
      <c r="AV682" s="116" t="n"/>
    </row>
    <row r="683">
      <c r="AI683" s="116" t="n"/>
      <c r="AJ683" s="116" t="n"/>
      <c r="AK683" s="116" t="n"/>
      <c r="AL683" s="116" t="n"/>
      <c r="AM683" s="116" t="n"/>
      <c r="AN683" s="116" t="n"/>
      <c r="AO683" s="116" t="n"/>
      <c r="AP683" s="116" t="n"/>
      <c r="AQ683" s="116" t="n"/>
      <c r="AR683" s="116" t="n"/>
      <c r="AS683" s="116" t="n"/>
      <c r="AT683" s="116" t="n"/>
      <c r="AU683" s="116" t="n"/>
      <c r="AV683" s="116" t="n"/>
    </row>
    <row r="684">
      <c r="AI684" s="116" t="n"/>
      <c r="AJ684" s="116" t="n"/>
      <c r="AK684" s="116" t="n"/>
      <c r="AL684" s="116" t="n"/>
      <c r="AM684" s="116" t="n"/>
      <c r="AN684" s="116" t="n"/>
      <c r="AO684" s="116" t="n"/>
      <c r="AP684" s="116" t="n"/>
      <c r="AQ684" s="116" t="n"/>
      <c r="AR684" s="116" t="n"/>
      <c r="AS684" s="116" t="n"/>
      <c r="AT684" s="116" t="n"/>
      <c r="AU684" s="116" t="n"/>
      <c r="AV684" s="116" t="n"/>
    </row>
    <row r="685">
      <c r="AI685" s="116" t="n"/>
      <c r="AJ685" s="116" t="n"/>
      <c r="AK685" s="116" t="n"/>
      <c r="AL685" s="116" t="n"/>
      <c r="AM685" s="116" t="n"/>
      <c r="AN685" s="116" t="n"/>
      <c r="AO685" s="116" t="n"/>
      <c r="AP685" s="116" t="n"/>
      <c r="AQ685" s="116" t="n"/>
      <c r="AR685" s="116" t="n"/>
      <c r="AS685" s="116" t="n"/>
      <c r="AT685" s="116" t="n"/>
      <c r="AU685" s="116" t="n"/>
      <c r="AV685" s="116" t="n"/>
    </row>
    <row r="686">
      <c r="AI686" s="116" t="n"/>
      <c r="AJ686" s="116" t="n"/>
      <c r="AK686" s="116" t="n"/>
      <c r="AL686" s="116" t="n"/>
      <c r="AM686" s="116" t="n"/>
      <c r="AN686" s="116" t="n"/>
      <c r="AO686" s="116" t="n"/>
      <c r="AP686" s="116" t="n"/>
      <c r="AQ686" s="116" t="n"/>
      <c r="AR686" s="116" t="n"/>
      <c r="AS686" s="116" t="n"/>
      <c r="AT686" s="116" t="n"/>
      <c r="AU686" s="116" t="n"/>
      <c r="AV686" s="116" t="n"/>
    </row>
    <row r="687">
      <c r="AI687" s="116" t="n"/>
      <c r="AJ687" s="116" t="n"/>
      <c r="AK687" s="116" t="n"/>
      <c r="AL687" s="116" t="n"/>
      <c r="AM687" s="116" t="n"/>
      <c r="AN687" s="116" t="n"/>
      <c r="AO687" s="116" t="n"/>
      <c r="AP687" s="116" t="n"/>
      <c r="AQ687" s="116" t="n"/>
      <c r="AR687" s="116" t="n"/>
      <c r="AS687" s="116" t="n"/>
      <c r="AT687" s="116" t="n"/>
      <c r="AU687" s="116" t="n"/>
      <c r="AV687" s="116" t="n"/>
    </row>
    <row r="688">
      <c r="AI688" s="116" t="n"/>
      <c r="AJ688" s="116" t="n"/>
      <c r="AK688" s="116" t="n"/>
      <c r="AL688" s="116" t="n"/>
      <c r="AM688" s="116" t="n"/>
      <c r="AN688" s="116" t="n"/>
      <c r="AO688" s="116" t="n"/>
      <c r="AP688" s="116" t="n"/>
      <c r="AQ688" s="116" t="n"/>
      <c r="AR688" s="116" t="n"/>
      <c r="AS688" s="116" t="n"/>
      <c r="AT688" s="116" t="n"/>
      <c r="AU688" s="116" t="n"/>
      <c r="AV688" s="116" t="n"/>
    </row>
    <row r="689">
      <c r="AI689" s="116" t="n"/>
      <c r="AJ689" s="116" t="n"/>
      <c r="AK689" s="116" t="n"/>
      <c r="AL689" s="116" t="n"/>
      <c r="AM689" s="116" t="n"/>
      <c r="AN689" s="116" t="n"/>
      <c r="AO689" s="116" t="n"/>
      <c r="AP689" s="116" t="n"/>
      <c r="AQ689" s="116" t="n"/>
      <c r="AR689" s="116" t="n"/>
      <c r="AS689" s="116" t="n"/>
      <c r="AT689" s="116" t="n"/>
      <c r="AU689" s="116" t="n"/>
      <c r="AV689" s="116" t="n"/>
    </row>
    <row r="690">
      <c r="AI690" s="116" t="n"/>
      <c r="AJ690" s="116" t="n"/>
      <c r="AK690" s="116" t="n"/>
      <c r="AL690" s="116" t="n"/>
      <c r="AM690" s="116" t="n"/>
      <c r="AN690" s="116" t="n"/>
      <c r="AO690" s="116" t="n"/>
      <c r="AP690" s="116" t="n"/>
      <c r="AQ690" s="116" t="n"/>
      <c r="AR690" s="116" t="n"/>
      <c r="AS690" s="116" t="n"/>
      <c r="AT690" s="116" t="n"/>
      <c r="AU690" s="116" t="n"/>
      <c r="AV690" s="116" t="n"/>
    </row>
    <row r="691">
      <c r="AI691" s="116" t="n"/>
      <c r="AJ691" s="116" t="n"/>
      <c r="AK691" s="116" t="n"/>
      <c r="AL691" s="116" t="n"/>
      <c r="AM691" s="116" t="n"/>
      <c r="AN691" s="116" t="n"/>
      <c r="AO691" s="116" t="n"/>
      <c r="AP691" s="116" t="n"/>
      <c r="AQ691" s="116" t="n"/>
      <c r="AR691" s="116" t="n"/>
      <c r="AS691" s="116" t="n"/>
      <c r="AT691" s="116" t="n"/>
      <c r="AU691" s="116" t="n"/>
      <c r="AV691" s="116" t="n"/>
    </row>
    <row r="692">
      <c r="AI692" s="116" t="n"/>
      <c r="AJ692" s="116" t="n"/>
      <c r="AK692" s="116" t="n"/>
      <c r="AL692" s="116" t="n"/>
      <c r="AM692" s="116" t="n"/>
      <c r="AN692" s="116" t="n"/>
      <c r="AO692" s="116" t="n"/>
      <c r="AP692" s="116" t="n"/>
      <c r="AQ692" s="116" t="n"/>
      <c r="AR692" s="116" t="n"/>
      <c r="AS692" s="116" t="n"/>
      <c r="AT692" s="116" t="n"/>
      <c r="AU692" s="116" t="n"/>
      <c r="AV692" s="116" t="n"/>
    </row>
    <row r="693">
      <c r="AI693" s="116" t="n"/>
      <c r="AJ693" s="116" t="n"/>
      <c r="AK693" s="116" t="n"/>
      <c r="AL693" s="116" t="n"/>
      <c r="AM693" s="116" t="n"/>
      <c r="AN693" s="116" t="n"/>
      <c r="AO693" s="116" t="n"/>
      <c r="AP693" s="116" t="n"/>
      <c r="AQ693" s="116" t="n"/>
      <c r="AR693" s="116" t="n"/>
      <c r="AS693" s="116" t="n"/>
      <c r="AT693" s="116" t="n"/>
      <c r="AU693" s="116" t="n"/>
      <c r="AV693" s="116" t="n"/>
    </row>
    <row r="694">
      <c r="AI694" s="116" t="n"/>
      <c r="AJ694" s="116" t="n"/>
      <c r="AK694" s="116" t="n"/>
      <c r="AL694" s="116" t="n"/>
      <c r="AM694" s="116" t="n"/>
      <c r="AN694" s="116" t="n"/>
      <c r="AO694" s="116" t="n"/>
      <c r="AP694" s="116" t="n"/>
      <c r="AQ694" s="116" t="n"/>
      <c r="AR694" s="116" t="n"/>
      <c r="AS694" s="116" t="n"/>
      <c r="AT694" s="116" t="n"/>
      <c r="AU694" s="116" t="n"/>
      <c r="AV694" s="116" t="n"/>
    </row>
    <row r="695">
      <c r="AI695" s="116" t="n"/>
      <c r="AJ695" s="116" t="n"/>
      <c r="AK695" s="116" t="n"/>
      <c r="AL695" s="116" t="n"/>
      <c r="AM695" s="116" t="n"/>
      <c r="AN695" s="116" t="n"/>
      <c r="AO695" s="116" t="n"/>
      <c r="AP695" s="116" t="n"/>
      <c r="AQ695" s="116" t="n"/>
      <c r="AR695" s="116" t="n"/>
      <c r="AS695" s="116" t="n"/>
      <c r="AT695" s="116" t="n"/>
      <c r="AU695" s="116" t="n"/>
      <c r="AV695" s="116" t="n"/>
    </row>
    <row r="696">
      <c r="AI696" s="116" t="n"/>
      <c r="AJ696" s="116" t="n"/>
      <c r="AK696" s="116" t="n"/>
      <c r="AL696" s="116" t="n"/>
      <c r="AM696" s="116" t="n"/>
      <c r="AN696" s="116" t="n"/>
      <c r="AO696" s="116" t="n"/>
      <c r="AP696" s="116" t="n"/>
      <c r="AQ696" s="116" t="n"/>
      <c r="AR696" s="116" t="n"/>
      <c r="AS696" s="116" t="n"/>
      <c r="AT696" s="116" t="n"/>
      <c r="AU696" s="116" t="n"/>
      <c r="AV696" s="116" t="n"/>
    </row>
    <row r="697">
      <c r="AI697" s="116" t="n"/>
      <c r="AJ697" s="116" t="n"/>
      <c r="AK697" s="116" t="n"/>
      <c r="AL697" s="116" t="n"/>
      <c r="AM697" s="116" t="n"/>
      <c r="AN697" s="116" t="n"/>
      <c r="AO697" s="116" t="n"/>
      <c r="AP697" s="116" t="n"/>
      <c r="AQ697" s="116" t="n"/>
      <c r="AR697" s="116" t="n"/>
      <c r="AS697" s="116" t="n"/>
      <c r="AT697" s="116" t="n"/>
      <c r="AU697" s="116" t="n"/>
      <c r="AV697" s="116" t="n"/>
    </row>
    <row r="698">
      <c r="AI698" s="116" t="n"/>
      <c r="AJ698" s="116" t="n"/>
      <c r="AK698" s="116" t="n"/>
      <c r="AL698" s="116" t="n"/>
      <c r="AM698" s="116" t="n"/>
      <c r="AN698" s="116" t="n"/>
      <c r="AO698" s="116" t="n"/>
      <c r="AP698" s="116" t="n"/>
      <c r="AQ698" s="116" t="n"/>
      <c r="AR698" s="116" t="n"/>
      <c r="AS698" s="116" t="n"/>
      <c r="AT698" s="116" t="n"/>
      <c r="AU698" s="116" t="n"/>
      <c r="AV698" s="116" t="n"/>
    </row>
    <row r="699">
      <c r="AI699" s="116" t="n"/>
      <c r="AJ699" s="116" t="n"/>
      <c r="AK699" s="116" t="n"/>
      <c r="AL699" s="116" t="n"/>
      <c r="AM699" s="116" t="n"/>
      <c r="AN699" s="116" t="n"/>
      <c r="AO699" s="116" t="n"/>
      <c r="AP699" s="116" t="n"/>
      <c r="AQ699" s="116" t="n"/>
      <c r="AR699" s="116" t="n"/>
      <c r="AS699" s="116" t="n"/>
      <c r="AT699" s="116" t="n"/>
      <c r="AU699" s="116" t="n"/>
      <c r="AV699" s="116" t="n"/>
    </row>
    <row r="700">
      <c r="AI700" s="116" t="n"/>
      <c r="AJ700" s="116" t="n"/>
      <c r="AK700" s="116" t="n"/>
      <c r="AL700" s="116" t="n"/>
      <c r="AM700" s="116" t="n"/>
      <c r="AN700" s="116" t="n"/>
      <c r="AO700" s="116" t="n"/>
      <c r="AP700" s="116" t="n"/>
      <c r="AQ700" s="116" t="n"/>
      <c r="AR700" s="116" t="n"/>
      <c r="AS700" s="116" t="n"/>
      <c r="AT700" s="116" t="n"/>
      <c r="AU700" s="116" t="n"/>
      <c r="AV700" s="116" t="n"/>
    </row>
    <row r="701">
      <c r="AI701" s="116" t="n"/>
      <c r="AJ701" s="116" t="n"/>
      <c r="AK701" s="116" t="n"/>
      <c r="AL701" s="116" t="n"/>
      <c r="AM701" s="116" t="n"/>
      <c r="AN701" s="116" t="n"/>
      <c r="AO701" s="116" t="n"/>
      <c r="AP701" s="116" t="n"/>
      <c r="AQ701" s="116" t="n"/>
      <c r="AR701" s="116" t="n"/>
      <c r="AS701" s="116" t="n"/>
      <c r="AT701" s="116" t="n"/>
      <c r="AU701" s="116" t="n"/>
      <c r="AV701" s="116" t="n"/>
    </row>
    <row r="702">
      <c r="AI702" s="116" t="n"/>
      <c r="AJ702" s="116" t="n"/>
      <c r="AK702" s="116" t="n"/>
      <c r="AL702" s="116" t="n"/>
      <c r="AM702" s="116" t="n"/>
      <c r="AN702" s="116" t="n"/>
      <c r="AO702" s="116" t="n"/>
      <c r="AP702" s="116" t="n"/>
      <c r="AQ702" s="116" t="n"/>
      <c r="AR702" s="116" t="n"/>
      <c r="AS702" s="116" t="n"/>
      <c r="AT702" s="116" t="n"/>
      <c r="AU702" s="116" t="n"/>
      <c r="AV702" s="116" t="n"/>
    </row>
    <row r="703">
      <c r="AI703" s="116" t="n"/>
      <c r="AJ703" s="116" t="n"/>
      <c r="AK703" s="116" t="n"/>
      <c r="AL703" s="116" t="n"/>
      <c r="AM703" s="116" t="n"/>
      <c r="AN703" s="116" t="n"/>
      <c r="AO703" s="116" t="n"/>
      <c r="AP703" s="116" t="n"/>
      <c r="AQ703" s="116" t="n"/>
      <c r="AR703" s="116" t="n"/>
      <c r="AS703" s="116" t="n"/>
      <c r="AT703" s="116" t="n"/>
      <c r="AU703" s="116" t="n"/>
      <c r="AV703" s="116" t="n"/>
    </row>
    <row r="704">
      <c r="AI704" s="116" t="n"/>
      <c r="AJ704" s="116" t="n"/>
      <c r="AK704" s="116" t="n"/>
      <c r="AL704" s="116" t="n"/>
      <c r="AM704" s="116" t="n"/>
      <c r="AN704" s="116" t="n"/>
      <c r="AO704" s="116" t="n"/>
      <c r="AP704" s="116" t="n"/>
      <c r="AQ704" s="116" t="n"/>
      <c r="AR704" s="116" t="n"/>
      <c r="AS704" s="116" t="n"/>
      <c r="AT704" s="116" t="n"/>
      <c r="AU704" s="116" t="n"/>
      <c r="AV704" s="116" t="n"/>
    </row>
    <row r="705">
      <c r="AI705" s="116" t="n"/>
      <c r="AJ705" s="116" t="n"/>
      <c r="AK705" s="116" t="n"/>
      <c r="AL705" s="116" t="n"/>
      <c r="AM705" s="116" t="n"/>
      <c r="AN705" s="116" t="n"/>
      <c r="AO705" s="116" t="n"/>
      <c r="AP705" s="116" t="n"/>
      <c r="AQ705" s="116" t="n"/>
      <c r="AR705" s="116" t="n"/>
      <c r="AS705" s="116" t="n"/>
      <c r="AT705" s="116" t="n"/>
      <c r="AU705" s="116" t="n"/>
      <c r="AV705" s="116" t="n"/>
    </row>
    <row r="706">
      <c r="AI706" s="116" t="n"/>
      <c r="AJ706" s="116" t="n"/>
      <c r="AK706" s="116" t="n"/>
      <c r="AL706" s="116" t="n"/>
      <c r="AM706" s="116" t="n"/>
      <c r="AN706" s="116" t="n"/>
      <c r="AO706" s="116" t="n"/>
      <c r="AP706" s="116" t="n"/>
      <c r="AQ706" s="116" t="n"/>
      <c r="AR706" s="116" t="n"/>
      <c r="AS706" s="116" t="n"/>
      <c r="AT706" s="116" t="n"/>
      <c r="AU706" s="116" t="n"/>
      <c r="AV706" s="116" t="n"/>
    </row>
    <row r="707">
      <c r="AI707" s="116" t="n"/>
      <c r="AJ707" s="116" t="n"/>
      <c r="AK707" s="116" t="n"/>
      <c r="AL707" s="116" t="n"/>
      <c r="AM707" s="116" t="n"/>
      <c r="AN707" s="116" t="n"/>
      <c r="AO707" s="116" t="n"/>
      <c r="AP707" s="116" t="n"/>
      <c r="AQ707" s="116" t="n"/>
      <c r="AR707" s="116" t="n"/>
      <c r="AS707" s="116" t="n"/>
      <c r="AT707" s="116" t="n"/>
      <c r="AU707" s="116" t="n"/>
      <c r="AV707" s="116" t="n"/>
    </row>
    <row r="708">
      <c r="AI708" s="116" t="n"/>
      <c r="AJ708" s="116" t="n"/>
      <c r="AK708" s="116" t="n"/>
      <c r="AL708" s="116" t="n"/>
      <c r="AM708" s="116" t="n"/>
      <c r="AN708" s="116" t="n"/>
      <c r="AO708" s="116" t="n"/>
      <c r="AP708" s="116" t="n"/>
      <c r="AQ708" s="116" t="n"/>
      <c r="AR708" s="116" t="n"/>
      <c r="AS708" s="116" t="n"/>
      <c r="AT708" s="116" t="n"/>
      <c r="AU708" s="116" t="n"/>
      <c r="AV708" s="116" t="n"/>
    </row>
    <row r="709">
      <c r="AI709" s="116" t="n"/>
      <c r="AJ709" s="116" t="n"/>
      <c r="AK709" s="116" t="n"/>
      <c r="AL709" s="116" t="n"/>
      <c r="AM709" s="116" t="n"/>
      <c r="AN709" s="116" t="n"/>
      <c r="AO709" s="116" t="n"/>
      <c r="AP709" s="116" t="n"/>
      <c r="AQ709" s="116" t="n"/>
      <c r="AR709" s="116" t="n"/>
      <c r="AS709" s="116" t="n"/>
      <c r="AT709" s="116" t="n"/>
      <c r="AU709" s="116" t="n"/>
      <c r="AV709" s="116" t="n"/>
    </row>
    <row r="710">
      <c r="AI710" s="116" t="n"/>
      <c r="AJ710" s="116" t="n"/>
      <c r="AK710" s="116" t="n"/>
      <c r="AL710" s="116" t="n"/>
      <c r="AM710" s="116" t="n"/>
      <c r="AN710" s="116" t="n"/>
      <c r="AO710" s="116" t="n"/>
      <c r="AP710" s="116" t="n"/>
      <c r="AQ710" s="116" t="n"/>
      <c r="AR710" s="116" t="n"/>
      <c r="AS710" s="116" t="n"/>
      <c r="AT710" s="116" t="n"/>
      <c r="AU710" s="116" t="n"/>
      <c r="AV710" s="116" t="n"/>
    </row>
    <row r="711">
      <c r="AI711" s="116" t="n"/>
      <c r="AJ711" s="116" t="n"/>
      <c r="AK711" s="116" t="n"/>
      <c r="AL711" s="116" t="n"/>
      <c r="AM711" s="116" t="n"/>
      <c r="AN711" s="116" t="n"/>
      <c r="AO711" s="116" t="n"/>
      <c r="AP711" s="116" t="n"/>
      <c r="AQ711" s="116" t="n"/>
      <c r="AR711" s="116" t="n"/>
      <c r="AS711" s="116" t="n"/>
      <c r="AT711" s="116" t="n"/>
      <c r="AU711" s="116" t="n"/>
      <c r="AV711" s="116" t="n"/>
    </row>
    <row r="712">
      <c r="AI712" s="116" t="n"/>
      <c r="AJ712" s="116" t="n"/>
      <c r="AK712" s="116" t="n"/>
      <c r="AL712" s="116" t="n"/>
      <c r="AM712" s="116" t="n"/>
      <c r="AN712" s="116" t="n"/>
      <c r="AO712" s="116" t="n"/>
      <c r="AP712" s="116" t="n"/>
      <c r="AQ712" s="116" t="n"/>
      <c r="AR712" s="116" t="n"/>
      <c r="AS712" s="116" t="n"/>
      <c r="AT712" s="116" t="n"/>
      <c r="AU712" s="116" t="n"/>
      <c r="AV712" s="116" t="n"/>
    </row>
    <row r="713">
      <c r="AI713" s="116" t="n"/>
      <c r="AJ713" s="116" t="n"/>
      <c r="AK713" s="116" t="n"/>
      <c r="AL713" s="116" t="n"/>
      <c r="AM713" s="116" t="n"/>
      <c r="AN713" s="116" t="n"/>
      <c r="AO713" s="116" t="n"/>
      <c r="AP713" s="116" t="n"/>
      <c r="AQ713" s="116" t="n"/>
      <c r="AR713" s="116" t="n"/>
      <c r="AS713" s="116" t="n"/>
      <c r="AT713" s="116" t="n"/>
      <c r="AU713" s="116" t="n"/>
      <c r="AV713" s="116" t="n"/>
    </row>
    <row r="714">
      <c r="AI714" s="116" t="n"/>
      <c r="AJ714" s="116" t="n"/>
      <c r="AK714" s="116" t="n"/>
      <c r="AL714" s="116" t="n"/>
      <c r="AM714" s="116" t="n"/>
      <c r="AN714" s="116" t="n"/>
      <c r="AO714" s="116" t="n"/>
      <c r="AP714" s="116" t="n"/>
      <c r="AQ714" s="116" t="n"/>
      <c r="AR714" s="116" t="n"/>
      <c r="AS714" s="116" t="n"/>
      <c r="AT714" s="116" t="n"/>
      <c r="AU714" s="116" t="n"/>
      <c r="AV714" s="116" t="n"/>
    </row>
    <row r="715">
      <c r="AI715" s="116" t="n"/>
      <c r="AJ715" s="116" t="n"/>
      <c r="AK715" s="116" t="n"/>
      <c r="AL715" s="116" t="n"/>
      <c r="AM715" s="116" t="n"/>
      <c r="AN715" s="116" t="n"/>
      <c r="AO715" s="116" t="n"/>
      <c r="AP715" s="116" t="n"/>
      <c r="AQ715" s="116" t="n"/>
      <c r="AR715" s="116" t="n"/>
      <c r="AS715" s="116" t="n"/>
      <c r="AT715" s="116" t="n"/>
      <c r="AU715" s="116" t="n"/>
      <c r="AV715" s="116" t="n"/>
    </row>
    <row r="716">
      <c r="AI716" s="116" t="n"/>
      <c r="AJ716" s="116" t="n"/>
      <c r="AK716" s="116" t="n"/>
      <c r="AL716" s="116" t="n"/>
      <c r="AM716" s="116" t="n"/>
      <c r="AN716" s="116" t="n"/>
      <c r="AO716" s="116" t="n"/>
      <c r="AP716" s="116" t="n"/>
      <c r="AQ716" s="116" t="n"/>
      <c r="AR716" s="116" t="n"/>
      <c r="AS716" s="116" t="n"/>
      <c r="AT716" s="116" t="n"/>
      <c r="AU716" s="116" t="n"/>
      <c r="AV716" s="116" t="n"/>
    </row>
    <row r="717">
      <c r="AI717" s="116" t="n"/>
      <c r="AJ717" s="116" t="n"/>
      <c r="AK717" s="116" t="n"/>
      <c r="AL717" s="116" t="n"/>
      <c r="AM717" s="116" t="n"/>
      <c r="AN717" s="116" t="n"/>
      <c r="AO717" s="116" t="n"/>
      <c r="AP717" s="116" t="n"/>
      <c r="AQ717" s="116" t="n"/>
      <c r="AR717" s="116" t="n"/>
      <c r="AS717" s="116" t="n"/>
      <c r="AT717" s="116" t="n"/>
      <c r="AU717" s="116" t="n"/>
      <c r="AV717" s="116" t="n"/>
    </row>
    <row r="718">
      <c r="AI718" s="116" t="n"/>
      <c r="AJ718" s="116" t="n"/>
      <c r="AK718" s="116" t="n"/>
      <c r="AL718" s="116" t="n"/>
      <c r="AM718" s="116" t="n"/>
      <c r="AN718" s="116" t="n"/>
      <c r="AO718" s="116" t="n"/>
      <c r="AP718" s="116" t="n"/>
      <c r="AQ718" s="116" t="n"/>
      <c r="AR718" s="116" t="n"/>
      <c r="AS718" s="116" t="n"/>
      <c r="AT718" s="116" t="n"/>
      <c r="AU718" s="116" t="n"/>
      <c r="AV718" s="116" t="n"/>
    </row>
    <row r="719">
      <c r="AI719" s="116" t="n"/>
      <c r="AJ719" s="116" t="n"/>
      <c r="AK719" s="116" t="n"/>
      <c r="AL719" s="116" t="n"/>
      <c r="AM719" s="116" t="n"/>
      <c r="AN719" s="116" t="n"/>
      <c r="AO719" s="116" t="n"/>
      <c r="AP719" s="116" t="n"/>
      <c r="AQ719" s="116" t="n"/>
      <c r="AR719" s="116" t="n"/>
      <c r="AS719" s="116" t="n"/>
      <c r="AT719" s="116" t="n"/>
      <c r="AU719" s="116" t="n"/>
      <c r="AV719" s="116" t="n"/>
    </row>
    <row r="720">
      <c r="AI720" s="116" t="n"/>
      <c r="AJ720" s="116" t="n"/>
      <c r="AK720" s="116" t="n"/>
      <c r="AL720" s="116" t="n"/>
      <c r="AM720" s="116" t="n"/>
      <c r="AN720" s="116" t="n"/>
      <c r="AO720" s="116" t="n"/>
      <c r="AP720" s="116" t="n"/>
      <c r="AQ720" s="116" t="n"/>
      <c r="AR720" s="116" t="n"/>
      <c r="AS720" s="116" t="n"/>
      <c r="AT720" s="116" t="n"/>
      <c r="AU720" s="116" t="n"/>
      <c r="AV720" s="116" t="n"/>
    </row>
    <row r="721">
      <c r="AI721" s="116" t="n"/>
      <c r="AJ721" s="116" t="n"/>
      <c r="AK721" s="116" t="n"/>
      <c r="AL721" s="116" t="n"/>
      <c r="AM721" s="116" t="n"/>
      <c r="AN721" s="116" t="n"/>
      <c r="AO721" s="116" t="n"/>
      <c r="AP721" s="116" t="n"/>
      <c r="AQ721" s="116" t="n"/>
      <c r="AR721" s="116" t="n"/>
      <c r="AS721" s="116" t="n"/>
      <c r="AT721" s="116" t="n"/>
      <c r="AU721" s="116" t="n"/>
      <c r="AV721" s="116" t="n"/>
    </row>
    <row r="722">
      <c r="AI722" s="116" t="n"/>
      <c r="AJ722" s="116" t="n"/>
      <c r="AK722" s="116" t="n"/>
      <c r="AL722" s="116" t="n"/>
      <c r="AM722" s="116" t="n"/>
      <c r="AN722" s="116" t="n"/>
      <c r="AO722" s="116" t="n"/>
      <c r="AP722" s="116" t="n"/>
      <c r="AQ722" s="116" t="n"/>
      <c r="AR722" s="116" t="n"/>
      <c r="AS722" s="116" t="n"/>
      <c r="AT722" s="116" t="n"/>
      <c r="AU722" s="116" t="n"/>
      <c r="AV722" s="116" t="n"/>
    </row>
    <row r="723">
      <c r="AI723" s="116" t="n"/>
      <c r="AJ723" s="116" t="n"/>
      <c r="AK723" s="116" t="n"/>
      <c r="AL723" s="116" t="n"/>
      <c r="AM723" s="116" t="n"/>
      <c r="AN723" s="116" t="n"/>
      <c r="AO723" s="116" t="n"/>
      <c r="AP723" s="116" t="n"/>
      <c r="AQ723" s="116" t="n"/>
      <c r="AR723" s="116" t="n"/>
      <c r="AS723" s="116" t="n"/>
      <c r="AT723" s="116" t="n"/>
      <c r="AU723" s="116" t="n"/>
      <c r="AV723" s="116" t="n"/>
    </row>
    <row r="724">
      <c r="AI724" s="116" t="n"/>
      <c r="AJ724" s="116" t="n"/>
      <c r="AK724" s="116" t="n"/>
      <c r="AL724" s="116" t="n"/>
      <c r="AM724" s="116" t="n"/>
      <c r="AN724" s="116" t="n"/>
      <c r="AO724" s="116" t="n"/>
      <c r="AP724" s="116" t="n"/>
      <c r="AQ724" s="116" t="n"/>
      <c r="AR724" s="116" t="n"/>
      <c r="AS724" s="116" t="n"/>
      <c r="AT724" s="116" t="n"/>
      <c r="AU724" s="116" t="n"/>
      <c r="AV724" s="116" t="n"/>
    </row>
    <row r="725">
      <c r="AI725" s="116" t="n"/>
      <c r="AJ725" s="116" t="n"/>
      <c r="AK725" s="116" t="n"/>
      <c r="AL725" s="116" t="n"/>
      <c r="AM725" s="116" t="n"/>
      <c r="AN725" s="116" t="n"/>
      <c r="AO725" s="116" t="n"/>
      <c r="AP725" s="116" t="n"/>
      <c r="AQ725" s="116" t="n"/>
      <c r="AR725" s="116" t="n"/>
      <c r="AS725" s="116" t="n"/>
      <c r="AT725" s="116" t="n"/>
      <c r="AU725" s="116" t="n"/>
      <c r="AV725" s="116" t="n"/>
    </row>
    <row r="726">
      <c r="AI726" s="116" t="n"/>
      <c r="AJ726" s="116" t="n"/>
      <c r="AK726" s="116" t="n"/>
      <c r="AL726" s="116" t="n"/>
      <c r="AM726" s="116" t="n"/>
      <c r="AN726" s="116" t="n"/>
      <c r="AO726" s="116" t="n"/>
      <c r="AP726" s="116" t="n"/>
      <c r="AQ726" s="116" t="n"/>
      <c r="AR726" s="116" t="n"/>
      <c r="AS726" s="116" t="n"/>
      <c r="AT726" s="116" t="n"/>
      <c r="AU726" s="116" t="n"/>
      <c r="AV726" s="116" t="n"/>
    </row>
    <row r="727">
      <c r="AI727" s="116" t="n"/>
      <c r="AJ727" s="116" t="n"/>
      <c r="AK727" s="116" t="n"/>
      <c r="AL727" s="116" t="n"/>
      <c r="AM727" s="116" t="n"/>
      <c r="AN727" s="116" t="n"/>
      <c r="AO727" s="116" t="n"/>
      <c r="AP727" s="116" t="n"/>
      <c r="AQ727" s="116" t="n"/>
      <c r="AR727" s="116" t="n"/>
      <c r="AS727" s="116" t="n"/>
      <c r="AT727" s="116" t="n"/>
      <c r="AU727" s="116" t="n"/>
      <c r="AV727" s="116" t="n"/>
    </row>
    <row r="728">
      <c r="AI728" s="116" t="n"/>
      <c r="AJ728" s="116" t="n"/>
      <c r="AK728" s="116" t="n"/>
      <c r="AL728" s="116" t="n"/>
      <c r="AM728" s="116" t="n"/>
      <c r="AN728" s="116" t="n"/>
      <c r="AO728" s="116" t="n"/>
      <c r="AP728" s="116" t="n"/>
      <c r="AQ728" s="116" t="n"/>
      <c r="AR728" s="116" t="n"/>
      <c r="AS728" s="116" t="n"/>
      <c r="AT728" s="116" t="n"/>
      <c r="AU728" s="116" t="n"/>
      <c r="AV728" s="116" t="n"/>
    </row>
    <row r="729">
      <c r="AI729" s="116" t="n"/>
      <c r="AJ729" s="116" t="n"/>
      <c r="AK729" s="116" t="n"/>
      <c r="AL729" s="116" t="n"/>
      <c r="AM729" s="116" t="n"/>
      <c r="AN729" s="116" t="n"/>
      <c r="AO729" s="116" t="n"/>
      <c r="AP729" s="116" t="n"/>
      <c r="AQ729" s="116" t="n"/>
      <c r="AR729" s="116" t="n"/>
      <c r="AS729" s="116" t="n"/>
      <c r="AT729" s="116" t="n"/>
      <c r="AU729" s="116" t="n"/>
      <c r="AV729" s="116" t="n"/>
    </row>
    <row r="730">
      <c r="AI730" s="116" t="n"/>
      <c r="AJ730" s="116" t="n"/>
      <c r="AK730" s="116" t="n"/>
      <c r="AL730" s="116" t="n"/>
      <c r="AM730" s="116" t="n"/>
      <c r="AN730" s="116" t="n"/>
      <c r="AO730" s="116" t="n"/>
      <c r="AP730" s="116" t="n"/>
      <c r="AQ730" s="116" t="n"/>
      <c r="AR730" s="116" t="n"/>
      <c r="AS730" s="116" t="n"/>
      <c r="AT730" s="116" t="n"/>
      <c r="AU730" s="116" t="n"/>
      <c r="AV730" s="116" t="n"/>
    </row>
    <row r="731">
      <c r="AI731" s="116" t="n"/>
      <c r="AJ731" s="116" t="n"/>
      <c r="AK731" s="116" t="n"/>
      <c r="AL731" s="116" t="n"/>
      <c r="AM731" s="116" t="n"/>
      <c r="AN731" s="116" t="n"/>
      <c r="AO731" s="116" t="n"/>
      <c r="AP731" s="116" t="n"/>
      <c r="AQ731" s="116" t="n"/>
      <c r="AR731" s="116" t="n"/>
      <c r="AS731" s="116" t="n"/>
      <c r="AT731" s="116" t="n"/>
      <c r="AU731" s="116" t="n"/>
      <c r="AV731" s="116" t="n"/>
    </row>
    <row r="732">
      <c r="AI732" s="116" t="n"/>
      <c r="AJ732" s="116" t="n"/>
      <c r="AK732" s="116" t="n"/>
      <c r="AL732" s="116" t="n"/>
      <c r="AM732" s="116" t="n"/>
      <c r="AN732" s="116" t="n"/>
      <c r="AO732" s="116" t="n"/>
      <c r="AP732" s="116" t="n"/>
      <c r="AQ732" s="116" t="n"/>
      <c r="AR732" s="116" t="n"/>
      <c r="AS732" s="116" t="n"/>
      <c r="AT732" s="116" t="n"/>
      <c r="AU732" s="116" t="n"/>
      <c r="AV732" s="116" t="n"/>
    </row>
    <row r="733">
      <c r="AI733" s="116" t="n"/>
      <c r="AJ733" s="116" t="n"/>
      <c r="AK733" s="116" t="n"/>
      <c r="AL733" s="116" t="n"/>
      <c r="AM733" s="116" t="n"/>
      <c r="AN733" s="116" t="n"/>
      <c r="AO733" s="116" t="n"/>
      <c r="AP733" s="116" t="n"/>
      <c r="AQ733" s="116" t="n"/>
      <c r="AR733" s="116" t="n"/>
      <c r="AS733" s="116" t="n"/>
      <c r="AT733" s="116" t="n"/>
      <c r="AU733" s="116" t="n"/>
      <c r="AV733" s="116" t="n"/>
    </row>
    <row r="734">
      <c r="AI734" s="116" t="n"/>
      <c r="AJ734" s="116" t="n"/>
      <c r="AK734" s="116" t="n"/>
      <c r="AL734" s="116" t="n"/>
      <c r="AM734" s="116" t="n"/>
      <c r="AN734" s="116" t="n"/>
      <c r="AO734" s="116" t="n"/>
      <c r="AP734" s="116" t="n"/>
      <c r="AQ734" s="116" t="n"/>
      <c r="AR734" s="116" t="n"/>
      <c r="AS734" s="116" t="n"/>
      <c r="AT734" s="116" t="n"/>
      <c r="AU734" s="116" t="n"/>
      <c r="AV734" s="116" t="n"/>
    </row>
    <row r="735">
      <c r="AI735" s="116" t="n"/>
      <c r="AJ735" s="116" t="n"/>
      <c r="AK735" s="116" t="n"/>
      <c r="AL735" s="116" t="n"/>
      <c r="AM735" s="116" t="n"/>
      <c r="AN735" s="116" t="n"/>
      <c r="AO735" s="116" t="n"/>
      <c r="AP735" s="116" t="n"/>
      <c r="AQ735" s="116" t="n"/>
      <c r="AR735" s="116" t="n"/>
      <c r="AS735" s="116" t="n"/>
      <c r="AT735" s="116" t="n"/>
      <c r="AU735" s="116" t="n"/>
      <c r="AV735" s="116" t="n"/>
    </row>
    <row r="736">
      <c r="AI736" s="116" t="n"/>
      <c r="AJ736" s="116" t="n"/>
      <c r="AK736" s="116" t="n"/>
      <c r="AL736" s="116" t="n"/>
      <c r="AM736" s="116" t="n"/>
      <c r="AN736" s="116" t="n"/>
      <c r="AO736" s="116" t="n"/>
      <c r="AP736" s="116" t="n"/>
      <c r="AQ736" s="116" t="n"/>
      <c r="AR736" s="116" t="n"/>
      <c r="AS736" s="116" t="n"/>
      <c r="AT736" s="116" t="n"/>
      <c r="AU736" s="116" t="n"/>
      <c r="AV736" s="116" t="n"/>
    </row>
    <row r="737">
      <c r="AI737" s="116" t="n"/>
      <c r="AJ737" s="116" t="n"/>
      <c r="AK737" s="116" t="n"/>
      <c r="AL737" s="116" t="n"/>
      <c r="AM737" s="116" t="n"/>
      <c r="AN737" s="116" t="n"/>
      <c r="AO737" s="116" t="n"/>
      <c r="AP737" s="116" t="n"/>
      <c r="AQ737" s="116" t="n"/>
      <c r="AR737" s="116" t="n"/>
      <c r="AS737" s="116" t="n"/>
      <c r="AT737" s="116" t="n"/>
      <c r="AU737" s="116" t="n"/>
      <c r="AV737" s="116" t="n"/>
    </row>
    <row r="738">
      <c r="AI738" s="116" t="n"/>
      <c r="AJ738" s="116" t="n"/>
      <c r="AK738" s="116" t="n"/>
      <c r="AL738" s="116" t="n"/>
      <c r="AM738" s="116" t="n"/>
      <c r="AN738" s="116" t="n"/>
      <c r="AO738" s="116" t="n"/>
      <c r="AP738" s="116" t="n"/>
      <c r="AQ738" s="116" t="n"/>
      <c r="AR738" s="116" t="n"/>
      <c r="AS738" s="116" t="n"/>
      <c r="AT738" s="116" t="n"/>
      <c r="AU738" s="116" t="n"/>
      <c r="AV738" s="116" t="n"/>
    </row>
    <row r="739">
      <c r="AI739" s="116" t="n"/>
      <c r="AJ739" s="116" t="n"/>
      <c r="AK739" s="116" t="n"/>
      <c r="AL739" s="116" t="n"/>
      <c r="AM739" s="116" t="n"/>
      <c r="AN739" s="116" t="n"/>
      <c r="AO739" s="116" t="n"/>
      <c r="AP739" s="116" t="n"/>
      <c r="AQ739" s="116" t="n"/>
      <c r="AR739" s="116" t="n"/>
      <c r="AS739" s="116" t="n"/>
      <c r="AT739" s="116" t="n"/>
      <c r="AU739" s="116" t="n"/>
      <c r="AV739" s="116" t="n"/>
    </row>
    <row r="740">
      <c r="AI740" s="116" t="n"/>
      <c r="AJ740" s="116" t="n"/>
      <c r="AK740" s="116" t="n"/>
      <c r="AL740" s="116" t="n"/>
      <c r="AM740" s="116" t="n"/>
      <c r="AN740" s="116" t="n"/>
      <c r="AO740" s="116" t="n"/>
      <c r="AP740" s="116" t="n"/>
      <c r="AQ740" s="116" t="n"/>
      <c r="AR740" s="116" t="n"/>
      <c r="AS740" s="116" t="n"/>
      <c r="AT740" s="116" t="n"/>
      <c r="AU740" s="116" t="n"/>
      <c r="AV740" s="116" t="n"/>
    </row>
    <row r="741">
      <c r="AI741" s="116" t="n"/>
      <c r="AJ741" s="116" t="n"/>
      <c r="AK741" s="116" t="n"/>
      <c r="AL741" s="116" t="n"/>
      <c r="AM741" s="116" t="n"/>
      <c r="AN741" s="116" t="n"/>
      <c r="AO741" s="116" t="n"/>
      <c r="AP741" s="116" t="n"/>
      <c r="AQ741" s="116" t="n"/>
      <c r="AR741" s="116" t="n"/>
      <c r="AS741" s="116" t="n"/>
      <c r="AT741" s="116" t="n"/>
      <c r="AU741" s="116" t="n"/>
      <c r="AV741" s="116" t="n"/>
    </row>
    <row r="742">
      <c r="AI742" s="116" t="n"/>
      <c r="AJ742" s="116" t="n"/>
      <c r="AK742" s="116" t="n"/>
      <c r="AL742" s="116" t="n"/>
      <c r="AM742" s="116" t="n"/>
      <c r="AN742" s="116" t="n"/>
      <c r="AO742" s="116" t="n"/>
      <c r="AP742" s="116" t="n"/>
      <c r="AQ742" s="116" t="n"/>
      <c r="AR742" s="116" t="n"/>
      <c r="AS742" s="116" t="n"/>
      <c r="AT742" s="116" t="n"/>
      <c r="AU742" s="116" t="n"/>
      <c r="AV742" s="116" t="n"/>
    </row>
    <row r="743">
      <c r="AI743" s="116" t="n"/>
      <c r="AJ743" s="116" t="n"/>
      <c r="AK743" s="116" t="n"/>
      <c r="AL743" s="116" t="n"/>
      <c r="AM743" s="116" t="n"/>
      <c r="AN743" s="116" t="n"/>
      <c r="AO743" s="116" t="n"/>
      <c r="AP743" s="116" t="n"/>
      <c r="AQ743" s="116" t="n"/>
      <c r="AR743" s="116" t="n"/>
      <c r="AS743" s="116" t="n"/>
      <c r="AT743" s="116" t="n"/>
      <c r="AU743" s="116" t="n"/>
      <c r="AV743" s="116" t="n"/>
    </row>
    <row r="744">
      <c r="AI744" s="116" t="n"/>
      <c r="AJ744" s="116" t="n"/>
      <c r="AK744" s="116" t="n"/>
      <c r="AL744" s="116" t="n"/>
      <c r="AM744" s="116" t="n"/>
      <c r="AN744" s="116" t="n"/>
      <c r="AO744" s="116" t="n"/>
      <c r="AP744" s="116" t="n"/>
      <c r="AQ744" s="116" t="n"/>
      <c r="AR744" s="116" t="n"/>
      <c r="AS744" s="116" t="n"/>
      <c r="AT744" s="116" t="n"/>
      <c r="AU744" s="116" t="n"/>
      <c r="AV744" s="116" t="n"/>
    </row>
    <row r="745">
      <c r="AI745" s="116" t="n"/>
      <c r="AJ745" s="116" t="n"/>
      <c r="AK745" s="116" t="n"/>
      <c r="AL745" s="116" t="n"/>
      <c r="AM745" s="116" t="n"/>
      <c r="AN745" s="116" t="n"/>
      <c r="AO745" s="116" t="n"/>
      <c r="AP745" s="116" t="n"/>
      <c r="AQ745" s="116" t="n"/>
      <c r="AR745" s="116" t="n"/>
      <c r="AS745" s="116" t="n"/>
      <c r="AT745" s="116" t="n"/>
      <c r="AU745" s="116" t="n"/>
      <c r="AV745" s="116" t="n"/>
    </row>
    <row r="746">
      <c r="AI746" s="116" t="n"/>
      <c r="AJ746" s="116" t="n"/>
      <c r="AK746" s="116" t="n"/>
      <c r="AL746" s="116" t="n"/>
      <c r="AM746" s="116" t="n"/>
      <c r="AN746" s="116" t="n"/>
      <c r="AO746" s="116" t="n"/>
      <c r="AP746" s="116" t="n"/>
      <c r="AQ746" s="116" t="n"/>
      <c r="AR746" s="116" t="n"/>
      <c r="AS746" s="116" t="n"/>
      <c r="AT746" s="116" t="n"/>
      <c r="AU746" s="116" t="n"/>
      <c r="AV746" s="116" t="n"/>
    </row>
    <row r="747">
      <c r="AI747" s="116" t="n"/>
      <c r="AJ747" s="116" t="n"/>
      <c r="AK747" s="116" t="n"/>
      <c r="AL747" s="116" t="n"/>
      <c r="AM747" s="116" t="n"/>
      <c r="AN747" s="116" t="n"/>
      <c r="AO747" s="116" t="n"/>
      <c r="AP747" s="116" t="n"/>
      <c r="AQ747" s="116" t="n"/>
      <c r="AR747" s="116" t="n"/>
      <c r="AS747" s="116" t="n"/>
      <c r="AT747" s="116" t="n"/>
      <c r="AU747" s="116" t="n"/>
      <c r="AV747" s="116" t="n"/>
    </row>
    <row r="748">
      <c r="AI748" s="116" t="n"/>
      <c r="AJ748" s="116" t="n"/>
      <c r="AK748" s="116" t="n"/>
      <c r="AL748" s="116" t="n"/>
      <c r="AM748" s="116" t="n"/>
      <c r="AN748" s="116" t="n"/>
      <c r="AO748" s="116" t="n"/>
      <c r="AP748" s="116" t="n"/>
      <c r="AQ748" s="116" t="n"/>
      <c r="AR748" s="116" t="n"/>
      <c r="AS748" s="116" t="n"/>
      <c r="AT748" s="116" t="n"/>
      <c r="AU748" s="116" t="n"/>
      <c r="AV748" s="116" t="n"/>
    </row>
    <row r="749">
      <c r="AI749" s="116" t="n"/>
      <c r="AJ749" s="116" t="n"/>
      <c r="AK749" s="116" t="n"/>
      <c r="AL749" s="116" t="n"/>
      <c r="AM749" s="116" t="n"/>
      <c r="AN749" s="116" t="n"/>
      <c r="AO749" s="116" t="n"/>
      <c r="AP749" s="116" t="n"/>
      <c r="AQ749" s="116" t="n"/>
      <c r="AR749" s="116" t="n"/>
      <c r="AS749" s="116" t="n"/>
      <c r="AT749" s="116" t="n"/>
      <c r="AU749" s="116" t="n"/>
      <c r="AV749" s="116" t="n"/>
    </row>
    <row r="750">
      <c r="AI750" s="116" t="n"/>
      <c r="AJ750" s="116" t="n"/>
      <c r="AK750" s="116" t="n"/>
      <c r="AL750" s="116" t="n"/>
      <c r="AM750" s="116" t="n"/>
      <c r="AN750" s="116" t="n"/>
      <c r="AO750" s="116" t="n"/>
      <c r="AP750" s="116" t="n"/>
      <c r="AQ750" s="116" t="n"/>
      <c r="AR750" s="116" t="n"/>
      <c r="AS750" s="116" t="n"/>
      <c r="AT750" s="116" t="n"/>
      <c r="AU750" s="116" t="n"/>
      <c r="AV750" s="116" t="n"/>
    </row>
    <row r="751">
      <c r="AI751" s="116" t="n"/>
      <c r="AJ751" s="116" t="n"/>
      <c r="AK751" s="116" t="n"/>
      <c r="AL751" s="116" t="n"/>
      <c r="AM751" s="116" t="n"/>
      <c r="AN751" s="116" t="n"/>
      <c r="AO751" s="116" t="n"/>
      <c r="AP751" s="116" t="n"/>
      <c r="AQ751" s="116" t="n"/>
      <c r="AR751" s="116" t="n"/>
      <c r="AS751" s="116" t="n"/>
      <c r="AT751" s="116" t="n"/>
      <c r="AU751" s="116" t="n"/>
      <c r="AV751" s="116" t="n"/>
    </row>
    <row r="752">
      <c r="AI752" s="116" t="n"/>
      <c r="AJ752" s="116" t="n"/>
      <c r="AK752" s="116" t="n"/>
      <c r="AL752" s="116" t="n"/>
      <c r="AM752" s="116" t="n"/>
      <c r="AN752" s="116" t="n"/>
      <c r="AO752" s="116" t="n"/>
      <c r="AP752" s="116" t="n"/>
      <c r="AQ752" s="116" t="n"/>
      <c r="AR752" s="116" t="n"/>
      <c r="AS752" s="116" t="n"/>
      <c r="AT752" s="116" t="n"/>
      <c r="AU752" s="116" t="n"/>
      <c r="AV752" s="116" t="n"/>
    </row>
    <row r="753">
      <c r="AI753" s="116" t="n"/>
      <c r="AJ753" s="116" t="n"/>
      <c r="AK753" s="116" t="n"/>
      <c r="AL753" s="116" t="n"/>
      <c r="AM753" s="116" t="n"/>
      <c r="AN753" s="116" t="n"/>
      <c r="AO753" s="116" t="n"/>
      <c r="AP753" s="116" t="n"/>
      <c r="AQ753" s="116" t="n"/>
      <c r="AR753" s="116" t="n"/>
      <c r="AS753" s="116" t="n"/>
      <c r="AT753" s="116" t="n"/>
      <c r="AU753" s="116" t="n"/>
      <c r="AV753" s="116" t="n"/>
    </row>
    <row r="754">
      <c r="AI754" s="116" t="n"/>
      <c r="AJ754" s="116" t="n"/>
      <c r="AK754" s="116" t="n"/>
      <c r="AL754" s="116" t="n"/>
      <c r="AM754" s="116" t="n"/>
      <c r="AN754" s="116" t="n"/>
      <c r="AO754" s="116" t="n"/>
      <c r="AP754" s="116" t="n"/>
      <c r="AQ754" s="116" t="n"/>
      <c r="AR754" s="116" t="n"/>
      <c r="AS754" s="116" t="n"/>
      <c r="AT754" s="116" t="n"/>
      <c r="AU754" s="116" t="n"/>
      <c r="AV754" s="116" t="n"/>
    </row>
    <row r="755">
      <c r="AI755" s="116" t="n"/>
      <c r="AJ755" s="116" t="n"/>
      <c r="AK755" s="116" t="n"/>
      <c r="AL755" s="116" t="n"/>
      <c r="AM755" s="116" t="n"/>
      <c r="AN755" s="116" t="n"/>
      <c r="AO755" s="116" t="n"/>
      <c r="AP755" s="116" t="n"/>
      <c r="AQ755" s="116" t="n"/>
      <c r="AR755" s="116" t="n"/>
      <c r="AS755" s="116" t="n"/>
      <c r="AT755" s="116" t="n"/>
      <c r="AU755" s="116" t="n"/>
      <c r="AV755" s="116" t="n"/>
    </row>
    <row r="756">
      <c r="AI756" s="116" t="n"/>
      <c r="AJ756" s="116" t="n"/>
      <c r="AK756" s="116" t="n"/>
      <c r="AL756" s="116" t="n"/>
      <c r="AM756" s="116" t="n"/>
      <c r="AN756" s="116" t="n"/>
      <c r="AO756" s="116" t="n"/>
      <c r="AP756" s="116" t="n"/>
      <c r="AQ756" s="116" t="n"/>
      <c r="AR756" s="116" t="n"/>
      <c r="AS756" s="116" t="n"/>
      <c r="AT756" s="116" t="n"/>
      <c r="AU756" s="116" t="n"/>
      <c r="AV756" s="116" t="n"/>
    </row>
    <row r="757">
      <c r="AI757" s="116" t="n"/>
      <c r="AJ757" s="116" t="n"/>
      <c r="AK757" s="116" t="n"/>
      <c r="AL757" s="116" t="n"/>
      <c r="AM757" s="116" t="n"/>
      <c r="AN757" s="116" t="n"/>
      <c r="AO757" s="116" t="n"/>
      <c r="AP757" s="116" t="n"/>
      <c r="AQ757" s="116" t="n"/>
      <c r="AR757" s="116" t="n"/>
      <c r="AS757" s="116" t="n"/>
      <c r="AT757" s="116" t="n"/>
      <c r="AU757" s="116" t="n"/>
      <c r="AV757" s="116" t="n"/>
    </row>
    <row r="758">
      <c r="AI758" s="116" t="n"/>
      <c r="AJ758" s="116" t="n"/>
      <c r="AK758" s="116" t="n"/>
      <c r="AL758" s="116" t="n"/>
      <c r="AM758" s="116" t="n"/>
      <c r="AN758" s="116" t="n"/>
      <c r="AO758" s="116" t="n"/>
      <c r="AP758" s="116" t="n"/>
      <c r="AQ758" s="116" t="n"/>
      <c r="AR758" s="116" t="n"/>
      <c r="AS758" s="116" t="n"/>
      <c r="AT758" s="116" t="n"/>
      <c r="AU758" s="116" t="n"/>
      <c r="AV758" s="116" t="n"/>
    </row>
    <row r="759">
      <c r="AI759" s="116" t="n"/>
      <c r="AJ759" s="116" t="n"/>
      <c r="AK759" s="116" t="n"/>
      <c r="AL759" s="116" t="n"/>
      <c r="AM759" s="116" t="n"/>
      <c r="AN759" s="116" t="n"/>
      <c r="AO759" s="116" t="n"/>
      <c r="AP759" s="116" t="n"/>
      <c r="AQ759" s="116" t="n"/>
      <c r="AR759" s="116" t="n"/>
      <c r="AS759" s="116" t="n"/>
      <c r="AT759" s="116" t="n"/>
      <c r="AU759" s="116" t="n"/>
      <c r="AV759" s="116" t="n"/>
    </row>
    <row r="760">
      <c r="AI760" s="116" t="n"/>
      <c r="AJ760" s="116" t="n"/>
      <c r="AK760" s="116" t="n"/>
      <c r="AL760" s="116" t="n"/>
      <c r="AM760" s="116" t="n"/>
      <c r="AN760" s="116" t="n"/>
      <c r="AO760" s="116" t="n"/>
      <c r="AP760" s="116" t="n"/>
      <c r="AQ760" s="116" t="n"/>
      <c r="AR760" s="116" t="n"/>
      <c r="AS760" s="116" t="n"/>
      <c r="AT760" s="116" t="n"/>
      <c r="AU760" s="116" t="n"/>
      <c r="AV760" s="116" t="n"/>
    </row>
    <row r="761">
      <c r="AI761" s="116" t="n"/>
      <c r="AJ761" s="116" t="n"/>
      <c r="AK761" s="116" t="n"/>
      <c r="AL761" s="116" t="n"/>
      <c r="AM761" s="116" t="n"/>
      <c r="AN761" s="116" t="n"/>
      <c r="AO761" s="116" t="n"/>
      <c r="AP761" s="116" t="n"/>
      <c r="AQ761" s="116" t="n"/>
      <c r="AR761" s="116" t="n"/>
      <c r="AS761" s="116" t="n"/>
      <c r="AT761" s="116" t="n"/>
      <c r="AU761" s="116" t="n"/>
      <c r="AV761" s="116" t="n"/>
    </row>
    <row r="762">
      <c r="AI762" s="116" t="n"/>
      <c r="AJ762" s="116" t="n"/>
      <c r="AK762" s="116" t="n"/>
      <c r="AL762" s="116" t="n"/>
      <c r="AM762" s="116" t="n"/>
      <c r="AN762" s="116" t="n"/>
      <c r="AO762" s="116" t="n"/>
      <c r="AP762" s="116" t="n"/>
      <c r="AQ762" s="116" t="n"/>
      <c r="AR762" s="116" t="n"/>
      <c r="AS762" s="116" t="n"/>
      <c r="AT762" s="116" t="n"/>
      <c r="AU762" s="116" t="n"/>
      <c r="AV762" s="116" t="n"/>
    </row>
    <row r="763">
      <c r="AI763" s="116" t="n"/>
      <c r="AJ763" s="116" t="n"/>
      <c r="AK763" s="116" t="n"/>
      <c r="AL763" s="116" t="n"/>
      <c r="AM763" s="116" t="n"/>
      <c r="AN763" s="116" t="n"/>
      <c r="AO763" s="116" t="n"/>
      <c r="AP763" s="116" t="n"/>
      <c r="AQ763" s="116" t="n"/>
      <c r="AR763" s="116" t="n"/>
      <c r="AS763" s="116" t="n"/>
      <c r="AT763" s="116" t="n"/>
      <c r="AU763" s="116" t="n"/>
      <c r="AV763" s="116" t="n"/>
    </row>
    <row r="764">
      <c r="AI764" s="116" t="n"/>
      <c r="AJ764" s="116" t="n"/>
      <c r="AK764" s="116" t="n"/>
      <c r="AL764" s="116" t="n"/>
      <c r="AM764" s="116" t="n"/>
      <c r="AN764" s="116" t="n"/>
      <c r="AO764" s="116" t="n"/>
      <c r="AP764" s="116" t="n"/>
      <c r="AQ764" s="116" t="n"/>
      <c r="AR764" s="116" t="n"/>
      <c r="AS764" s="116" t="n"/>
      <c r="AT764" s="116" t="n"/>
      <c r="AU764" s="116" t="n"/>
      <c r="AV764" s="116" t="n"/>
    </row>
    <row r="765">
      <c r="AI765" s="116" t="n"/>
      <c r="AJ765" s="116" t="n"/>
      <c r="AK765" s="116" t="n"/>
      <c r="AL765" s="116" t="n"/>
      <c r="AM765" s="116" t="n"/>
      <c r="AN765" s="116" t="n"/>
      <c r="AO765" s="116" t="n"/>
      <c r="AP765" s="116" t="n"/>
      <c r="AQ765" s="116" t="n"/>
      <c r="AR765" s="116" t="n"/>
      <c r="AS765" s="116" t="n"/>
      <c r="AT765" s="116" t="n"/>
      <c r="AU765" s="116" t="n"/>
      <c r="AV765" s="116" t="n"/>
    </row>
    <row r="766">
      <c r="AI766" s="116" t="n"/>
      <c r="AJ766" s="116" t="n"/>
      <c r="AK766" s="116" t="n"/>
      <c r="AL766" s="116" t="n"/>
      <c r="AM766" s="116" t="n"/>
      <c r="AN766" s="116" t="n"/>
      <c r="AO766" s="116" t="n"/>
      <c r="AP766" s="116" t="n"/>
      <c r="AQ766" s="116" t="n"/>
      <c r="AR766" s="116" t="n"/>
      <c r="AS766" s="116" t="n"/>
      <c r="AT766" s="116" t="n"/>
      <c r="AU766" s="116" t="n"/>
      <c r="AV766" s="116" t="n"/>
    </row>
    <row r="767">
      <c r="AI767" s="116" t="n"/>
      <c r="AJ767" s="116" t="n"/>
      <c r="AK767" s="116" t="n"/>
      <c r="AL767" s="116" t="n"/>
      <c r="AM767" s="116" t="n"/>
      <c r="AN767" s="116" t="n"/>
      <c r="AO767" s="116" t="n"/>
      <c r="AP767" s="116" t="n"/>
      <c r="AQ767" s="116" t="n"/>
      <c r="AR767" s="116" t="n"/>
      <c r="AS767" s="116" t="n"/>
      <c r="AT767" s="116" t="n"/>
      <c r="AU767" s="116" t="n"/>
      <c r="AV767" s="116" t="n"/>
    </row>
    <row r="768">
      <c r="AI768" s="116" t="n"/>
      <c r="AJ768" s="116" t="n"/>
      <c r="AK768" s="116" t="n"/>
      <c r="AL768" s="116" t="n"/>
      <c r="AM768" s="116" t="n"/>
      <c r="AN768" s="116" t="n"/>
      <c r="AO768" s="116" t="n"/>
      <c r="AP768" s="116" t="n"/>
      <c r="AQ768" s="116" t="n"/>
      <c r="AR768" s="116" t="n"/>
      <c r="AS768" s="116" t="n"/>
      <c r="AT768" s="116" t="n"/>
      <c r="AU768" s="116" t="n"/>
      <c r="AV768" s="116" t="n"/>
    </row>
    <row r="769">
      <c r="AI769" s="116" t="n"/>
      <c r="AJ769" s="116" t="n"/>
      <c r="AK769" s="116" t="n"/>
      <c r="AL769" s="116" t="n"/>
      <c r="AM769" s="116" t="n"/>
      <c r="AN769" s="116" t="n"/>
      <c r="AO769" s="116" t="n"/>
      <c r="AP769" s="116" t="n"/>
      <c r="AQ769" s="116" t="n"/>
      <c r="AR769" s="116" t="n"/>
      <c r="AS769" s="116" t="n"/>
      <c r="AT769" s="116" t="n"/>
      <c r="AU769" s="116" t="n"/>
      <c r="AV769" s="116" t="n"/>
    </row>
    <row r="770">
      <c r="AI770" s="116" t="n"/>
      <c r="AJ770" s="116" t="n"/>
      <c r="AK770" s="116" t="n"/>
      <c r="AL770" s="116" t="n"/>
      <c r="AM770" s="116" t="n"/>
      <c r="AN770" s="116" t="n"/>
      <c r="AO770" s="116" t="n"/>
      <c r="AP770" s="116" t="n"/>
      <c r="AQ770" s="116" t="n"/>
      <c r="AR770" s="116" t="n"/>
      <c r="AS770" s="116" t="n"/>
      <c r="AT770" s="116" t="n"/>
      <c r="AU770" s="116" t="n"/>
      <c r="AV770" s="116" t="n"/>
    </row>
    <row r="771">
      <c r="AI771" s="116" t="n"/>
      <c r="AJ771" s="116" t="n"/>
      <c r="AK771" s="116" t="n"/>
      <c r="AL771" s="116" t="n"/>
      <c r="AM771" s="116" t="n"/>
      <c r="AN771" s="116" t="n"/>
      <c r="AO771" s="116" t="n"/>
      <c r="AP771" s="116" t="n"/>
      <c r="AQ771" s="116" t="n"/>
      <c r="AR771" s="116" t="n"/>
      <c r="AS771" s="116" t="n"/>
      <c r="AT771" s="116" t="n"/>
      <c r="AU771" s="116" t="n"/>
      <c r="AV771" s="116" t="n"/>
    </row>
    <row r="772">
      <c r="AI772" s="116" t="n"/>
      <c r="AJ772" s="116" t="n"/>
      <c r="AK772" s="116" t="n"/>
      <c r="AL772" s="116" t="n"/>
      <c r="AM772" s="116" t="n"/>
      <c r="AN772" s="116" t="n"/>
      <c r="AO772" s="116" t="n"/>
      <c r="AP772" s="116" t="n"/>
      <c r="AQ772" s="116" t="n"/>
      <c r="AR772" s="116" t="n"/>
      <c r="AS772" s="116" t="n"/>
      <c r="AT772" s="116" t="n"/>
      <c r="AU772" s="116" t="n"/>
      <c r="AV772" s="116" t="n"/>
    </row>
    <row r="773">
      <c r="AI773" s="116" t="n"/>
      <c r="AJ773" s="116" t="n"/>
      <c r="AK773" s="116" t="n"/>
      <c r="AL773" s="116" t="n"/>
      <c r="AM773" s="116" t="n"/>
      <c r="AN773" s="116" t="n"/>
      <c r="AO773" s="116" t="n"/>
      <c r="AP773" s="116" t="n"/>
      <c r="AQ773" s="116" t="n"/>
      <c r="AR773" s="116" t="n"/>
      <c r="AS773" s="116" t="n"/>
      <c r="AT773" s="116" t="n"/>
      <c r="AU773" s="116" t="n"/>
      <c r="AV773" s="116" t="n"/>
    </row>
    <row r="774">
      <c r="AI774" s="116" t="n"/>
      <c r="AJ774" s="116" t="n"/>
      <c r="AK774" s="116" t="n"/>
      <c r="AL774" s="116" t="n"/>
      <c r="AM774" s="116" t="n"/>
      <c r="AN774" s="116" t="n"/>
      <c r="AO774" s="116" t="n"/>
      <c r="AP774" s="116" t="n"/>
      <c r="AQ774" s="116" t="n"/>
      <c r="AR774" s="116" t="n"/>
      <c r="AS774" s="116" t="n"/>
      <c r="AT774" s="116" t="n"/>
      <c r="AU774" s="116" t="n"/>
      <c r="AV774" s="116" t="n"/>
    </row>
    <row r="775">
      <c r="AI775" s="116" t="n"/>
      <c r="AJ775" s="116" t="n"/>
      <c r="AK775" s="116" t="n"/>
      <c r="AL775" s="116" t="n"/>
      <c r="AM775" s="116" t="n"/>
      <c r="AN775" s="116" t="n"/>
      <c r="AO775" s="116" t="n"/>
      <c r="AP775" s="116" t="n"/>
      <c r="AQ775" s="116" t="n"/>
      <c r="AR775" s="116" t="n"/>
      <c r="AS775" s="116" t="n"/>
      <c r="AT775" s="116" t="n"/>
      <c r="AU775" s="116" t="n"/>
      <c r="AV775" s="116" t="n"/>
    </row>
    <row r="776">
      <c r="AI776" s="116" t="n"/>
      <c r="AJ776" s="116" t="n"/>
      <c r="AK776" s="116" t="n"/>
      <c r="AL776" s="116" t="n"/>
      <c r="AM776" s="116" t="n"/>
      <c r="AN776" s="116" t="n"/>
      <c r="AO776" s="116" t="n"/>
      <c r="AP776" s="116" t="n"/>
      <c r="AQ776" s="116" t="n"/>
      <c r="AR776" s="116" t="n"/>
      <c r="AS776" s="116" t="n"/>
      <c r="AT776" s="116" t="n"/>
      <c r="AU776" s="116" t="n"/>
      <c r="AV776" s="116" t="n"/>
    </row>
    <row r="777">
      <c r="AI777" s="116" t="n"/>
      <c r="AJ777" s="116" t="n"/>
      <c r="AK777" s="116" t="n"/>
      <c r="AL777" s="116" t="n"/>
      <c r="AM777" s="116" t="n"/>
      <c r="AN777" s="116" t="n"/>
      <c r="AO777" s="116" t="n"/>
      <c r="AP777" s="116" t="n"/>
      <c r="AQ777" s="116" t="n"/>
      <c r="AR777" s="116" t="n"/>
      <c r="AS777" s="116" t="n"/>
      <c r="AT777" s="116" t="n"/>
      <c r="AU777" s="116" t="n"/>
      <c r="AV777" s="116" t="n"/>
    </row>
    <row r="778">
      <c r="AI778" s="116" t="n"/>
      <c r="AJ778" s="116" t="n"/>
      <c r="AK778" s="116" t="n"/>
      <c r="AL778" s="116" t="n"/>
      <c r="AM778" s="116" t="n"/>
      <c r="AN778" s="116" t="n"/>
      <c r="AO778" s="116" t="n"/>
      <c r="AP778" s="116" t="n"/>
      <c r="AQ778" s="116" t="n"/>
      <c r="AR778" s="116" t="n"/>
      <c r="AS778" s="116" t="n"/>
      <c r="AT778" s="116" t="n"/>
      <c r="AU778" s="116" t="n"/>
      <c r="AV778" s="116" t="n"/>
    </row>
    <row r="779">
      <c r="AI779" s="116" t="n"/>
      <c r="AJ779" s="116" t="n"/>
      <c r="AK779" s="116" t="n"/>
      <c r="AL779" s="116" t="n"/>
      <c r="AM779" s="116" t="n"/>
      <c r="AN779" s="116" t="n"/>
      <c r="AO779" s="116" t="n"/>
      <c r="AP779" s="116" t="n"/>
      <c r="AQ779" s="116" t="n"/>
      <c r="AR779" s="116" t="n"/>
      <c r="AS779" s="116" t="n"/>
      <c r="AT779" s="116" t="n"/>
      <c r="AU779" s="116" t="n"/>
      <c r="AV779" s="116" t="n"/>
    </row>
    <row r="780">
      <c r="AI780" s="116" t="n"/>
      <c r="AJ780" s="116" t="n"/>
      <c r="AK780" s="116" t="n"/>
      <c r="AL780" s="116" t="n"/>
      <c r="AM780" s="116" t="n"/>
      <c r="AN780" s="116" t="n"/>
      <c r="AO780" s="116" t="n"/>
      <c r="AP780" s="116" t="n"/>
      <c r="AQ780" s="116" t="n"/>
      <c r="AR780" s="116" t="n"/>
      <c r="AS780" s="116" t="n"/>
      <c r="AT780" s="116" t="n"/>
      <c r="AU780" s="116" t="n"/>
      <c r="AV780" s="116" t="n"/>
    </row>
    <row r="781">
      <c r="AI781" s="116" t="n"/>
      <c r="AJ781" s="116" t="n"/>
      <c r="AK781" s="116" t="n"/>
      <c r="AL781" s="116" t="n"/>
      <c r="AM781" s="116" t="n"/>
      <c r="AN781" s="116" t="n"/>
      <c r="AO781" s="116" t="n"/>
      <c r="AP781" s="116" t="n"/>
      <c r="AQ781" s="116" t="n"/>
      <c r="AR781" s="116" t="n"/>
      <c r="AS781" s="116" t="n"/>
      <c r="AT781" s="116" t="n"/>
      <c r="AU781" s="116" t="n"/>
      <c r="AV781" s="116" t="n"/>
    </row>
    <row r="782">
      <c r="AI782" s="116" t="n"/>
      <c r="AJ782" s="116" t="n"/>
      <c r="AK782" s="116" t="n"/>
      <c r="AL782" s="116" t="n"/>
      <c r="AM782" s="116" t="n"/>
      <c r="AN782" s="116" t="n"/>
      <c r="AO782" s="116" t="n"/>
      <c r="AP782" s="116" t="n"/>
      <c r="AQ782" s="116" t="n"/>
      <c r="AR782" s="116" t="n"/>
      <c r="AS782" s="116" t="n"/>
      <c r="AT782" s="116" t="n"/>
      <c r="AU782" s="116" t="n"/>
      <c r="AV782" s="116" t="n"/>
    </row>
    <row r="783">
      <c r="AI783" s="116" t="n"/>
      <c r="AJ783" s="116" t="n"/>
      <c r="AK783" s="116" t="n"/>
      <c r="AL783" s="116" t="n"/>
      <c r="AM783" s="116" t="n"/>
      <c r="AN783" s="116" t="n"/>
      <c r="AO783" s="116" t="n"/>
      <c r="AP783" s="116" t="n"/>
      <c r="AQ783" s="116" t="n"/>
      <c r="AR783" s="116" t="n"/>
      <c r="AS783" s="116" t="n"/>
      <c r="AT783" s="116" t="n"/>
      <c r="AU783" s="116" t="n"/>
      <c r="AV783" s="116" t="n"/>
    </row>
    <row r="784">
      <c r="AI784" s="116" t="n"/>
      <c r="AJ784" s="116" t="n"/>
      <c r="AK784" s="116" t="n"/>
      <c r="AL784" s="116" t="n"/>
      <c r="AM784" s="116" t="n"/>
      <c r="AN784" s="116" t="n"/>
      <c r="AO784" s="116" t="n"/>
      <c r="AP784" s="116" t="n"/>
      <c r="AQ784" s="116" t="n"/>
      <c r="AR784" s="116" t="n"/>
      <c r="AS784" s="116" t="n"/>
      <c r="AT784" s="116" t="n"/>
      <c r="AU784" s="116" t="n"/>
      <c r="AV784" s="116" t="n"/>
    </row>
    <row r="785">
      <c r="AI785" s="116" t="n"/>
      <c r="AJ785" s="116" t="n"/>
      <c r="AK785" s="116" t="n"/>
      <c r="AL785" s="116" t="n"/>
      <c r="AM785" s="116" t="n"/>
      <c r="AN785" s="116" t="n"/>
      <c r="AO785" s="116" t="n"/>
      <c r="AP785" s="116" t="n"/>
      <c r="AQ785" s="116" t="n"/>
      <c r="AR785" s="116" t="n"/>
      <c r="AS785" s="116" t="n"/>
      <c r="AT785" s="116" t="n"/>
      <c r="AU785" s="116" t="n"/>
      <c r="AV785" s="116" t="n"/>
    </row>
    <row r="786">
      <c r="AI786" s="116" t="n"/>
      <c r="AJ786" s="116" t="n"/>
      <c r="AK786" s="116" t="n"/>
      <c r="AL786" s="116" t="n"/>
      <c r="AM786" s="116" t="n"/>
      <c r="AN786" s="116" t="n"/>
      <c r="AO786" s="116" t="n"/>
      <c r="AP786" s="116" t="n"/>
      <c r="AQ786" s="116" t="n"/>
      <c r="AR786" s="116" t="n"/>
      <c r="AS786" s="116" t="n"/>
      <c r="AT786" s="116" t="n"/>
      <c r="AU786" s="116" t="n"/>
      <c r="AV786" s="116" t="n"/>
    </row>
    <row r="787">
      <c r="AI787" s="116" t="n"/>
      <c r="AJ787" s="116" t="n"/>
      <c r="AK787" s="116" t="n"/>
      <c r="AL787" s="116" t="n"/>
      <c r="AM787" s="116" t="n"/>
      <c r="AN787" s="116" t="n"/>
      <c r="AO787" s="116" t="n"/>
      <c r="AP787" s="116" t="n"/>
      <c r="AQ787" s="116" t="n"/>
      <c r="AR787" s="116" t="n"/>
      <c r="AS787" s="116" t="n"/>
      <c r="AT787" s="116" t="n"/>
      <c r="AU787" s="116" t="n"/>
      <c r="AV787" s="116" t="n"/>
    </row>
    <row r="788">
      <c r="AI788" s="116" t="n"/>
      <c r="AJ788" s="116" t="n"/>
      <c r="AK788" s="116" t="n"/>
      <c r="AL788" s="116" t="n"/>
      <c r="AM788" s="116" t="n"/>
      <c r="AN788" s="116" t="n"/>
      <c r="AO788" s="116" t="n"/>
      <c r="AP788" s="116" t="n"/>
      <c r="AQ788" s="116" t="n"/>
      <c r="AR788" s="116" t="n"/>
      <c r="AS788" s="116" t="n"/>
      <c r="AT788" s="116" t="n"/>
      <c r="AU788" s="116" t="n"/>
      <c r="AV788" s="116" t="n"/>
    </row>
    <row r="789">
      <c r="AI789" s="116" t="n"/>
      <c r="AJ789" s="116" t="n"/>
      <c r="AK789" s="116" t="n"/>
      <c r="AL789" s="116" t="n"/>
      <c r="AM789" s="116" t="n"/>
      <c r="AN789" s="116" t="n"/>
      <c r="AO789" s="116" t="n"/>
      <c r="AP789" s="116" t="n"/>
      <c r="AQ789" s="116" t="n"/>
      <c r="AR789" s="116" t="n"/>
      <c r="AS789" s="116" t="n"/>
      <c r="AT789" s="116" t="n"/>
      <c r="AU789" s="116" t="n"/>
      <c r="AV789" s="116" t="n"/>
    </row>
    <row r="790">
      <c r="AI790" s="116" t="n"/>
      <c r="AJ790" s="116" t="n"/>
      <c r="AK790" s="116" t="n"/>
      <c r="AL790" s="116" t="n"/>
      <c r="AM790" s="116" t="n"/>
      <c r="AN790" s="116" t="n"/>
      <c r="AO790" s="116" t="n"/>
      <c r="AP790" s="116" t="n"/>
      <c r="AQ790" s="116" t="n"/>
      <c r="AR790" s="116" t="n"/>
      <c r="AS790" s="116" t="n"/>
      <c r="AT790" s="116" t="n"/>
      <c r="AU790" s="116" t="n"/>
      <c r="AV790" s="116" t="n"/>
    </row>
    <row r="791">
      <c r="AI791" s="116" t="n"/>
      <c r="AJ791" s="116" t="n"/>
      <c r="AK791" s="116" t="n"/>
      <c r="AL791" s="116" t="n"/>
      <c r="AM791" s="116" t="n"/>
      <c r="AN791" s="116" t="n"/>
      <c r="AO791" s="116" t="n"/>
      <c r="AP791" s="116" t="n"/>
      <c r="AQ791" s="116" t="n"/>
      <c r="AR791" s="116" t="n"/>
      <c r="AS791" s="116" t="n"/>
      <c r="AT791" s="116" t="n"/>
      <c r="AU791" s="116" t="n"/>
      <c r="AV791" s="116" t="n"/>
    </row>
    <row r="792">
      <c r="AI792" s="116" t="n"/>
      <c r="AJ792" s="116" t="n"/>
      <c r="AK792" s="116" t="n"/>
      <c r="AL792" s="116" t="n"/>
      <c r="AM792" s="116" t="n"/>
      <c r="AN792" s="116" t="n"/>
      <c r="AO792" s="116" t="n"/>
      <c r="AP792" s="116" t="n"/>
      <c r="AQ792" s="116" t="n"/>
      <c r="AR792" s="116" t="n"/>
      <c r="AS792" s="116" t="n"/>
      <c r="AT792" s="116" t="n"/>
      <c r="AU792" s="116" t="n"/>
      <c r="AV792" s="116" t="n"/>
    </row>
    <row r="793">
      <c r="AI793" s="116" t="n"/>
      <c r="AJ793" s="116" t="n"/>
      <c r="AK793" s="116" t="n"/>
      <c r="AL793" s="116" t="n"/>
      <c r="AM793" s="116" t="n"/>
      <c r="AN793" s="116" t="n"/>
      <c r="AO793" s="116" t="n"/>
      <c r="AP793" s="116" t="n"/>
      <c r="AQ793" s="116" t="n"/>
      <c r="AR793" s="116" t="n"/>
      <c r="AS793" s="116" t="n"/>
      <c r="AT793" s="116" t="n"/>
      <c r="AU793" s="116" t="n"/>
      <c r="AV793" s="116" t="n"/>
    </row>
    <row r="794">
      <c r="AI794" s="116" t="n"/>
      <c r="AJ794" s="116" t="n"/>
      <c r="AK794" s="116" t="n"/>
      <c r="AL794" s="116" t="n"/>
      <c r="AM794" s="116" t="n"/>
      <c r="AN794" s="116" t="n"/>
      <c r="AO794" s="116" t="n"/>
      <c r="AP794" s="116" t="n"/>
      <c r="AQ794" s="116" t="n"/>
      <c r="AR794" s="116" t="n"/>
      <c r="AS794" s="116" t="n"/>
      <c r="AT794" s="116" t="n"/>
      <c r="AU794" s="116" t="n"/>
      <c r="AV794" s="116" t="n"/>
    </row>
    <row r="795">
      <c r="AI795" s="116" t="n"/>
      <c r="AJ795" s="116" t="n"/>
      <c r="AK795" s="116" t="n"/>
      <c r="AL795" s="116" t="n"/>
      <c r="AM795" s="116" t="n"/>
      <c r="AN795" s="116" t="n"/>
      <c r="AO795" s="116" t="n"/>
      <c r="AP795" s="116" t="n"/>
      <c r="AQ795" s="116" t="n"/>
      <c r="AR795" s="116" t="n"/>
      <c r="AS795" s="116" t="n"/>
      <c r="AT795" s="116" t="n"/>
      <c r="AU795" s="116" t="n"/>
      <c r="AV795" s="116" t="n"/>
    </row>
    <row r="796">
      <c r="AI796" s="116" t="n"/>
      <c r="AJ796" s="116" t="n"/>
      <c r="AK796" s="116" t="n"/>
      <c r="AL796" s="116" t="n"/>
      <c r="AM796" s="116" t="n"/>
      <c r="AN796" s="116" t="n"/>
      <c r="AO796" s="116" t="n"/>
      <c r="AP796" s="116" t="n"/>
      <c r="AQ796" s="116" t="n"/>
      <c r="AR796" s="116" t="n"/>
      <c r="AS796" s="116" t="n"/>
      <c r="AT796" s="116" t="n"/>
      <c r="AU796" s="116" t="n"/>
      <c r="AV796" s="116" t="n"/>
    </row>
    <row r="797">
      <c r="AI797" s="116" t="n"/>
      <c r="AJ797" s="116" t="n"/>
      <c r="AK797" s="116" t="n"/>
      <c r="AL797" s="116" t="n"/>
      <c r="AM797" s="116" t="n"/>
      <c r="AN797" s="116" t="n"/>
      <c r="AO797" s="116" t="n"/>
      <c r="AP797" s="116" t="n"/>
      <c r="AQ797" s="116" t="n"/>
      <c r="AR797" s="116" t="n"/>
      <c r="AS797" s="116" t="n"/>
      <c r="AT797" s="116" t="n"/>
      <c r="AU797" s="116" t="n"/>
      <c r="AV797" s="116" t="n"/>
    </row>
    <row r="798">
      <c r="AI798" s="116" t="n"/>
      <c r="AJ798" s="116" t="n"/>
      <c r="AK798" s="116" t="n"/>
      <c r="AL798" s="116" t="n"/>
      <c r="AM798" s="116" t="n"/>
      <c r="AN798" s="116" t="n"/>
      <c r="AO798" s="116" t="n"/>
      <c r="AP798" s="116" t="n"/>
      <c r="AQ798" s="116" t="n"/>
      <c r="AR798" s="116" t="n"/>
      <c r="AS798" s="116" t="n"/>
      <c r="AT798" s="116" t="n"/>
      <c r="AU798" s="116" t="n"/>
      <c r="AV798" s="116" t="n"/>
    </row>
    <row r="799">
      <c r="AI799" s="116" t="n"/>
      <c r="AJ799" s="116" t="n"/>
      <c r="AK799" s="116" t="n"/>
      <c r="AL799" s="116" t="n"/>
      <c r="AM799" s="116" t="n"/>
      <c r="AN799" s="116" t="n"/>
      <c r="AO799" s="116" t="n"/>
      <c r="AP799" s="116" t="n"/>
      <c r="AQ799" s="116" t="n"/>
      <c r="AR799" s="116" t="n"/>
      <c r="AS799" s="116" t="n"/>
      <c r="AT799" s="116" t="n"/>
      <c r="AU799" s="116" t="n"/>
      <c r="AV799" s="116" t="n"/>
    </row>
    <row r="800">
      <c r="AI800" s="116" t="n"/>
      <c r="AJ800" s="116" t="n"/>
      <c r="AK800" s="116" t="n"/>
      <c r="AL800" s="116" t="n"/>
      <c r="AM800" s="116" t="n"/>
      <c r="AN800" s="116" t="n"/>
      <c r="AO800" s="116" t="n"/>
      <c r="AP800" s="116" t="n"/>
      <c r="AQ800" s="116" t="n"/>
      <c r="AR800" s="116" t="n"/>
      <c r="AS800" s="116" t="n"/>
      <c r="AT800" s="116" t="n"/>
      <c r="AU800" s="116" t="n"/>
      <c r="AV800" s="116" t="n"/>
    </row>
    <row r="801">
      <c r="AI801" s="116" t="n"/>
      <c r="AJ801" s="116" t="n"/>
      <c r="AK801" s="116" t="n"/>
      <c r="AL801" s="116" t="n"/>
      <c r="AM801" s="116" t="n"/>
      <c r="AN801" s="116" t="n"/>
      <c r="AO801" s="116" t="n"/>
      <c r="AP801" s="116" t="n"/>
      <c r="AQ801" s="116" t="n"/>
      <c r="AR801" s="116" t="n"/>
      <c r="AS801" s="116" t="n"/>
      <c r="AT801" s="116" t="n"/>
      <c r="AU801" s="116" t="n"/>
      <c r="AV801" s="116" t="n"/>
    </row>
    <row r="802">
      <c r="AI802" s="116" t="n"/>
      <c r="AJ802" s="116" t="n"/>
      <c r="AK802" s="116" t="n"/>
      <c r="AL802" s="116" t="n"/>
      <c r="AM802" s="116" t="n"/>
      <c r="AN802" s="116" t="n"/>
      <c r="AO802" s="116" t="n"/>
      <c r="AP802" s="116" t="n"/>
      <c r="AQ802" s="116" t="n"/>
      <c r="AR802" s="116" t="n"/>
      <c r="AS802" s="116" t="n"/>
      <c r="AT802" s="116" t="n"/>
      <c r="AU802" s="116" t="n"/>
      <c r="AV802" s="116" t="n"/>
    </row>
    <row r="803">
      <c r="AI803" s="116" t="n"/>
      <c r="AJ803" s="116" t="n"/>
      <c r="AK803" s="116" t="n"/>
      <c r="AL803" s="116" t="n"/>
      <c r="AM803" s="116" t="n"/>
      <c r="AN803" s="116" t="n"/>
      <c r="AO803" s="116" t="n"/>
      <c r="AP803" s="116" t="n"/>
      <c r="AQ803" s="116" t="n"/>
      <c r="AR803" s="116" t="n"/>
      <c r="AS803" s="116" t="n"/>
      <c r="AT803" s="116" t="n"/>
      <c r="AU803" s="116" t="n"/>
      <c r="AV803" s="116" t="n"/>
    </row>
    <row r="804">
      <c r="AI804" s="116" t="n"/>
      <c r="AJ804" s="116" t="n"/>
      <c r="AK804" s="116" t="n"/>
      <c r="AL804" s="116" t="n"/>
      <c r="AM804" s="116" t="n"/>
      <c r="AN804" s="116" t="n"/>
      <c r="AO804" s="116" t="n"/>
      <c r="AP804" s="116" t="n"/>
      <c r="AQ804" s="116" t="n"/>
      <c r="AR804" s="116" t="n"/>
      <c r="AS804" s="116" t="n"/>
      <c r="AT804" s="116" t="n"/>
      <c r="AU804" s="116" t="n"/>
      <c r="AV804" s="116" t="n"/>
    </row>
    <row r="805">
      <c r="AI805" s="116" t="n"/>
      <c r="AJ805" s="116" t="n"/>
      <c r="AK805" s="116" t="n"/>
      <c r="AL805" s="116" t="n"/>
      <c r="AM805" s="116" t="n"/>
      <c r="AN805" s="116" t="n"/>
      <c r="AO805" s="116" t="n"/>
      <c r="AP805" s="116" t="n"/>
      <c r="AQ805" s="116" t="n"/>
      <c r="AR805" s="116" t="n"/>
      <c r="AS805" s="116" t="n"/>
      <c r="AT805" s="116" t="n"/>
      <c r="AU805" s="116" t="n"/>
      <c r="AV805" s="116" t="n"/>
    </row>
    <row r="806">
      <c r="AI806" s="116" t="n"/>
      <c r="AJ806" s="116" t="n"/>
      <c r="AK806" s="116" t="n"/>
      <c r="AL806" s="116" t="n"/>
      <c r="AM806" s="116" t="n"/>
      <c r="AN806" s="116" t="n"/>
      <c r="AO806" s="116" t="n"/>
      <c r="AP806" s="116" t="n"/>
      <c r="AQ806" s="116" t="n"/>
      <c r="AR806" s="116" t="n"/>
      <c r="AS806" s="116" t="n"/>
      <c r="AT806" s="116" t="n"/>
      <c r="AU806" s="116" t="n"/>
      <c r="AV806" s="116" t="n"/>
    </row>
    <row r="807">
      <c r="AI807" s="116" t="n"/>
      <c r="AJ807" s="116" t="n"/>
      <c r="AK807" s="116" t="n"/>
      <c r="AL807" s="116" t="n"/>
      <c r="AM807" s="116" t="n"/>
      <c r="AN807" s="116" t="n"/>
      <c r="AO807" s="116" t="n"/>
      <c r="AP807" s="116" t="n"/>
      <c r="AQ807" s="116" t="n"/>
      <c r="AR807" s="116" t="n"/>
      <c r="AS807" s="116" t="n"/>
      <c r="AT807" s="116" t="n"/>
      <c r="AU807" s="116" t="n"/>
      <c r="AV807" s="116" t="n"/>
    </row>
    <row r="808">
      <c r="AI808" s="116" t="n"/>
      <c r="AJ808" s="116" t="n"/>
      <c r="AK808" s="116" t="n"/>
      <c r="AL808" s="116" t="n"/>
      <c r="AM808" s="116" t="n"/>
      <c r="AN808" s="116" t="n"/>
      <c r="AO808" s="116" t="n"/>
      <c r="AP808" s="116" t="n"/>
      <c r="AQ808" s="116" t="n"/>
      <c r="AR808" s="116" t="n"/>
      <c r="AS808" s="116" t="n"/>
      <c r="AT808" s="116" t="n"/>
      <c r="AU808" s="116" t="n"/>
      <c r="AV808" s="116" t="n"/>
    </row>
    <row r="809">
      <c r="AI809" s="116" t="n"/>
      <c r="AJ809" s="116" t="n"/>
      <c r="AK809" s="116" t="n"/>
      <c r="AL809" s="116" t="n"/>
      <c r="AM809" s="116" t="n"/>
      <c r="AN809" s="116" t="n"/>
      <c r="AO809" s="116" t="n"/>
      <c r="AP809" s="116" t="n"/>
      <c r="AQ809" s="116" t="n"/>
      <c r="AR809" s="116" t="n"/>
      <c r="AS809" s="116" t="n"/>
      <c r="AT809" s="116" t="n"/>
      <c r="AU809" s="116" t="n"/>
      <c r="AV809" s="116" t="n"/>
    </row>
    <row r="810">
      <c r="AI810" s="116" t="n"/>
      <c r="AJ810" s="116" t="n"/>
      <c r="AK810" s="116" t="n"/>
      <c r="AL810" s="116" t="n"/>
      <c r="AM810" s="116" t="n"/>
      <c r="AN810" s="116" t="n"/>
      <c r="AO810" s="116" t="n"/>
      <c r="AP810" s="116" t="n"/>
      <c r="AQ810" s="116" t="n"/>
      <c r="AR810" s="116" t="n"/>
      <c r="AS810" s="116" t="n"/>
      <c r="AT810" s="116" t="n"/>
      <c r="AU810" s="116" t="n"/>
      <c r="AV810" s="116" t="n"/>
    </row>
    <row r="811">
      <c r="AI811" s="116" t="n"/>
      <c r="AJ811" s="116" t="n"/>
      <c r="AK811" s="116" t="n"/>
      <c r="AL811" s="116" t="n"/>
      <c r="AM811" s="116" t="n"/>
      <c r="AN811" s="116" t="n"/>
      <c r="AO811" s="116" t="n"/>
      <c r="AP811" s="116" t="n"/>
      <c r="AQ811" s="116" t="n"/>
      <c r="AR811" s="116" t="n"/>
      <c r="AS811" s="116" t="n"/>
      <c r="AT811" s="116" t="n"/>
      <c r="AU811" s="116" t="n"/>
      <c r="AV811" s="116" t="n"/>
    </row>
    <row r="812">
      <c r="AI812" s="116" t="n"/>
      <c r="AJ812" s="116" t="n"/>
      <c r="AK812" s="116" t="n"/>
      <c r="AL812" s="116" t="n"/>
      <c r="AM812" s="116" t="n"/>
      <c r="AN812" s="116" t="n"/>
      <c r="AO812" s="116" t="n"/>
      <c r="AP812" s="116" t="n"/>
      <c r="AQ812" s="116" t="n"/>
      <c r="AR812" s="116" t="n"/>
      <c r="AS812" s="116" t="n"/>
      <c r="AT812" s="116" t="n"/>
      <c r="AU812" s="116" t="n"/>
      <c r="AV812" s="116" t="n"/>
    </row>
    <row r="813">
      <c r="AI813" s="116" t="n"/>
      <c r="AJ813" s="116" t="n"/>
      <c r="AK813" s="116" t="n"/>
      <c r="AL813" s="116" t="n"/>
      <c r="AM813" s="116" t="n"/>
      <c r="AN813" s="116" t="n"/>
      <c r="AO813" s="116" t="n"/>
      <c r="AP813" s="116" t="n"/>
      <c r="AQ813" s="116" t="n"/>
      <c r="AR813" s="116" t="n"/>
      <c r="AS813" s="116" t="n"/>
      <c r="AT813" s="116" t="n"/>
      <c r="AU813" s="116" t="n"/>
      <c r="AV813" s="116" t="n"/>
    </row>
    <row r="814">
      <c r="AI814" s="116" t="n"/>
      <c r="AJ814" s="116" t="n"/>
      <c r="AK814" s="116" t="n"/>
      <c r="AL814" s="116" t="n"/>
      <c r="AM814" s="116" t="n"/>
      <c r="AN814" s="116" t="n"/>
      <c r="AO814" s="116" t="n"/>
      <c r="AP814" s="116" t="n"/>
      <c r="AQ814" s="116" t="n"/>
      <c r="AR814" s="116" t="n"/>
      <c r="AS814" s="116" t="n"/>
      <c r="AT814" s="116" t="n"/>
      <c r="AU814" s="116" t="n"/>
      <c r="AV814" s="116" t="n"/>
    </row>
    <row r="815">
      <c r="AI815" s="116" t="n"/>
      <c r="AJ815" s="116" t="n"/>
      <c r="AK815" s="116" t="n"/>
      <c r="AL815" s="116" t="n"/>
      <c r="AM815" s="116" t="n"/>
      <c r="AN815" s="116" t="n"/>
      <c r="AO815" s="116" t="n"/>
      <c r="AP815" s="116" t="n"/>
      <c r="AQ815" s="116" t="n"/>
      <c r="AR815" s="116" t="n"/>
      <c r="AS815" s="116" t="n"/>
      <c r="AT815" s="116" t="n"/>
      <c r="AU815" s="116" t="n"/>
      <c r="AV815" s="116" t="n"/>
    </row>
    <row r="816">
      <c r="AI816" s="116" t="n"/>
      <c r="AJ816" s="116" t="n"/>
      <c r="AK816" s="116" t="n"/>
      <c r="AL816" s="116" t="n"/>
      <c r="AM816" s="116" t="n"/>
      <c r="AN816" s="116" t="n"/>
      <c r="AO816" s="116" t="n"/>
      <c r="AP816" s="116" t="n"/>
      <c r="AQ816" s="116" t="n"/>
      <c r="AR816" s="116" t="n"/>
      <c r="AS816" s="116" t="n"/>
      <c r="AT816" s="116" t="n"/>
      <c r="AU816" s="116" t="n"/>
      <c r="AV816" s="116" t="n"/>
    </row>
    <row r="817">
      <c r="AI817" s="116" t="n"/>
      <c r="AJ817" s="116" t="n"/>
      <c r="AK817" s="116" t="n"/>
      <c r="AL817" s="116" t="n"/>
      <c r="AM817" s="116" t="n"/>
      <c r="AN817" s="116" t="n"/>
      <c r="AO817" s="116" t="n"/>
      <c r="AP817" s="116" t="n"/>
      <c r="AQ817" s="116" t="n"/>
      <c r="AR817" s="116" t="n"/>
      <c r="AS817" s="116" t="n"/>
      <c r="AT817" s="116" t="n"/>
      <c r="AU817" s="116" t="n"/>
      <c r="AV817" s="116" t="n"/>
    </row>
    <row r="818">
      <c r="AI818" s="116" t="n"/>
      <c r="AJ818" s="116" t="n"/>
      <c r="AK818" s="116" t="n"/>
      <c r="AL818" s="116" t="n"/>
      <c r="AM818" s="116" t="n"/>
      <c r="AN818" s="116" t="n"/>
      <c r="AO818" s="116" t="n"/>
      <c r="AP818" s="116" t="n"/>
      <c r="AQ818" s="116" t="n"/>
      <c r="AR818" s="116" t="n"/>
      <c r="AS818" s="116" t="n"/>
      <c r="AT818" s="116" t="n"/>
      <c r="AU818" s="116" t="n"/>
      <c r="AV818" s="116" t="n"/>
    </row>
    <row r="819">
      <c r="AI819" s="116" t="n"/>
      <c r="AJ819" s="116" t="n"/>
      <c r="AK819" s="116" t="n"/>
      <c r="AL819" s="116" t="n"/>
      <c r="AM819" s="116" t="n"/>
      <c r="AN819" s="116" t="n"/>
      <c r="AO819" s="116" t="n"/>
      <c r="AP819" s="116" t="n"/>
      <c r="AQ819" s="116" t="n"/>
      <c r="AR819" s="116" t="n"/>
      <c r="AS819" s="116" t="n"/>
      <c r="AT819" s="116" t="n"/>
      <c r="AU819" s="116" t="n"/>
      <c r="AV819" s="116" t="n"/>
    </row>
    <row r="820">
      <c r="AI820" s="116" t="n"/>
      <c r="AJ820" s="116" t="n"/>
      <c r="AK820" s="116" t="n"/>
      <c r="AL820" s="116" t="n"/>
      <c r="AM820" s="116" t="n"/>
      <c r="AN820" s="116" t="n"/>
      <c r="AO820" s="116" t="n"/>
      <c r="AP820" s="116" t="n"/>
      <c r="AQ820" s="116" t="n"/>
      <c r="AR820" s="116" t="n"/>
      <c r="AS820" s="116" t="n"/>
      <c r="AT820" s="116" t="n"/>
      <c r="AU820" s="116" t="n"/>
      <c r="AV820" s="116" t="n"/>
    </row>
    <row r="821">
      <c r="AI821" s="116" t="n"/>
      <c r="AJ821" s="116" t="n"/>
      <c r="AK821" s="116" t="n"/>
      <c r="AL821" s="116" t="n"/>
      <c r="AM821" s="116" t="n"/>
      <c r="AN821" s="116" t="n"/>
      <c r="AO821" s="116" t="n"/>
      <c r="AP821" s="116" t="n"/>
      <c r="AQ821" s="116" t="n"/>
      <c r="AR821" s="116" t="n"/>
      <c r="AS821" s="116" t="n"/>
      <c r="AT821" s="116" t="n"/>
      <c r="AU821" s="116" t="n"/>
      <c r="AV821" s="116" t="n"/>
    </row>
    <row r="822">
      <c r="AI822" s="116" t="n"/>
      <c r="AJ822" s="116" t="n"/>
      <c r="AK822" s="116" t="n"/>
      <c r="AL822" s="116" t="n"/>
      <c r="AM822" s="116" t="n"/>
      <c r="AN822" s="116" t="n"/>
      <c r="AO822" s="116" t="n"/>
      <c r="AP822" s="116" t="n"/>
      <c r="AQ822" s="116" t="n"/>
      <c r="AR822" s="116" t="n"/>
      <c r="AS822" s="116" t="n"/>
      <c r="AT822" s="116" t="n"/>
      <c r="AU822" s="116" t="n"/>
      <c r="AV822" s="116" t="n"/>
    </row>
    <row r="823">
      <c r="AI823" s="116" t="n"/>
      <c r="AJ823" s="116" t="n"/>
      <c r="AK823" s="116" t="n"/>
      <c r="AL823" s="116" t="n"/>
      <c r="AM823" s="116" t="n"/>
      <c r="AN823" s="116" t="n"/>
      <c r="AO823" s="116" t="n"/>
      <c r="AP823" s="116" t="n"/>
      <c r="AQ823" s="116" t="n"/>
      <c r="AR823" s="116" t="n"/>
      <c r="AS823" s="116" t="n"/>
      <c r="AT823" s="116" t="n"/>
      <c r="AU823" s="116" t="n"/>
      <c r="AV823" s="116" t="n"/>
    </row>
    <row r="824">
      <c r="AI824" s="116" t="n"/>
      <c r="AJ824" s="116" t="n"/>
      <c r="AK824" s="116" t="n"/>
      <c r="AL824" s="116" t="n"/>
      <c r="AM824" s="116" t="n"/>
      <c r="AN824" s="116" t="n"/>
      <c r="AO824" s="116" t="n"/>
      <c r="AP824" s="116" t="n"/>
      <c r="AQ824" s="116" t="n"/>
      <c r="AR824" s="116" t="n"/>
      <c r="AS824" s="116" t="n"/>
      <c r="AT824" s="116" t="n"/>
      <c r="AU824" s="116" t="n"/>
      <c r="AV824" s="116" t="n"/>
    </row>
    <row r="825">
      <c r="AI825" s="116" t="n"/>
      <c r="AJ825" s="116" t="n"/>
      <c r="AK825" s="116" t="n"/>
      <c r="AL825" s="116" t="n"/>
      <c r="AM825" s="116" t="n"/>
      <c r="AN825" s="116" t="n"/>
      <c r="AO825" s="116" t="n"/>
      <c r="AP825" s="116" t="n"/>
      <c r="AQ825" s="116" t="n"/>
      <c r="AR825" s="116" t="n"/>
      <c r="AS825" s="116" t="n"/>
      <c r="AT825" s="116" t="n"/>
      <c r="AU825" s="116" t="n"/>
      <c r="AV825" s="116" t="n"/>
    </row>
    <row r="826">
      <c r="AI826" s="116" t="n"/>
      <c r="AJ826" s="116" t="n"/>
      <c r="AK826" s="116" t="n"/>
      <c r="AL826" s="116" t="n"/>
      <c r="AM826" s="116" t="n"/>
      <c r="AN826" s="116" t="n"/>
      <c r="AO826" s="116" t="n"/>
      <c r="AP826" s="116" t="n"/>
      <c r="AQ826" s="116" t="n"/>
      <c r="AR826" s="116" t="n"/>
      <c r="AS826" s="116" t="n"/>
      <c r="AT826" s="116" t="n"/>
      <c r="AU826" s="116" t="n"/>
      <c r="AV826" s="116" t="n"/>
    </row>
    <row r="827">
      <c r="AI827" s="116" t="n"/>
      <c r="AJ827" s="116" t="n"/>
      <c r="AK827" s="116" t="n"/>
      <c r="AL827" s="116" t="n"/>
      <c r="AM827" s="116" t="n"/>
      <c r="AN827" s="116" t="n"/>
      <c r="AO827" s="116" t="n"/>
      <c r="AP827" s="116" t="n"/>
      <c r="AQ827" s="116" t="n"/>
      <c r="AR827" s="116" t="n"/>
      <c r="AS827" s="116" t="n"/>
      <c r="AT827" s="116" t="n"/>
      <c r="AU827" s="116" t="n"/>
      <c r="AV827" s="116" t="n"/>
    </row>
    <row r="828">
      <c r="AI828" s="116" t="n"/>
      <c r="AJ828" s="116" t="n"/>
      <c r="AK828" s="116" t="n"/>
      <c r="AL828" s="116" t="n"/>
      <c r="AM828" s="116" t="n"/>
      <c r="AN828" s="116" t="n"/>
      <c r="AO828" s="116" t="n"/>
      <c r="AP828" s="116" t="n"/>
      <c r="AQ828" s="116" t="n"/>
      <c r="AR828" s="116" t="n"/>
      <c r="AS828" s="116" t="n"/>
      <c r="AT828" s="116" t="n"/>
      <c r="AU828" s="116" t="n"/>
      <c r="AV828" s="116" t="n"/>
    </row>
    <row r="829">
      <c r="AI829" s="116" t="n"/>
      <c r="AJ829" s="116" t="n"/>
      <c r="AK829" s="116" t="n"/>
      <c r="AL829" s="116" t="n"/>
      <c r="AM829" s="116" t="n"/>
      <c r="AN829" s="116" t="n"/>
      <c r="AO829" s="116" t="n"/>
      <c r="AP829" s="116" t="n"/>
      <c r="AQ829" s="116" t="n"/>
      <c r="AR829" s="116" t="n"/>
      <c r="AS829" s="116" t="n"/>
      <c r="AT829" s="116" t="n"/>
      <c r="AU829" s="116" t="n"/>
      <c r="AV829" s="116" t="n"/>
    </row>
    <row r="830">
      <c r="AI830" s="116" t="n"/>
      <c r="AJ830" s="116" t="n"/>
      <c r="AK830" s="116" t="n"/>
      <c r="AL830" s="116" t="n"/>
      <c r="AM830" s="116" t="n"/>
      <c r="AN830" s="116" t="n"/>
      <c r="AO830" s="116" t="n"/>
      <c r="AP830" s="116" t="n"/>
      <c r="AQ830" s="116" t="n"/>
      <c r="AR830" s="116" t="n"/>
      <c r="AS830" s="116" t="n"/>
      <c r="AT830" s="116" t="n"/>
      <c r="AU830" s="116" t="n"/>
      <c r="AV830" s="116" t="n"/>
    </row>
    <row r="831">
      <c r="AI831" s="116" t="n"/>
      <c r="AJ831" s="116" t="n"/>
      <c r="AK831" s="116" t="n"/>
      <c r="AL831" s="116" t="n"/>
      <c r="AM831" s="116" t="n"/>
      <c r="AN831" s="116" t="n"/>
      <c r="AO831" s="116" t="n"/>
      <c r="AP831" s="116" t="n"/>
      <c r="AQ831" s="116" t="n"/>
      <c r="AR831" s="116" t="n"/>
      <c r="AS831" s="116" t="n"/>
      <c r="AT831" s="116" t="n"/>
      <c r="AU831" s="116" t="n"/>
      <c r="AV831" s="116" t="n"/>
    </row>
    <row r="832">
      <c r="AI832" s="116" t="n"/>
      <c r="AJ832" s="116" t="n"/>
      <c r="AK832" s="116" t="n"/>
      <c r="AL832" s="116" t="n"/>
      <c r="AM832" s="116" t="n"/>
      <c r="AN832" s="116" t="n"/>
      <c r="AO832" s="116" t="n"/>
      <c r="AP832" s="116" t="n"/>
      <c r="AQ832" s="116" t="n"/>
      <c r="AR832" s="116" t="n"/>
      <c r="AS832" s="116" t="n"/>
      <c r="AT832" s="116" t="n"/>
      <c r="AU832" s="116" t="n"/>
      <c r="AV832" s="116" t="n"/>
    </row>
    <row r="833">
      <c r="AI833" s="116" t="n"/>
      <c r="AJ833" s="116" t="n"/>
      <c r="AK833" s="116" t="n"/>
      <c r="AL833" s="116" t="n"/>
      <c r="AM833" s="116" t="n"/>
      <c r="AN833" s="116" t="n"/>
      <c r="AO833" s="116" t="n"/>
      <c r="AP833" s="116" t="n"/>
      <c r="AQ833" s="116" t="n"/>
      <c r="AR833" s="116" t="n"/>
      <c r="AS833" s="116" t="n"/>
      <c r="AT833" s="116" t="n"/>
      <c r="AU833" s="116" t="n"/>
      <c r="AV833" s="116" t="n"/>
    </row>
    <row r="834">
      <c r="AI834" s="116" t="n"/>
      <c r="AJ834" s="116" t="n"/>
      <c r="AK834" s="116" t="n"/>
      <c r="AL834" s="116" t="n"/>
      <c r="AM834" s="116" t="n"/>
      <c r="AN834" s="116" t="n"/>
      <c r="AO834" s="116" t="n"/>
      <c r="AP834" s="116" t="n"/>
      <c r="AQ834" s="116" t="n"/>
      <c r="AR834" s="116" t="n"/>
      <c r="AS834" s="116" t="n"/>
      <c r="AT834" s="116" t="n"/>
      <c r="AU834" s="116" t="n"/>
      <c r="AV834" s="116" t="n"/>
    </row>
    <row r="835">
      <c r="AI835" s="116" t="n"/>
      <c r="AJ835" s="116" t="n"/>
      <c r="AK835" s="116" t="n"/>
      <c r="AL835" s="116" t="n"/>
      <c r="AM835" s="116" t="n"/>
      <c r="AN835" s="116" t="n"/>
      <c r="AO835" s="116" t="n"/>
      <c r="AP835" s="116" t="n"/>
      <c r="AQ835" s="116" t="n"/>
      <c r="AR835" s="116" t="n"/>
      <c r="AS835" s="116" t="n"/>
      <c r="AT835" s="116" t="n"/>
      <c r="AU835" s="116" t="n"/>
      <c r="AV835" s="116" t="n"/>
    </row>
    <row r="836">
      <c r="AI836" s="116" t="n"/>
      <c r="AJ836" s="116" t="n"/>
      <c r="AK836" s="116" t="n"/>
      <c r="AL836" s="116" t="n"/>
      <c r="AM836" s="116" t="n"/>
      <c r="AN836" s="116" t="n"/>
      <c r="AO836" s="116" t="n"/>
      <c r="AP836" s="116" t="n"/>
      <c r="AQ836" s="116" t="n"/>
      <c r="AR836" s="116" t="n"/>
      <c r="AS836" s="116" t="n"/>
      <c r="AT836" s="116" t="n"/>
      <c r="AU836" s="116" t="n"/>
      <c r="AV836" s="116" t="n"/>
    </row>
    <row r="837">
      <c r="AI837" s="116" t="n"/>
      <c r="AJ837" s="116" t="n"/>
      <c r="AK837" s="116" t="n"/>
      <c r="AL837" s="116" t="n"/>
      <c r="AM837" s="116" t="n"/>
      <c r="AN837" s="116" t="n"/>
      <c r="AO837" s="116" t="n"/>
      <c r="AP837" s="116" t="n"/>
      <c r="AQ837" s="116" t="n"/>
      <c r="AR837" s="116" t="n"/>
      <c r="AS837" s="116" t="n"/>
      <c r="AT837" s="116" t="n"/>
      <c r="AU837" s="116" t="n"/>
      <c r="AV837" s="116" t="n"/>
    </row>
    <row r="838">
      <c r="AI838" s="116" t="n"/>
      <c r="AJ838" s="116" t="n"/>
      <c r="AK838" s="116" t="n"/>
      <c r="AL838" s="116" t="n"/>
      <c r="AM838" s="116" t="n"/>
      <c r="AN838" s="116" t="n"/>
      <c r="AO838" s="116" t="n"/>
      <c r="AP838" s="116" t="n"/>
      <c r="AQ838" s="116" t="n"/>
      <c r="AR838" s="116" t="n"/>
      <c r="AS838" s="116" t="n"/>
      <c r="AT838" s="116" t="n"/>
      <c r="AU838" s="116" t="n"/>
      <c r="AV838" s="116" t="n"/>
    </row>
    <row r="839">
      <c r="AI839" s="116" t="n"/>
      <c r="AJ839" s="116" t="n"/>
      <c r="AK839" s="116" t="n"/>
      <c r="AL839" s="116" t="n"/>
      <c r="AM839" s="116" t="n"/>
      <c r="AN839" s="116" t="n"/>
      <c r="AO839" s="116" t="n"/>
      <c r="AP839" s="116" t="n"/>
      <c r="AQ839" s="116" t="n"/>
      <c r="AR839" s="116" t="n"/>
      <c r="AS839" s="116" t="n"/>
      <c r="AT839" s="116" t="n"/>
      <c r="AU839" s="116" t="n"/>
      <c r="AV839" s="116" t="n"/>
    </row>
    <row r="840">
      <c r="AI840" s="116" t="n"/>
      <c r="AJ840" s="116" t="n"/>
      <c r="AK840" s="116" t="n"/>
      <c r="AL840" s="116" t="n"/>
      <c r="AM840" s="116" t="n"/>
      <c r="AN840" s="116" t="n"/>
      <c r="AO840" s="116" t="n"/>
      <c r="AP840" s="116" t="n"/>
      <c r="AQ840" s="116" t="n"/>
      <c r="AR840" s="116" t="n"/>
      <c r="AS840" s="116" t="n"/>
      <c r="AT840" s="116" t="n"/>
      <c r="AU840" s="116" t="n"/>
      <c r="AV840" s="116" t="n"/>
    </row>
    <row r="841">
      <c r="AI841" s="116" t="n"/>
      <c r="AJ841" s="116" t="n"/>
      <c r="AK841" s="116" t="n"/>
      <c r="AL841" s="116" t="n"/>
      <c r="AM841" s="116" t="n"/>
      <c r="AN841" s="116" t="n"/>
      <c r="AO841" s="116" t="n"/>
      <c r="AP841" s="116" t="n"/>
      <c r="AQ841" s="116" t="n"/>
      <c r="AR841" s="116" t="n"/>
      <c r="AS841" s="116" t="n"/>
      <c r="AT841" s="116" t="n"/>
      <c r="AU841" s="116" t="n"/>
      <c r="AV841" s="116" t="n"/>
    </row>
    <row r="842">
      <c r="AI842" s="116" t="n"/>
      <c r="AJ842" s="116" t="n"/>
      <c r="AK842" s="116" t="n"/>
      <c r="AL842" s="116" t="n"/>
      <c r="AM842" s="116" t="n"/>
      <c r="AN842" s="116" t="n"/>
      <c r="AO842" s="116" t="n"/>
      <c r="AP842" s="116" t="n"/>
      <c r="AQ842" s="116" t="n"/>
      <c r="AR842" s="116" t="n"/>
      <c r="AS842" s="116" t="n"/>
      <c r="AT842" s="116" t="n"/>
      <c r="AU842" s="116" t="n"/>
      <c r="AV842" s="116" t="n"/>
    </row>
    <row r="843">
      <c r="AI843" s="116" t="n"/>
      <c r="AJ843" s="116" t="n"/>
      <c r="AK843" s="116" t="n"/>
      <c r="AL843" s="116" t="n"/>
      <c r="AM843" s="116" t="n"/>
      <c r="AN843" s="116" t="n"/>
      <c r="AO843" s="116" t="n"/>
      <c r="AP843" s="116" t="n"/>
      <c r="AQ843" s="116" t="n"/>
      <c r="AR843" s="116" t="n"/>
      <c r="AS843" s="116" t="n"/>
      <c r="AT843" s="116" t="n"/>
      <c r="AU843" s="116" t="n"/>
      <c r="AV843" s="116" t="n"/>
    </row>
    <row r="844">
      <c r="AI844" s="116" t="n"/>
      <c r="AJ844" s="116" t="n"/>
      <c r="AK844" s="116" t="n"/>
      <c r="AL844" s="116" t="n"/>
      <c r="AM844" s="116" t="n"/>
      <c r="AN844" s="116" t="n"/>
      <c r="AO844" s="116" t="n"/>
      <c r="AP844" s="116" t="n"/>
      <c r="AQ844" s="116" t="n"/>
      <c r="AR844" s="116" t="n"/>
      <c r="AS844" s="116" t="n"/>
      <c r="AT844" s="116" t="n"/>
      <c r="AU844" s="116" t="n"/>
      <c r="AV844" s="116" t="n"/>
    </row>
    <row r="845">
      <c r="AI845" s="116" t="n"/>
      <c r="AJ845" s="116" t="n"/>
      <c r="AK845" s="116" t="n"/>
      <c r="AL845" s="116" t="n"/>
      <c r="AM845" s="116" t="n"/>
      <c r="AN845" s="116" t="n"/>
      <c r="AO845" s="116" t="n"/>
      <c r="AP845" s="116" t="n"/>
      <c r="AQ845" s="116" t="n"/>
      <c r="AR845" s="116" t="n"/>
      <c r="AS845" s="116" t="n"/>
      <c r="AT845" s="116" t="n"/>
      <c r="AU845" s="116" t="n"/>
      <c r="AV845" s="116" t="n"/>
    </row>
    <row r="846">
      <c r="AI846" s="116" t="n"/>
      <c r="AJ846" s="116" t="n"/>
      <c r="AK846" s="116" t="n"/>
      <c r="AL846" s="116" t="n"/>
      <c r="AM846" s="116" t="n"/>
      <c r="AN846" s="116" t="n"/>
      <c r="AO846" s="116" t="n"/>
      <c r="AP846" s="116" t="n"/>
      <c r="AQ846" s="116" t="n"/>
      <c r="AR846" s="116" t="n"/>
      <c r="AS846" s="116" t="n"/>
      <c r="AT846" s="116" t="n"/>
      <c r="AU846" s="116" t="n"/>
      <c r="AV846" s="116" t="n"/>
    </row>
    <row r="847">
      <c r="AI847" s="116" t="n"/>
      <c r="AJ847" s="116" t="n"/>
      <c r="AK847" s="116" t="n"/>
      <c r="AL847" s="116" t="n"/>
      <c r="AM847" s="116" t="n"/>
      <c r="AN847" s="116" t="n"/>
      <c r="AO847" s="116" t="n"/>
      <c r="AP847" s="116" t="n"/>
      <c r="AQ847" s="116" t="n"/>
      <c r="AR847" s="116" t="n"/>
      <c r="AS847" s="116" t="n"/>
      <c r="AT847" s="116" t="n"/>
      <c r="AU847" s="116" t="n"/>
      <c r="AV847" s="116" t="n"/>
    </row>
    <row r="848">
      <c r="AI848" s="116" t="n"/>
      <c r="AJ848" s="116" t="n"/>
      <c r="AK848" s="116" t="n"/>
      <c r="AL848" s="116" t="n"/>
      <c r="AM848" s="116" t="n"/>
      <c r="AN848" s="116" t="n"/>
      <c r="AO848" s="116" t="n"/>
      <c r="AP848" s="116" t="n"/>
      <c r="AQ848" s="116" t="n"/>
      <c r="AR848" s="116" t="n"/>
      <c r="AS848" s="116" t="n"/>
      <c r="AT848" s="116" t="n"/>
      <c r="AU848" s="116" t="n"/>
      <c r="AV848" s="116" t="n"/>
    </row>
    <row r="849">
      <c r="AI849" s="116" t="n"/>
      <c r="AJ849" s="116" t="n"/>
      <c r="AK849" s="116" t="n"/>
      <c r="AL849" s="116" t="n"/>
      <c r="AM849" s="116" t="n"/>
      <c r="AN849" s="116" t="n"/>
      <c r="AO849" s="116" t="n"/>
      <c r="AP849" s="116" t="n"/>
      <c r="AQ849" s="116" t="n"/>
      <c r="AR849" s="116" t="n"/>
      <c r="AS849" s="116" t="n"/>
      <c r="AT849" s="116" t="n"/>
      <c r="AU849" s="116" t="n"/>
      <c r="AV849" s="116" t="n"/>
    </row>
    <row r="850">
      <c r="AI850" s="116" t="n"/>
      <c r="AJ850" s="116" t="n"/>
      <c r="AK850" s="116" t="n"/>
      <c r="AL850" s="116" t="n"/>
      <c r="AM850" s="116" t="n"/>
      <c r="AN850" s="116" t="n"/>
      <c r="AO850" s="116" t="n"/>
      <c r="AP850" s="116" t="n"/>
      <c r="AQ850" s="116" t="n"/>
      <c r="AR850" s="116" t="n"/>
      <c r="AS850" s="116" t="n"/>
      <c r="AT850" s="116" t="n"/>
      <c r="AU850" s="116" t="n"/>
      <c r="AV850" s="116" t="n"/>
    </row>
    <row r="851">
      <c r="AI851" s="116" t="n"/>
      <c r="AJ851" s="116" t="n"/>
      <c r="AK851" s="116" t="n"/>
      <c r="AL851" s="116" t="n"/>
      <c r="AM851" s="116" t="n"/>
      <c r="AN851" s="116" t="n"/>
      <c r="AO851" s="116" t="n"/>
      <c r="AP851" s="116" t="n"/>
      <c r="AQ851" s="116" t="n"/>
      <c r="AR851" s="116" t="n"/>
      <c r="AS851" s="116" t="n"/>
      <c r="AT851" s="116" t="n"/>
      <c r="AU851" s="116" t="n"/>
      <c r="AV851" s="116" t="n"/>
    </row>
    <row r="852">
      <c r="AI852" s="116" t="n"/>
      <c r="AJ852" s="116" t="n"/>
      <c r="AK852" s="116" t="n"/>
      <c r="AL852" s="116" t="n"/>
      <c r="AM852" s="116" t="n"/>
      <c r="AN852" s="116" t="n"/>
      <c r="AO852" s="116" t="n"/>
      <c r="AP852" s="116" t="n"/>
      <c r="AQ852" s="116" t="n"/>
      <c r="AR852" s="116" t="n"/>
      <c r="AS852" s="116" t="n"/>
      <c r="AT852" s="116" t="n"/>
      <c r="AU852" s="116" t="n"/>
      <c r="AV852" s="116" t="n"/>
    </row>
    <row r="853">
      <c r="AI853" s="116" t="n"/>
      <c r="AJ853" s="116" t="n"/>
      <c r="AK853" s="116" t="n"/>
      <c r="AL853" s="116" t="n"/>
      <c r="AM853" s="116" t="n"/>
      <c r="AN853" s="116" t="n"/>
      <c r="AO853" s="116" t="n"/>
      <c r="AP853" s="116" t="n"/>
      <c r="AQ853" s="116" t="n"/>
      <c r="AR853" s="116" t="n"/>
      <c r="AS853" s="116" t="n"/>
      <c r="AT853" s="116" t="n"/>
      <c r="AU853" s="116" t="n"/>
      <c r="AV853" s="116" t="n"/>
    </row>
    <row r="854">
      <c r="AI854" s="116" t="n"/>
      <c r="AJ854" s="116" t="n"/>
      <c r="AK854" s="116" t="n"/>
      <c r="AL854" s="116" t="n"/>
      <c r="AM854" s="116" t="n"/>
      <c r="AN854" s="116" t="n"/>
      <c r="AO854" s="116" t="n"/>
      <c r="AP854" s="116" t="n"/>
      <c r="AQ854" s="116" t="n"/>
      <c r="AR854" s="116" t="n"/>
      <c r="AS854" s="116" t="n"/>
      <c r="AT854" s="116" t="n"/>
      <c r="AU854" s="116" t="n"/>
      <c r="AV854" s="116" t="n"/>
    </row>
    <row r="855">
      <c r="AI855" s="116" t="n"/>
      <c r="AJ855" s="116" t="n"/>
      <c r="AK855" s="116" t="n"/>
      <c r="AL855" s="116" t="n"/>
      <c r="AM855" s="116" t="n"/>
      <c r="AN855" s="116" t="n"/>
      <c r="AO855" s="116" t="n"/>
      <c r="AP855" s="116" t="n"/>
      <c r="AQ855" s="116" t="n"/>
      <c r="AR855" s="116" t="n"/>
      <c r="AS855" s="116" t="n"/>
      <c r="AT855" s="116" t="n"/>
      <c r="AU855" s="116" t="n"/>
      <c r="AV855" s="116" t="n"/>
    </row>
    <row r="856">
      <c r="AI856" s="116" t="n"/>
      <c r="AJ856" s="116" t="n"/>
      <c r="AK856" s="116" t="n"/>
      <c r="AL856" s="116" t="n"/>
      <c r="AM856" s="116" t="n"/>
      <c r="AN856" s="116" t="n"/>
      <c r="AO856" s="116" t="n"/>
      <c r="AP856" s="116" t="n"/>
      <c r="AQ856" s="116" t="n"/>
      <c r="AR856" s="116" t="n"/>
      <c r="AS856" s="116" t="n"/>
      <c r="AT856" s="116" t="n"/>
      <c r="AU856" s="116" t="n"/>
      <c r="AV856" s="116" t="n"/>
    </row>
    <row r="857">
      <c r="AI857" s="116" t="n"/>
      <c r="AJ857" s="116" t="n"/>
      <c r="AK857" s="116" t="n"/>
      <c r="AL857" s="116" t="n"/>
      <c r="AM857" s="116" t="n"/>
      <c r="AN857" s="116" t="n"/>
      <c r="AO857" s="116" t="n"/>
      <c r="AP857" s="116" t="n"/>
      <c r="AQ857" s="116" t="n"/>
      <c r="AR857" s="116" t="n"/>
      <c r="AS857" s="116" t="n"/>
      <c r="AT857" s="116" t="n"/>
      <c r="AU857" s="116" t="n"/>
      <c r="AV857" s="116" t="n"/>
    </row>
    <row r="858">
      <c r="AI858" s="116" t="n"/>
      <c r="AJ858" s="116" t="n"/>
      <c r="AK858" s="116" t="n"/>
      <c r="AL858" s="116" t="n"/>
      <c r="AM858" s="116" t="n"/>
      <c r="AN858" s="116" t="n"/>
      <c r="AO858" s="116" t="n"/>
      <c r="AP858" s="116" t="n"/>
      <c r="AQ858" s="116" t="n"/>
      <c r="AR858" s="116" t="n"/>
      <c r="AS858" s="116" t="n"/>
      <c r="AT858" s="116" t="n"/>
      <c r="AU858" s="116" t="n"/>
      <c r="AV858" s="116" t="n"/>
    </row>
    <row r="859">
      <c r="AI859" s="116" t="n"/>
      <c r="AJ859" s="116" t="n"/>
      <c r="AK859" s="116" t="n"/>
      <c r="AL859" s="116" t="n"/>
      <c r="AM859" s="116" t="n"/>
      <c r="AN859" s="116" t="n"/>
      <c r="AO859" s="116" t="n"/>
      <c r="AP859" s="116" t="n"/>
      <c r="AQ859" s="116" t="n"/>
      <c r="AR859" s="116" t="n"/>
      <c r="AS859" s="116" t="n"/>
      <c r="AT859" s="116" t="n"/>
      <c r="AU859" s="116" t="n"/>
      <c r="AV859" s="116" t="n"/>
    </row>
    <row r="860">
      <c r="AI860" s="116" t="n"/>
      <c r="AJ860" s="116" t="n"/>
      <c r="AK860" s="116" t="n"/>
      <c r="AL860" s="116" t="n"/>
      <c r="AM860" s="116" t="n"/>
      <c r="AN860" s="116" t="n"/>
      <c r="AO860" s="116" t="n"/>
      <c r="AP860" s="116" t="n"/>
      <c r="AQ860" s="116" t="n"/>
      <c r="AR860" s="116" t="n"/>
      <c r="AS860" s="116" t="n"/>
      <c r="AT860" s="116" t="n"/>
      <c r="AU860" s="116" t="n"/>
      <c r="AV860" s="116" t="n"/>
    </row>
    <row r="861">
      <c r="AI861" s="116" t="n"/>
      <c r="AJ861" s="116" t="n"/>
      <c r="AK861" s="116" t="n"/>
      <c r="AL861" s="116" t="n"/>
      <c r="AM861" s="116" t="n"/>
      <c r="AN861" s="116" t="n"/>
      <c r="AO861" s="116" t="n"/>
      <c r="AP861" s="116" t="n"/>
      <c r="AQ861" s="116" t="n"/>
      <c r="AR861" s="116" t="n"/>
      <c r="AS861" s="116" t="n"/>
      <c r="AT861" s="116" t="n"/>
      <c r="AU861" s="116" t="n"/>
      <c r="AV861" s="116" t="n"/>
    </row>
    <row r="862">
      <c r="AI862" s="116" t="n"/>
      <c r="AJ862" s="116" t="n"/>
      <c r="AK862" s="116" t="n"/>
      <c r="AL862" s="116" t="n"/>
      <c r="AM862" s="116" t="n"/>
      <c r="AN862" s="116" t="n"/>
      <c r="AO862" s="116" t="n"/>
      <c r="AP862" s="116" t="n"/>
      <c r="AQ862" s="116" t="n"/>
      <c r="AR862" s="116" t="n"/>
      <c r="AS862" s="116" t="n"/>
      <c r="AT862" s="116" t="n"/>
      <c r="AU862" s="116" t="n"/>
      <c r="AV862" s="116" t="n"/>
    </row>
    <row r="863">
      <c r="AI863" s="116" t="n"/>
      <c r="AJ863" s="116" t="n"/>
      <c r="AK863" s="116" t="n"/>
      <c r="AL863" s="116" t="n"/>
      <c r="AM863" s="116" t="n"/>
      <c r="AN863" s="116" t="n"/>
      <c r="AO863" s="116" t="n"/>
      <c r="AP863" s="116" t="n"/>
      <c r="AQ863" s="116" t="n"/>
      <c r="AR863" s="116" t="n"/>
      <c r="AS863" s="116" t="n"/>
      <c r="AT863" s="116" t="n"/>
      <c r="AU863" s="116" t="n"/>
      <c r="AV863" s="116" t="n"/>
    </row>
    <row r="864">
      <c r="AI864" s="116" t="n"/>
      <c r="AJ864" s="116" t="n"/>
      <c r="AK864" s="116" t="n"/>
      <c r="AL864" s="116" t="n"/>
      <c r="AM864" s="116" t="n"/>
      <c r="AN864" s="116" t="n"/>
      <c r="AO864" s="116" t="n"/>
      <c r="AP864" s="116" t="n"/>
      <c r="AQ864" s="116" t="n"/>
      <c r="AR864" s="116" t="n"/>
      <c r="AS864" s="116" t="n"/>
      <c r="AT864" s="116" t="n"/>
      <c r="AU864" s="116" t="n"/>
      <c r="AV864" s="116" t="n"/>
    </row>
    <row r="865">
      <c r="AI865" s="116" t="n"/>
      <c r="AJ865" s="116" t="n"/>
      <c r="AK865" s="116" t="n"/>
      <c r="AL865" s="116" t="n"/>
      <c r="AM865" s="116" t="n"/>
      <c r="AN865" s="116" t="n"/>
      <c r="AO865" s="116" t="n"/>
      <c r="AP865" s="116" t="n"/>
      <c r="AQ865" s="116" t="n"/>
      <c r="AR865" s="116" t="n"/>
      <c r="AS865" s="116" t="n"/>
      <c r="AT865" s="116" t="n"/>
      <c r="AU865" s="116" t="n"/>
      <c r="AV865" s="116" t="n"/>
    </row>
    <row r="866">
      <c r="AI866" s="116" t="n"/>
      <c r="AJ866" s="116" t="n"/>
      <c r="AK866" s="116" t="n"/>
      <c r="AL866" s="116" t="n"/>
      <c r="AM866" s="116" t="n"/>
      <c r="AN866" s="116" t="n"/>
      <c r="AO866" s="116" t="n"/>
      <c r="AP866" s="116" t="n"/>
      <c r="AQ866" s="116" t="n"/>
      <c r="AR866" s="116" t="n"/>
      <c r="AS866" s="116" t="n"/>
      <c r="AT866" s="116" t="n"/>
      <c r="AU866" s="116" t="n"/>
      <c r="AV866" s="116" t="n"/>
    </row>
    <row r="867">
      <c r="AI867" s="116" t="n"/>
      <c r="AJ867" s="116" t="n"/>
      <c r="AK867" s="116" t="n"/>
      <c r="AL867" s="116" t="n"/>
      <c r="AM867" s="116" t="n"/>
      <c r="AN867" s="116" t="n"/>
      <c r="AO867" s="116" t="n"/>
      <c r="AP867" s="116" t="n"/>
      <c r="AQ867" s="116" t="n"/>
      <c r="AR867" s="116" t="n"/>
      <c r="AS867" s="116" t="n"/>
      <c r="AT867" s="116" t="n"/>
      <c r="AU867" s="116" t="n"/>
      <c r="AV867" s="116" t="n"/>
    </row>
    <row r="868">
      <c r="AI868" s="116" t="n"/>
      <c r="AJ868" s="116" t="n"/>
      <c r="AK868" s="116" t="n"/>
      <c r="AL868" s="116" t="n"/>
      <c r="AM868" s="116" t="n"/>
      <c r="AN868" s="116" t="n"/>
      <c r="AO868" s="116" t="n"/>
      <c r="AP868" s="116" t="n"/>
      <c r="AQ868" s="116" t="n"/>
      <c r="AR868" s="116" t="n"/>
      <c r="AS868" s="116" t="n"/>
      <c r="AT868" s="116" t="n"/>
      <c r="AU868" s="116" t="n"/>
      <c r="AV868" s="116" t="n"/>
    </row>
    <row r="869">
      <c r="AI869" s="116" t="n"/>
      <c r="AJ869" s="116" t="n"/>
      <c r="AK869" s="116" t="n"/>
      <c r="AL869" s="116" t="n"/>
      <c r="AM869" s="116" t="n"/>
      <c r="AN869" s="116" t="n"/>
      <c r="AO869" s="116" t="n"/>
      <c r="AP869" s="116" t="n"/>
      <c r="AQ869" s="116" t="n"/>
      <c r="AR869" s="116" t="n"/>
      <c r="AS869" s="116" t="n"/>
      <c r="AT869" s="116" t="n"/>
      <c r="AU869" s="116" t="n"/>
      <c r="AV869" s="116" t="n"/>
    </row>
    <row r="870">
      <c r="AI870" s="116" t="n"/>
      <c r="AJ870" s="116" t="n"/>
      <c r="AK870" s="116" t="n"/>
      <c r="AL870" s="116" t="n"/>
      <c r="AM870" s="116" t="n"/>
      <c r="AN870" s="116" t="n"/>
      <c r="AO870" s="116" t="n"/>
      <c r="AP870" s="116" t="n"/>
      <c r="AQ870" s="116" t="n"/>
      <c r="AR870" s="116" t="n"/>
      <c r="AS870" s="116" t="n"/>
      <c r="AT870" s="116" t="n"/>
      <c r="AU870" s="116" t="n"/>
      <c r="AV870" s="116" t="n"/>
    </row>
    <row r="871">
      <c r="AI871" s="116" t="n"/>
      <c r="AJ871" s="116" t="n"/>
      <c r="AK871" s="116" t="n"/>
      <c r="AL871" s="116" t="n"/>
      <c r="AM871" s="116" t="n"/>
      <c r="AN871" s="116" t="n"/>
      <c r="AO871" s="116" t="n"/>
      <c r="AP871" s="116" t="n"/>
      <c r="AQ871" s="116" t="n"/>
      <c r="AR871" s="116" t="n"/>
      <c r="AS871" s="116" t="n"/>
      <c r="AT871" s="116" t="n"/>
      <c r="AU871" s="116" t="n"/>
      <c r="AV871" s="116" t="n"/>
    </row>
    <row r="872">
      <c r="AI872" s="116" t="n"/>
      <c r="AJ872" s="116" t="n"/>
      <c r="AK872" s="116" t="n"/>
      <c r="AL872" s="116" t="n"/>
      <c r="AM872" s="116" t="n"/>
      <c r="AN872" s="116" t="n"/>
      <c r="AO872" s="116" t="n"/>
      <c r="AP872" s="116" t="n"/>
      <c r="AQ872" s="116" t="n"/>
      <c r="AR872" s="116" t="n"/>
      <c r="AS872" s="116" t="n"/>
      <c r="AT872" s="116" t="n"/>
      <c r="AU872" s="116" t="n"/>
      <c r="AV872" s="116" t="n"/>
    </row>
    <row r="873">
      <c r="AI873" s="116" t="n"/>
      <c r="AJ873" s="116" t="n"/>
      <c r="AK873" s="116" t="n"/>
      <c r="AL873" s="116" t="n"/>
      <c r="AM873" s="116" t="n"/>
      <c r="AN873" s="116" t="n"/>
      <c r="AO873" s="116" t="n"/>
      <c r="AP873" s="116" t="n"/>
      <c r="AQ873" s="116" t="n"/>
      <c r="AR873" s="116" t="n"/>
      <c r="AS873" s="116" t="n"/>
      <c r="AT873" s="116" t="n"/>
      <c r="AU873" s="116" t="n"/>
      <c r="AV873" s="116" t="n"/>
    </row>
    <row r="874">
      <c r="AI874" s="116" t="n"/>
      <c r="AJ874" s="116" t="n"/>
      <c r="AK874" s="116" t="n"/>
      <c r="AL874" s="116" t="n"/>
      <c r="AM874" s="116" t="n"/>
      <c r="AN874" s="116" t="n"/>
      <c r="AO874" s="116" t="n"/>
      <c r="AP874" s="116" t="n"/>
      <c r="AQ874" s="116" t="n"/>
      <c r="AR874" s="116" t="n"/>
      <c r="AS874" s="116" t="n"/>
      <c r="AT874" s="116" t="n"/>
      <c r="AU874" s="116" t="n"/>
      <c r="AV874" s="116" t="n"/>
    </row>
    <row r="875">
      <c r="AI875" s="116" t="n"/>
      <c r="AJ875" s="116" t="n"/>
      <c r="AK875" s="116" t="n"/>
      <c r="AL875" s="116" t="n"/>
      <c r="AM875" s="116" t="n"/>
      <c r="AN875" s="116" t="n"/>
      <c r="AO875" s="116" t="n"/>
      <c r="AP875" s="116" t="n"/>
      <c r="AQ875" s="116" t="n"/>
      <c r="AR875" s="116" t="n"/>
      <c r="AS875" s="116" t="n"/>
      <c r="AT875" s="116" t="n"/>
      <c r="AU875" s="116" t="n"/>
      <c r="AV875" s="116" t="n"/>
    </row>
    <row r="876">
      <c r="AI876" s="116" t="n"/>
      <c r="AJ876" s="116" t="n"/>
      <c r="AK876" s="116" t="n"/>
      <c r="AL876" s="116" t="n"/>
      <c r="AM876" s="116" t="n"/>
      <c r="AN876" s="116" t="n"/>
      <c r="AO876" s="116" t="n"/>
      <c r="AP876" s="116" t="n"/>
      <c r="AQ876" s="116" t="n"/>
      <c r="AR876" s="116" t="n"/>
      <c r="AS876" s="116" t="n"/>
      <c r="AT876" s="116" t="n"/>
      <c r="AU876" s="116" t="n"/>
      <c r="AV876" s="116" t="n"/>
    </row>
    <row r="877">
      <c r="AI877" s="116" t="n"/>
      <c r="AJ877" s="116" t="n"/>
      <c r="AK877" s="116" t="n"/>
      <c r="AL877" s="116" t="n"/>
      <c r="AM877" s="116" t="n"/>
      <c r="AN877" s="116" t="n"/>
      <c r="AO877" s="116" t="n"/>
      <c r="AP877" s="116" t="n"/>
      <c r="AQ877" s="116" t="n"/>
      <c r="AR877" s="116" t="n"/>
      <c r="AS877" s="116" t="n"/>
      <c r="AT877" s="116" t="n"/>
      <c r="AU877" s="116" t="n"/>
      <c r="AV877" s="116" t="n"/>
    </row>
    <row r="878">
      <c r="AI878" s="116" t="n"/>
      <c r="AJ878" s="116" t="n"/>
      <c r="AK878" s="116" t="n"/>
      <c r="AL878" s="116" t="n"/>
      <c r="AM878" s="116" t="n"/>
      <c r="AN878" s="116" t="n"/>
      <c r="AO878" s="116" t="n"/>
      <c r="AP878" s="116" t="n"/>
      <c r="AQ878" s="116" t="n"/>
      <c r="AR878" s="116" t="n"/>
      <c r="AS878" s="116" t="n"/>
      <c r="AT878" s="116" t="n"/>
      <c r="AU878" s="116" t="n"/>
      <c r="AV878" s="116" t="n"/>
    </row>
    <row r="879">
      <c r="AI879" s="116" t="n"/>
      <c r="AJ879" s="116" t="n"/>
      <c r="AK879" s="116" t="n"/>
      <c r="AL879" s="116" t="n"/>
      <c r="AM879" s="116" t="n"/>
      <c r="AN879" s="116" t="n"/>
      <c r="AO879" s="116" t="n"/>
      <c r="AP879" s="116" t="n"/>
      <c r="AQ879" s="116" t="n"/>
      <c r="AR879" s="116" t="n"/>
      <c r="AS879" s="116" t="n"/>
      <c r="AT879" s="116" t="n"/>
      <c r="AU879" s="116" t="n"/>
      <c r="AV879" s="116" t="n"/>
    </row>
    <row r="880">
      <c r="AI880" s="116" t="n"/>
      <c r="AJ880" s="116" t="n"/>
      <c r="AK880" s="116" t="n"/>
      <c r="AL880" s="116" t="n"/>
      <c r="AM880" s="116" t="n"/>
      <c r="AN880" s="116" t="n"/>
      <c r="AO880" s="116" t="n"/>
      <c r="AP880" s="116" t="n"/>
      <c r="AQ880" s="116" t="n"/>
      <c r="AR880" s="116" t="n"/>
      <c r="AS880" s="116" t="n"/>
      <c r="AT880" s="116" t="n"/>
      <c r="AU880" s="116" t="n"/>
      <c r="AV880" s="116" t="n"/>
    </row>
    <row r="881">
      <c r="AI881" s="116" t="n"/>
      <c r="AJ881" s="116" t="n"/>
      <c r="AK881" s="116" t="n"/>
      <c r="AL881" s="116" t="n"/>
      <c r="AM881" s="116" t="n"/>
      <c r="AN881" s="116" t="n"/>
      <c r="AO881" s="116" t="n"/>
      <c r="AP881" s="116" t="n"/>
      <c r="AQ881" s="116" t="n"/>
      <c r="AR881" s="116" t="n"/>
      <c r="AS881" s="116" t="n"/>
      <c r="AT881" s="116" t="n"/>
      <c r="AU881" s="116" t="n"/>
      <c r="AV881" s="116" t="n"/>
    </row>
    <row r="882">
      <c r="AI882" s="116" t="n"/>
      <c r="AJ882" s="116" t="n"/>
      <c r="AK882" s="116" t="n"/>
      <c r="AL882" s="116" t="n"/>
      <c r="AM882" s="116" t="n"/>
      <c r="AN882" s="116" t="n"/>
      <c r="AO882" s="116" t="n"/>
      <c r="AP882" s="116" t="n"/>
      <c r="AQ882" s="116" t="n"/>
      <c r="AR882" s="116" t="n"/>
      <c r="AS882" s="116" t="n"/>
      <c r="AT882" s="116" t="n"/>
      <c r="AU882" s="116" t="n"/>
      <c r="AV882" s="116" t="n"/>
    </row>
    <row r="883">
      <c r="AI883" s="116" t="n"/>
      <c r="AJ883" s="116" t="n"/>
      <c r="AK883" s="116" t="n"/>
      <c r="AL883" s="116" t="n"/>
      <c r="AM883" s="116" t="n"/>
      <c r="AN883" s="116" t="n"/>
      <c r="AO883" s="116" t="n"/>
      <c r="AP883" s="116" t="n"/>
      <c r="AQ883" s="116" t="n"/>
      <c r="AR883" s="116" t="n"/>
      <c r="AS883" s="116" t="n"/>
      <c r="AT883" s="116" t="n"/>
      <c r="AU883" s="116" t="n"/>
      <c r="AV883" s="116" t="n"/>
    </row>
    <row r="884">
      <c r="AI884" s="116" t="n"/>
      <c r="AJ884" s="116" t="n"/>
      <c r="AK884" s="116" t="n"/>
      <c r="AL884" s="116" t="n"/>
      <c r="AM884" s="116" t="n"/>
      <c r="AN884" s="116" t="n"/>
      <c r="AO884" s="116" t="n"/>
      <c r="AP884" s="116" t="n"/>
      <c r="AQ884" s="116" t="n"/>
      <c r="AR884" s="116" t="n"/>
      <c r="AS884" s="116" t="n"/>
      <c r="AT884" s="116" t="n"/>
      <c r="AU884" s="116" t="n"/>
      <c r="AV884" s="116" t="n"/>
    </row>
    <row r="885">
      <c r="AI885" s="116" t="n"/>
      <c r="AJ885" s="116" t="n"/>
      <c r="AK885" s="116" t="n"/>
      <c r="AL885" s="116" t="n"/>
      <c r="AM885" s="116" t="n"/>
      <c r="AN885" s="116" t="n"/>
      <c r="AO885" s="116" t="n"/>
      <c r="AP885" s="116" t="n"/>
      <c r="AQ885" s="116" t="n"/>
      <c r="AR885" s="116" t="n"/>
      <c r="AS885" s="116" t="n"/>
      <c r="AT885" s="116" t="n"/>
      <c r="AU885" s="116" t="n"/>
      <c r="AV885" s="116" t="n"/>
    </row>
    <row r="886">
      <c r="AI886" s="116" t="n"/>
      <c r="AJ886" s="116" t="n"/>
      <c r="AK886" s="116" t="n"/>
      <c r="AL886" s="116" t="n"/>
      <c r="AM886" s="116" t="n"/>
      <c r="AN886" s="116" t="n"/>
      <c r="AO886" s="116" t="n"/>
      <c r="AP886" s="116" t="n"/>
      <c r="AQ886" s="116" t="n"/>
      <c r="AR886" s="116" t="n"/>
      <c r="AS886" s="116" t="n"/>
      <c r="AT886" s="116" t="n"/>
      <c r="AU886" s="116" t="n"/>
      <c r="AV886" s="116" t="n"/>
    </row>
    <row r="887">
      <c r="AI887" s="116" t="n"/>
      <c r="AJ887" s="116" t="n"/>
      <c r="AK887" s="116" t="n"/>
      <c r="AL887" s="116" t="n"/>
      <c r="AM887" s="116" t="n"/>
      <c r="AN887" s="116" t="n"/>
      <c r="AO887" s="116" t="n"/>
      <c r="AP887" s="116" t="n"/>
      <c r="AQ887" s="116" t="n"/>
      <c r="AR887" s="116" t="n"/>
      <c r="AS887" s="116" t="n"/>
      <c r="AT887" s="116" t="n"/>
      <c r="AU887" s="116" t="n"/>
      <c r="AV887" s="116" t="n"/>
    </row>
    <row r="888">
      <c r="AI888" s="116" t="n"/>
      <c r="AJ888" s="116" t="n"/>
      <c r="AK888" s="116" t="n"/>
      <c r="AL888" s="116" t="n"/>
      <c r="AM888" s="116" t="n"/>
      <c r="AN888" s="116" t="n"/>
      <c r="AO888" s="116" t="n"/>
      <c r="AP888" s="116" t="n"/>
      <c r="AQ888" s="116" t="n"/>
      <c r="AR888" s="116" t="n"/>
      <c r="AS888" s="116" t="n"/>
      <c r="AT888" s="116" t="n"/>
      <c r="AU888" s="116" t="n"/>
      <c r="AV888" s="116" t="n"/>
    </row>
    <row r="889">
      <c r="AI889" s="116" t="n"/>
      <c r="AJ889" s="116" t="n"/>
      <c r="AK889" s="116" t="n"/>
      <c r="AL889" s="116" t="n"/>
      <c r="AM889" s="116" t="n"/>
      <c r="AN889" s="116" t="n"/>
      <c r="AO889" s="116" t="n"/>
      <c r="AP889" s="116" t="n"/>
      <c r="AQ889" s="116" t="n"/>
      <c r="AR889" s="116" t="n"/>
      <c r="AS889" s="116" t="n"/>
      <c r="AT889" s="116" t="n"/>
      <c r="AU889" s="116" t="n"/>
      <c r="AV889" s="116" t="n"/>
    </row>
    <row r="890">
      <c r="AI890" s="116" t="n"/>
      <c r="AJ890" s="116" t="n"/>
      <c r="AK890" s="116" t="n"/>
      <c r="AL890" s="116" t="n"/>
      <c r="AM890" s="116" t="n"/>
      <c r="AN890" s="116" t="n"/>
      <c r="AO890" s="116" t="n"/>
      <c r="AP890" s="116" t="n"/>
      <c r="AQ890" s="116" t="n"/>
      <c r="AR890" s="116" t="n"/>
      <c r="AS890" s="116" t="n"/>
      <c r="AT890" s="116" t="n"/>
      <c r="AU890" s="116" t="n"/>
      <c r="AV890" s="116" t="n"/>
    </row>
    <row r="891">
      <c r="AI891" s="116" t="n"/>
      <c r="AJ891" s="116" t="n"/>
      <c r="AK891" s="116" t="n"/>
      <c r="AL891" s="116" t="n"/>
      <c r="AM891" s="116" t="n"/>
      <c r="AN891" s="116" t="n"/>
      <c r="AO891" s="116" t="n"/>
      <c r="AP891" s="116" t="n"/>
      <c r="AQ891" s="116" t="n"/>
      <c r="AR891" s="116" t="n"/>
      <c r="AS891" s="116" t="n"/>
      <c r="AT891" s="116" t="n"/>
      <c r="AU891" s="116" t="n"/>
      <c r="AV891" s="116" t="n"/>
    </row>
    <row r="892">
      <c r="AI892" s="116" t="n"/>
      <c r="AJ892" s="116" t="n"/>
      <c r="AK892" s="116" t="n"/>
      <c r="AL892" s="116" t="n"/>
      <c r="AM892" s="116" t="n"/>
      <c r="AN892" s="116" t="n"/>
      <c r="AO892" s="116" t="n"/>
      <c r="AP892" s="116" t="n"/>
      <c r="AQ892" s="116" t="n"/>
      <c r="AR892" s="116" t="n"/>
      <c r="AS892" s="116" t="n"/>
      <c r="AT892" s="116" t="n"/>
      <c r="AU892" s="116" t="n"/>
      <c r="AV892" s="116" t="n"/>
    </row>
    <row r="893">
      <c r="AI893" s="116" t="n"/>
      <c r="AJ893" s="116" t="n"/>
      <c r="AK893" s="116" t="n"/>
      <c r="AL893" s="116" t="n"/>
      <c r="AM893" s="116" t="n"/>
      <c r="AN893" s="116" t="n"/>
      <c r="AO893" s="116" t="n"/>
      <c r="AP893" s="116" t="n"/>
      <c r="AQ893" s="116" t="n"/>
      <c r="AR893" s="116" t="n"/>
      <c r="AS893" s="116" t="n"/>
      <c r="AT893" s="116" t="n"/>
      <c r="AU893" s="116" t="n"/>
      <c r="AV893" s="116" t="n"/>
    </row>
    <row r="894">
      <c r="AI894" s="116" t="n"/>
      <c r="AJ894" s="116" t="n"/>
      <c r="AK894" s="116" t="n"/>
      <c r="AL894" s="116" t="n"/>
      <c r="AM894" s="116" t="n"/>
      <c r="AN894" s="116" t="n"/>
      <c r="AO894" s="116" t="n"/>
      <c r="AP894" s="116" t="n"/>
      <c r="AQ894" s="116" t="n"/>
      <c r="AR894" s="116" t="n"/>
      <c r="AS894" s="116" t="n"/>
      <c r="AT894" s="116" t="n"/>
      <c r="AU894" s="116" t="n"/>
      <c r="AV894" s="116" t="n"/>
    </row>
    <row r="895">
      <c r="AI895" s="116" t="n"/>
      <c r="AJ895" s="116" t="n"/>
      <c r="AK895" s="116" t="n"/>
      <c r="AL895" s="116" t="n"/>
      <c r="AM895" s="116" t="n"/>
      <c r="AN895" s="116" t="n"/>
      <c r="AO895" s="116" t="n"/>
      <c r="AP895" s="116" t="n"/>
      <c r="AQ895" s="116" t="n"/>
      <c r="AR895" s="116" t="n"/>
      <c r="AS895" s="116" t="n"/>
      <c r="AT895" s="116" t="n"/>
      <c r="AU895" s="116" t="n"/>
      <c r="AV895" s="116" t="n"/>
    </row>
    <row r="896">
      <c r="AI896" s="116" t="n"/>
      <c r="AJ896" s="116" t="n"/>
      <c r="AK896" s="116" t="n"/>
      <c r="AL896" s="116" t="n"/>
      <c r="AM896" s="116" t="n"/>
      <c r="AN896" s="116" t="n"/>
      <c r="AO896" s="116" t="n"/>
      <c r="AP896" s="116" t="n"/>
      <c r="AQ896" s="116" t="n"/>
      <c r="AR896" s="116" t="n"/>
      <c r="AS896" s="116" t="n"/>
      <c r="AT896" s="116" t="n"/>
      <c r="AU896" s="116" t="n"/>
      <c r="AV896" s="116" t="n"/>
    </row>
    <row r="897">
      <c r="AI897" s="116" t="n"/>
      <c r="AJ897" s="116" t="n"/>
      <c r="AK897" s="116" t="n"/>
      <c r="AL897" s="116" t="n"/>
      <c r="AM897" s="116" t="n"/>
      <c r="AN897" s="116" t="n"/>
      <c r="AO897" s="116" t="n"/>
      <c r="AP897" s="116" t="n"/>
      <c r="AQ897" s="116" t="n"/>
      <c r="AR897" s="116" t="n"/>
      <c r="AS897" s="116" t="n"/>
      <c r="AT897" s="116" t="n"/>
      <c r="AU897" s="116" t="n"/>
      <c r="AV897" s="116" t="n"/>
    </row>
    <row r="898">
      <c r="AI898" s="116" t="n"/>
      <c r="AJ898" s="116" t="n"/>
      <c r="AK898" s="116" t="n"/>
      <c r="AL898" s="116" t="n"/>
      <c r="AM898" s="116" t="n"/>
      <c r="AN898" s="116" t="n"/>
      <c r="AO898" s="116" t="n"/>
      <c r="AP898" s="116" t="n"/>
      <c r="AQ898" s="116" t="n"/>
      <c r="AR898" s="116" t="n"/>
      <c r="AS898" s="116" t="n"/>
      <c r="AT898" s="116" t="n"/>
      <c r="AU898" s="116" t="n"/>
      <c r="AV898" s="116" t="n"/>
    </row>
    <row r="899">
      <c r="AI899" s="116" t="n"/>
      <c r="AJ899" s="116" t="n"/>
      <c r="AK899" s="116" t="n"/>
      <c r="AL899" s="116" t="n"/>
      <c r="AM899" s="116" t="n"/>
      <c r="AN899" s="116" t="n"/>
      <c r="AO899" s="116" t="n"/>
      <c r="AP899" s="116" t="n"/>
      <c r="AQ899" s="116" t="n"/>
      <c r="AR899" s="116" t="n"/>
      <c r="AS899" s="116" t="n"/>
      <c r="AT899" s="116" t="n"/>
      <c r="AU899" s="116" t="n"/>
      <c r="AV899" s="116" t="n"/>
    </row>
    <row r="900">
      <c r="AI900" s="116" t="n"/>
      <c r="AJ900" s="116" t="n"/>
      <c r="AK900" s="116" t="n"/>
      <c r="AL900" s="116" t="n"/>
      <c r="AM900" s="116" t="n"/>
      <c r="AN900" s="116" t="n"/>
      <c r="AO900" s="116" t="n"/>
      <c r="AP900" s="116" t="n"/>
      <c r="AQ900" s="116" t="n"/>
      <c r="AR900" s="116" t="n"/>
      <c r="AS900" s="116" t="n"/>
      <c r="AT900" s="116" t="n"/>
      <c r="AU900" s="116" t="n"/>
      <c r="AV900" s="116" t="n"/>
    </row>
    <row r="901">
      <c r="AI901" s="116" t="n"/>
      <c r="AJ901" s="116" t="n"/>
      <c r="AK901" s="116" t="n"/>
      <c r="AL901" s="116" t="n"/>
      <c r="AM901" s="116" t="n"/>
      <c r="AN901" s="116" t="n"/>
      <c r="AO901" s="116" t="n"/>
      <c r="AP901" s="116" t="n"/>
      <c r="AQ901" s="116" t="n"/>
      <c r="AR901" s="116" t="n"/>
      <c r="AS901" s="116" t="n"/>
      <c r="AT901" s="116" t="n"/>
      <c r="AU901" s="116" t="n"/>
      <c r="AV901" s="116" t="n"/>
    </row>
    <row r="902">
      <c r="AI902" s="116" t="n"/>
      <c r="AJ902" s="116" t="n"/>
      <c r="AK902" s="116" t="n"/>
      <c r="AL902" s="116" t="n"/>
      <c r="AM902" s="116" t="n"/>
      <c r="AN902" s="116" t="n"/>
      <c r="AO902" s="116" t="n"/>
      <c r="AP902" s="116" t="n"/>
      <c r="AQ902" s="116" t="n"/>
      <c r="AR902" s="116" t="n"/>
      <c r="AS902" s="116" t="n"/>
      <c r="AT902" s="116" t="n"/>
      <c r="AU902" s="116" t="n"/>
      <c r="AV902" s="116" t="n"/>
    </row>
    <row r="903">
      <c r="AI903" s="116" t="n"/>
      <c r="AJ903" s="116" t="n"/>
      <c r="AK903" s="116" t="n"/>
      <c r="AL903" s="116" t="n"/>
      <c r="AM903" s="116" t="n"/>
      <c r="AN903" s="116" t="n"/>
      <c r="AO903" s="116" t="n"/>
      <c r="AP903" s="116" t="n"/>
      <c r="AQ903" s="116" t="n"/>
      <c r="AR903" s="116" t="n"/>
      <c r="AS903" s="116" t="n"/>
      <c r="AT903" s="116" t="n"/>
      <c r="AU903" s="116" t="n"/>
      <c r="AV903" s="116" t="n"/>
    </row>
    <row r="904">
      <c r="AI904" s="116" t="n"/>
      <c r="AJ904" s="116" t="n"/>
      <c r="AK904" s="116" t="n"/>
      <c r="AL904" s="116" t="n"/>
      <c r="AM904" s="116" t="n"/>
      <c r="AN904" s="116" t="n"/>
      <c r="AO904" s="116" t="n"/>
      <c r="AP904" s="116" t="n"/>
      <c r="AQ904" s="116" t="n"/>
      <c r="AR904" s="116" t="n"/>
      <c r="AS904" s="116" t="n"/>
      <c r="AT904" s="116" t="n"/>
      <c r="AU904" s="116" t="n"/>
      <c r="AV904" s="116" t="n"/>
    </row>
    <row r="905">
      <c r="AI905" s="116" t="n"/>
      <c r="AJ905" s="116" t="n"/>
      <c r="AK905" s="116" t="n"/>
      <c r="AL905" s="116" t="n"/>
      <c r="AM905" s="116" t="n"/>
      <c r="AN905" s="116" t="n"/>
      <c r="AO905" s="116" t="n"/>
      <c r="AP905" s="116" t="n"/>
      <c r="AQ905" s="116" t="n"/>
      <c r="AR905" s="116" t="n"/>
      <c r="AS905" s="116" t="n"/>
      <c r="AT905" s="116" t="n"/>
      <c r="AU905" s="116" t="n"/>
      <c r="AV905" s="116" t="n"/>
    </row>
    <row r="906">
      <c r="AI906" s="116" t="n"/>
      <c r="AJ906" s="116" t="n"/>
      <c r="AK906" s="116" t="n"/>
      <c r="AL906" s="116" t="n"/>
      <c r="AM906" s="116" t="n"/>
      <c r="AN906" s="116" t="n"/>
      <c r="AO906" s="116" t="n"/>
      <c r="AP906" s="116" t="n"/>
      <c r="AQ906" s="116" t="n"/>
      <c r="AR906" s="116" t="n"/>
      <c r="AS906" s="116" t="n"/>
      <c r="AT906" s="116" t="n"/>
      <c r="AU906" s="116" t="n"/>
      <c r="AV906" s="116" t="n"/>
    </row>
    <row r="907">
      <c r="AI907" s="116" t="n"/>
      <c r="AJ907" s="116" t="n"/>
      <c r="AK907" s="116" t="n"/>
      <c r="AL907" s="116" t="n"/>
      <c r="AM907" s="116" t="n"/>
      <c r="AN907" s="116" t="n"/>
      <c r="AO907" s="116" t="n"/>
      <c r="AP907" s="116" t="n"/>
      <c r="AQ907" s="116" t="n"/>
      <c r="AR907" s="116" t="n"/>
      <c r="AS907" s="116" t="n"/>
      <c r="AT907" s="116" t="n"/>
      <c r="AU907" s="116" t="n"/>
      <c r="AV907" s="116" t="n"/>
    </row>
    <row r="908">
      <c r="AI908" s="116" t="n"/>
      <c r="AJ908" s="116" t="n"/>
      <c r="AK908" s="116" t="n"/>
      <c r="AL908" s="116" t="n"/>
      <c r="AM908" s="116" t="n"/>
      <c r="AN908" s="116" t="n"/>
      <c r="AO908" s="116" t="n"/>
      <c r="AP908" s="116" t="n"/>
      <c r="AQ908" s="116" t="n"/>
      <c r="AR908" s="116" t="n"/>
      <c r="AS908" s="116" t="n"/>
      <c r="AT908" s="116" t="n"/>
      <c r="AU908" s="116" t="n"/>
      <c r="AV908" s="116" t="n"/>
    </row>
    <row r="909">
      <c r="AI909" s="116" t="n"/>
      <c r="AJ909" s="116" t="n"/>
      <c r="AK909" s="116" t="n"/>
      <c r="AL909" s="116" t="n"/>
      <c r="AM909" s="116" t="n"/>
      <c r="AN909" s="116" t="n"/>
      <c r="AO909" s="116" t="n"/>
      <c r="AP909" s="116" t="n"/>
      <c r="AQ909" s="116" t="n"/>
      <c r="AR909" s="116" t="n"/>
      <c r="AS909" s="116" t="n"/>
      <c r="AT909" s="116" t="n"/>
      <c r="AU909" s="116" t="n"/>
      <c r="AV909" s="116" t="n"/>
    </row>
    <row r="910">
      <c r="AI910" s="116" t="n"/>
      <c r="AJ910" s="116" t="n"/>
      <c r="AK910" s="116" t="n"/>
      <c r="AL910" s="116" t="n"/>
      <c r="AM910" s="116" t="n"/>
      <c r="AN910" s="116" t="n"/>
      <c r="AO910" s="116" t="n"/>
      <c r="AP910" s="116" t="n"/>
      <c r="AQ910" s="116" t="n"/>
      <c r="AR910" s="116" t="n"/>
      <c r="AS910" s="116" t="n"/>
      <c r="AT910" s="116" t="n"/>
      <c r="AU910" s="116" t="n"/>
      <c r="AV910" s="116" t="n"/>
    </row>
    <row r="911">
      <c r="AI911" s="116" t="n"/>
      <c r="AJ911" s="116" t="n"/>
      <c r="AK911" s="116" t="n"/>
      <c r="AL911" s="116" t="n"/>
      <c r="AM911" s="116" t="n"/>
      <c r="AN911" s="116" t="n"/>
      <c r="AO911" s="116" t="n"/>
      <c r="AP911" s="116" t="n"/>
      <c r="AQ911" s="116" t="n"/>
      <c r="AR911" s="116" t="n"/>
      <c r="AS911" s="116" t="n"/>
      <c r="AT911" s="116" t="n"/>
      <c r="AU911" s="116" t="n"/>
      <c r="AV911" s="116" t="n"/>
    </row>
    <row r="912">
      <c r="AI912" s="116" t="n"/>
      <c r="AJ912" s="116" t="n"/>
      <c r="AK912" s="116" t="n"/>
      <c r="AL912" s="116" t="n"/>
      <c r="AM912" s="116" t="n"/>
      <c r="AN912" s="116" t="n"/>
      <c r="AO912" s="116" t="n"/>
      <c r="AP912" s="116" t="n"/>
      <c r="AQ912" s="116" t="n"/>
      <c r="AR912" s="116" t="n"/>
      <c r="AS912" s="116" t="n"/>
      <c r="AT912" s="116" t="n"/>
      <c r="AU912" s="116" t="n"/>
      <c r="AV912" s="116" t="n"/>
    </row>
    <row r="913">
      <c r="AI913" s="116" t="n"/>
      <c r="AJ913" s="116" t="n"/>
      <c r="AK913" s="116" t="n"/>
      <c r="AL913" s="116" t="n"/>
      <c r="AM913" s="116" t="n"/>
      <c r="AN913" s="116" t="n"/>
      <c r="AO913" s="116" t="n"/>
      <c r="AP913" s="116" t="n"/>
      <c r="AQ913" s="116" t="n"/>
      <c r="AR913" s="116" t="n"/>
      <c r="AS913" s="116" t="n"/>
      <c r="AT913" s="116" t="n"/>
      <c r="AU913" s="116" t="n"/>
      <c r="AV913" s="116" t="n"/>
    </row>
    <row r="914">
      <c r="AI914" s="116" t="n"/>
      <c r="AJ914" s="116" t="n"/>
      <c r="AK914" s="116" t="n"/>
      <c r="AL914" s="116" t="n"/>
      <c r="AM914" s="116" t="n"/>
      <c r="AN914" s="116" t="n"/>
      <c r="AO914" s="116" t="n"/>
      <c r="AP914" s="116" t="n"/>
      <c r="AQ914" s="116" t="n"/>
      <c r="AR914" s="116" t="n"/>
      <c r="AS914" s="116" t="n"/>
      <c r="AT914" s="116" t="n"/>
      <c r="AU914" s="116" t="n"/>
      <c r="AV914" s="116" t="n"/>
    </row>
    <row r="915">
      <c r="AI915" s="116" t="n"/>
      <c r="AJ915" s="116" t="n"/>
      <c r="AK915" s="116" t="n"/>
      <c r="AL915" s="116" t="n"/>
      <c r="AM915" s="116" t="n"/>
      <c r="AN915" s="116" t="n"/>
      <c r="AO915" s="116" t="n"/>
      <c r="AP915" s="116" t="n"/>
      <c r="AQ915" s="116" t="n"/>
      <c r="AR915" s="116" t="n"/>
      <c r="AS915" s="116" t="n"/>
      <c r="AT915" s="116" t="n"/>
      <c r="AU915" s="116" t="n"/>
      <c r="AV915" s="116" t="n"/>
    </row>
    <row r="916">
      <c r="AI916" s="116" t="n"/>
      <c r="AJ916" s="116" t="n"/>
      <c r="AK916" s="116" t="n"/>
      <c r="AL916" s="116" t="n"/>
      <c r="AM916" s="116" t="n"/>
      <c r="AN916" s="116" t="n"/>
      <c r="AO916" s="116" t="n"/>
      <c r="AP916" s="116" t="n"/>
      <c r="AQ916" s="116" t="n"/>
      <c r="AR916" s="116" t="n"/>
      <c r="AS916" s="116" t="n"/>
      <c r="AT916" s="116" t="n"/>
      <c r="AU916" s="116" t="n"/>
      <c r="AV916" s="116" t="n"/>
    </row>
    <row r="917">
      <c r="AI917" s="116" t="n"/>
      <c r="AJ917" s="116" t="n"/>
      <c r="AK917" s="116" t="n"/>
      <c r="AL917" s="116" t="n"/>
      <c r="AM917" s="116" t="n"/>
      <c r="AN917" s="116" t="n"/>
      <c r="AO917" s="116" t="n"/>
      <c r="AP917" s="116" t="n"/>
      <c r="AQ917" s="116" t="n"/>
      <c r="AR917" s="116" t="n"/>
      <c r="AS917" s="116" t="n"/>
      <c r="AT917" s="116" t="n"/>
      <c r="AU917" s="116" t="n"/>
      <c r="AV917" s="116" t="n"/>
    </row>
    <row r="918">
      <c r="AI918" s="116" t="n"/>
      <c r="AJ918" s="116" t="n"/>
      <c r="AK918" s="116" t="n"/>
      <c r="AL918" s="116" t="n"/>
      <c r="AM918" s="116" t="n"/>
      <c r="AN918" s="116" t="n"/>
      <c r="AO918" s="116" t="n"/>
      <c r="AP918" s="116" t="n"/>
      <c r="AQ918" s="116" t="n"/>
      <c r="AR918" s="116" t="n"/>
      <c r="AS918" s="116" t="n"/>
      <c r="AT918" s="116" t="n"/>
      <c r="AU918" s="116" t="n"/>
      <c r="AV918" s="116" t="n"/>
    </row>
    <row r="919">
      <c r="AI919" s="116" t="n"/>
      <c r="AJ919" s="116" t="n"/>
      <c r="AK919" s="116" t="n"/>
      <c r="AL919" s="116" t="n"/>
      <c r="AM919" s="116" t="n"/>
      <c r="AN919" s="116" t="n"/>
      <c r="AO919" s="116" t="n"/>
      <c r="AP919" s="116" t="n"/>
      <c r="AQ919" s="116" t="n"/>
      <c r="AR919" s="116" t="n"/>
      <c r="AS919" s="116" t="n"/>
      <c r="AT919" s="116" t="n"/>
      <c r="AU919" s="116" t="n"/>
      <c r="AV919" s="116" t="n"/>
    </row>
    <row r="920">
      <c r="AI920" s="116" t="n"/>
      <c r="AJ920" s="116" t="n"/>
      <c r="AK920" s="116" t="n"/>
      <c r="AL920" s="116" t="n"/>
      <c r="AM920" s="116" t="n"/>
      <c r="AN920" s="116" t="n"/>
      <c r="AO920" s="116" t="n"/>
      <c r="AP920" s="116" t="n"/>
      <c r="AQ920" s="116" t="n"/>
      <c r="AR920" s="116" t="n"/>
      <c r="AS920" s="116" t="n"/>
      <c r="AT920" s="116" t="n"/>
      <c r="AU920" s="116" t="n"/>
      <c r="AV920" s="116" t="n"/>
    </row>
    <row r="921">
      <c r="AI921" s="116" t="n"/>
      <c r="AJ921" s="116" t="n"/>
      <c r="AK921" s="116" t="n"/>
      <c r="AL921" s="116" t="n"/>
      <c r="AM921" s="116" t="n"/>
      <c r="AN921" s="116" t="n"/>
      <c r="AO921" s="116" t="n"/>
      <c r="AP921" s="116" t="n"/>
      <c r="AQ921" s="116" t="n"/>
      <c r="AR921" s="116" t="n"/>
      <c r="AS921" s="116" t="n"/>
      <c r="AT921" s="116" t="n"/>
      <c r="AU921" s="116" t="n"/>
      <c r="AV921" s="116" t="n"/>
    </row>
    <row r="922">
      <c r="AI922" s="116" t="n"/>
      <c r="AJ922" s="116" t="n"/>
      <c r="AK922" s="116" t="n"/>
      <c r="AL922" s="116" t="n"/>
      <c r="AM922" s="116" t="n"/>
      <c r="AN922" s="116" t="n"/>
      <c r="AO922" s="116" t="n"/>
      <c r="AP922" s="116" t="n"/>
      <c r="AQ922" s="116" t="n"/>
      <c r="AR922" s="116" t="n"/>
      <c r="AS922" s="116" t="n"/>
      <c r="AT922" s="116" t="n"/>
      <c r="AU922" s="116" t="n"/>
      <c r="AV922" s="116" t="n"/>
    </row>
    <row r="923">
      <c r="AI923" s="116" t="n"/>
      <c r="AJ923" s="116" t="n"/>
      <c r="AK923" s="116" t="n"/>
      <c r="AL923" s="116" t="n"/>
      <c r="AM923" s="116" t="n"/>
      <c r="AN923" s="116" t="n"/>
      <c r="AO923" s="116" t="n"/>
      <c r="AP923" s="116" t="n"/>
      <c r="AQ923" s="116" t="n"/>
      <c r="AR923" s="116" t="n"/>
      <c r="AS923" s="116" t="n"/>
      <c r="AT923" s="116" t="n"/>
      <c r="AU923" s="116" t="n"/>
      <c r="AV923" s="116" t="n"/>
    </row>
    <row r="924">
      <c r="AI924" s="116" t="n"/>
      <c r="AJ924" s="116" t="n"/>
      <c r="AK924" s="116" t="n"/>
      <c r="AL924" s="116" t="n"/>
      <c r="AM924" s="116" t="n"/>
      <c r="AN924" s="116" t="n"/>
      <c r="AO924" s="116" t="n"/>
      <c r="AP924" s="116" t="n"/>
      <c r="AQ924" s="116" t="n"/>
      <c r="AR924" s="116" t="n"/>
      <c r="AS924" s="116" t="n"/>
      <c r="AT924" s="116" t="n"/>
      <c r="AU924" s="116" t="n"/>
      <c r="AV924" s="116" t="n"/>
    </row>
    <row r="925">
      <c r="AI925" s="116" t="n"/>
      <c r="AJ925" s="116" t="n"/>
      <c r="AK925" s="116" t="n"/>
      <c r="AL925" s="116" t="n"/>
      <c r="AM925" s="116" t="n"/>
      <c r="AN925" s="116" t="n"/>
      <c r="AO925" s="116" t="n"/>
      <c r="AP925" s="116" t="n"/>
      <c r="AQ925" s="116" t="n"/>
      <c r="AR925" s="116" t="n"/>
      <c r="AS925" s="116" t="n"/>
      <c r="AT925" s="116" t="n"/>
      <c r="AU925" s="116" t="n"/>
      <c r="AV925" s="116" t="n"/>
    </row>
    <row r="926">
      <c r="AI926" s="116" t="n"/>
      <c r="AJ926" s="116" t="n"/>
      <c r="AK926" s="116" t="n"/>
      <c r="AL926" s="116" t="n"/>
      <c r="AM926" s="116" t="n"/>
      <c r="AN926" s="116" t="n"/>
      <c r="AO926" s="116" t="n"/>
      <c r="AP926" s="116" t="n"/>
      <c r="AQ926" s="116" t="n"/>
      <c r="AR926" s="116" t="n"/>
      <c r="AS926" s="116" t="n"/>
      <c r="AT926" s="116" t="n"/>
      <c r="AU926" s="116" t="n"/>
      <c r="AV926" s="116" t="n"/>
    </row>
    <row r="927">
      <c r="AI927" s="116" t="n"/>
      <c r="AJ927" s="116" t="n"/>
      <c r="AK927" s="116" t="n"/>
      <c r="AL927" s="116" t="n"/>
      <c r="AM927" s="116" t="n"/>
      <c r="AN927" s="116" t="n"/>
      <c r="AO927" s="116" t="n"/>
      <c r="AP927" s="116" t="n"/>
      <c r="AQ927" s="116" t="n"/>
      <c r="AR927" s="116" t="n"/>
      <c r="AS927" s="116" t="n"/>
      <c r="AT927" s="116" t="n"/>
      <c r="AU927" s="116" t="n"/>
      <c r="AV927" s="116" t="n"/>
    </row>
    <row r="928">
      <c r="AI928" s="116" t="n"/>
      <c r="AJ928" s="116" t="n"/>
      <c r="AK928" s="116" t="n"/>
      <c r="AL928" s="116" t="n"/>
      <c r="AM928" s="116" t="n"/>
      <c r="AN928" s="116" t="n"/>
      <c r="AO928" s="116" t="n"/>
      <c r="AP928" s="116" t="n"/>
      <c r="AQ928" s="116" t="n"/>
      <c r="AR928" s="116" t="n"/>
      <c r="AS928" s="116" t="n"/>
      <c r="AT928" s="116" t="n"/>
      <c r="AU928" s="116" t="n"/>
      <c r="AV928" s="116" t="n"/>
    </row>
    <row r="929">
      <c r="AI929" s="116" t="n"/>
      <c r="AJ929" s="116" t="n"/>
      <c r="AK929" s="116" t="n"/>
      <c r="AL929" s="116" t="n"/>
      <c r="AM929" s="116" t="n"/>
      <c r="AN929" s="116" t="n"/>
      <c r="AO929" s="116" t="n"/>
      <c r="AP929" s="116" t="n"/>
      <c r="AQ929" s="116" t="n"/>
      <c r="AR929" s="116" t="n"/>
      <c r="AS929" s="116" t="n"/>
      <c r="AT929" s="116" t="n"/>
      <c r="AU929" s="116" t="n"/>
      <c r="AV929" s="116" t="n"/>
    </row>
    <row r="930">
      <c r="AI930" s="116" t="n"/>
      <c r="AJ930" s="116" t="n"/>
      <c r="AK930" s="116" t="n"/>
      <c r="AL930" s="116" t="n"/>
      <c r="AM930" s="116" t="n"/>
      <c r="AN930" s="116" t="n"/>
      <c r="AO930" s="116" t="n"/>
      <c r="AP930" s="116" t="n"/>
      <c r="AQ930" s="116" t="n"/>
      <c r="AR930" s="116" t="n"/>
      <c r="AS930" s="116" t="n"/>
      <c r="AT930" s="116" t="n"/>
      <c r="AU930" s="116" t="n"/>
      <c r="AV930" s="116" t="n"/>
    </row>
    <row r="931">
      <c r="AI931" s="116" t="n"/>
      <c r="AJ931" s="116" t="n"/>
      <c r="AK931" s="116" t="n"/>
      <c r="AL931" s="116" t="n"/>
      <c r="AM931" s="116" t="n"/>
      <c r="AN931" s="116" t="n"/>
      <c r="AO931" s="116" t="n"/>
      <c r="AP931" s="116" t="n"/>
      <c r="AQ931" s="116" t="n"/>
      <c r="AR931" s="116" t="n"/>
      <c r="AS931" s="116" t="n"/>
      <c r="AT931" s="116" t="n"/>
      <c r="AU931" s="116" t="n"/>
      <c r="AV931" s="116" t="n"/>
    </row>
    <row r="932">
      <c r="AI932" s="116" t="n"/>
      <c r="AJ932" s="116" t="n"/>
      <c r="AK932" s="116" t="n"/>
      <c r="AL932" s="116" t="n"/>
      <c r="AM932" s="116" t="n"/>
      <c r="AN932" s="116" t="n"/>
      <c r="AO932" s="116" t="n"/>
      <c r="AP932" s="116" t="n"/>
      <c r="AQ932" s="116" t="n"/>
      <c r="AR932" s="116" t="n"/>
      <c r="AS932" s="116" t="n"/>
      <c r="AT932" s="116" t="n"/>
      <c r="AU932" s="116" t="n"/>
      <c r="AV932" s="116" t="n"/>
    </row>
    <row r="933">
      <c r="AI933" s="116" t="n"/>
      <c r="AJ933" s="116" t="n"/>
      <c r="AK933" s="116" t="n"/>
      <c r="AL933" s="116" t="n"/>
      <c r="AM933" s="116" t="n"/>
      <c r="AN933" s="116" t="n"/>
      <c r="AO933" s="116" t="n"/>
      <c r="AP933" s="116" t="n"/>
      <c r="AQ933" s="116" t="n"/>
      <c r="AR933" s="116" t="n"/>
      <c r="AS933" s="116" t="n"/>
      <c r="AT933" s="116" t="n"/>
      <c r="AU933" s="116" t="n"/>
      <c r="AV933" s="116" t="n"/>
    </row>
    <row r="934">
      <c r="AI934" s="116" t="n"/>
      <c r="AJ934" s="116" t="n"/>
      <c r="AK934" s="116" t="n"/>
      <c r="AL934" s="116" t="n"/>
      <c r="AM934" s="116" t="n"/>
      <c r="AN934" s="116" t="n"/>
      <c r="AO934" s="116" t="n"/>
      <c r="AP934" s="116" t="n"/>
      <c r="AQ934" s="116" t="n"/>
      <c r="AR934" s="116" t="n"/>
      <c r="AS934" s="116" t="n"/>
      <c r="AT934" s="116" t="n"/>
      <c r="AU934" s="116" t="n"/>
      <c r="AV934" s="116" t="n"/>
    </row>
    <row r="935">
      <c r="AI935" s="116" t="n"/>
      <c r="AJ935" s="116" t="n"/>
      <c r="AK935" s="116" t="n"/>
      <c r="AL935" s="116" t="n"/>
      <c r="AM935" s="116" t="n"/>
      <c r="AN935" s="116" t="n"/>
      <c r="AO935" s="116" t="n"/>
      <c r="AP935" s="116" t="n"/>
      <c r="AQ935" s="116" t="n"/>
      <c r="AR935" s="116" t="n"/>
      <c r="AS935" s="116" t="n"/>
      <c r="AT935" s="116" t="n"/>
      <c r="AU935" s="116" t="n"/>
      <c r="AV935" s="116" t="n"/>
    </row>
    <row r="936">
      <c r="AI936" s="116" t="n"/>
      <c r="AJ936" s="116" t="n"/>
      <c r="AK936" s="116" t="n"/>
      <c r="AL936" s="116" t="n"/>
      <c r="AM936" s="116" t="n"/>
      <c r="AN936" s="116" t="n"/>
      <c r="AO936" s="116" t="n"/>
      <c r="AP936" s="116" t="n"/>
      <c r="AQ936" s="116" t="n"/>
      <c r="AR936" s="116" t="n"/>
      <c r="AS936" s="116" t="n"/>
      <c r="AT936" s="116" t="n"/>
      <c r="AU936" s="116" t="n"/>
      <c r="AV936" s="116" t="n"/>
    </row>
    <row r="937">
      <c r="AI937" s="116" t="n"/>
      <c r="AJ937" s="116" t="n"/>
      <c r="AK937" s="116" t="n"/>
      <c r="AL937" s="116" t="n"/>
      <c r="AM937" s="116" t="n"/>
      <c r="AN937" s="116" t="n"/>
      <c r="AO937" s="116" t="n"/>
      <c r="AP937" s="116" t="n"/>
      <c r="AQ937" s="116" t="n"/>
      <c r="AR937" s="116" t="n"/>
      <c r="AS937" s="116" t="n"/>
      <c r="AT937" s="116" t="n"/>
      <c r="AU937" s="116" t="n"/>
      <c r="AV937" s="116" t="n"/>
    </row>
    <row r="938">
      <c r="AI938" s="116" t="n"/>
      <c r="AJ938" s="116" t="n"/>
      <c r="AK938" s="116" t="n"/>
      <c r="AL938" s="116" t="n"/>
      <c r="AM938" s="116" t="n"/>
      <c r="AN938" s="116" t="n"/>
      <c r="AO938" s="116" t="n"/>
      <c r="AP938" s="116" t="n"/>
      <c r="AQ938" s="116" t="n"/>
      <c r="AR938" s="116" t="n"/>
      <c r="AS938" s="116" t="n"/>
      <c r="AT938" s="116" t="n"/>
      <c r="AU938" s="116" t="n"/>
      <c r="AV938" s="116" t="n"/>
    </row>
    <row r="939">
      <c r="AI939" s="116" t="n"/>
      <c r="AJ939" s="116" t="n"/>
      <c r="AK939" s="116" t="n"/>
      <c r="AL939" s="116" t="n"/>
      <c r="AM939" s="116" t="n"/>
      <c r="AN939" s="116" t="n"/>
      <c r="AO939" s="116" t="n"/>
      <c r="AP939" s="116" t="n"/>
      <c r="AQ939" s="116" t="n"/>
      <c r="AR939" s="116" t="n"/>
      <c r="AS939" s="116" t="n"/>
      <c r="AT939" s="116" t="n"/>
      <c r="AU939" s="116" t="n"/>
      <c r="AV939" s="116" t="n"/>
    </row>
    <row r="940">
      <c r="AI940" s="116" t="n"/>
      <c r="AJ940" s="116" t="n"/>
      <c r="AK940" s="116" t="n"/>
      <c r="AL940" s="116" t="n"/>
      <c r="AM940" s="116" t="n"/>
      <c r="AN940" s="116" t="n"/>
      <c r="AO940" s="116" t="n"/>
      <c r="AP940" s="116" t="n"/>
      <c r="AQ940" s="116" t="n"/>
      <c r="AR940" s="116" t="n"/>
      <c r="AS940" s="116" t="n"/>
      <c r="AT940" s="116" t="n"/>
      <c r="AU940" s="116" t="n"/>
      <c r="AV940" s="116" t="n"/>
    </row>
    <row r="941">
      <c r="AI941" s="116" t="n"/>
      <c r="AJ941" s="116" t="n"/>
      <c r="AK941" s="116" t="n"/>
      <c r="AL941" s="116" t="n"/>
      <c r="AM941" s="116" t="n"/>
      <c r="AN941" s="116" t="n"/>
      <c r="AO941" s="116" t="n"/>
      <c r="AP941" s="116" t="n"/>
      <c r="AQ941" s="116" t="n"/>
      <c r="AR941" s="116" t="n"/>
      <c r="AS941" s="116" t="n"/>
      <c r="AT941" s="116" t="n"/>
      <c r="AU941" s="116" t="n"/>
      <c r="AV941" s="116" t="n"/>
    </row>
    <row r="942">
      <c r="AI942" s="116" t="n"/>
      <c r="AJ942" s="116" t="n"/>
      <c r="AK942" s="116" t="n"/>
      <c r="AL942" s="116" t="n"/>
      <c r="AM942" s="116" t="n"/>
      <c r="AN942" s="116" t="n"/>
      <c r="AO942" s="116" t="n"/>
      <c r="AP942" s="116" t="n"/>
      <c r="AQ942" s="116" t="n"/>
      <c r="AR942" s="116" t="n"/>
      <c r="AS942" s="116" t="n"/>
      <c r="AT942" s="116" t="n"/>
      <c r="AU942" s="116" t="n"/>
      <c r="AV942" s="116" t="n"/>
    </row>
    <row r="943">
      <c r="AI943" s="116" t="n"/>
      <c r="AJ943" s="116" t="n"/>
      <c r="AK943" s="116" t="n"/>
      <c r="AL943" s="116" t="n"/>
      <c r="AM943" s="116" t="n"/>
      <c r="AN943" s="116" t="n"/>
      <c r="AO943" s="116" t="n"/>
      <c r="AP943" s="116" t="n"/>
      <c r="AQ943" s="116" t="n"/>
      <c r="AR943" s="116" t="n"/>
      <c r="AS943" s="116" t="n"/>
      <c r="AT943" s="116" t="n"/>
      <c r="AU943" s="116" t="n"/>
      <c r="AV943" s="116" t="n"/>
    </row>
    <row r="944">
      <c r="AI944" s="116" t="n"/>
      <c r="AJ944" s="116" t="n"/>
      <c r="AK944" s="116" t="n"/>
      <c r="AL944" s="116" t="n"/>
      <c r="AM944" s="116" t="n"/>
      <c r="AN944" s="116" t="n"/>
      <c r="AO944" s="116" t="n"/>
      <c r="AP944" s="116" t="n"/>
      <c r="AQ944" s="116" t="n"/>
      <c r="AR944" s="116" t="n"/>
      <c r="AS944" s="116" t="n"/>
      <c r="AT944" s="116" t="n"/>
      <c r="AU944" s="116" t="n"/>
      <c r="AV944" s="116" t="n"/>
    </row>
    <row r="945">
      <c r="AI945" s="116" t="n"/>
      <c r="AJ945" s="116" t="n"/>
      <c r="AK945" s="116" t="n"/>
      <c r="AL945" s="116" t="n"/>
      <c r="AM945" s="116" t="n"/>
      <c r="AN945" s="116" t="n"/>
      <c r="AO945" s="116" t="n"/>
      <c r="AP945" s="116" t="n"/>
      <c r="AQ945" s="116" t="n"/>
      <c r="AR945" s="116" t="n"/>
      <c r="AS945" s="116" t="n"/>
      <c r="AT945" s="116" t="n"/>
      <c r="AU945" s="116" t="n"/>
      <c r="AV945" s="116" t="n"/>
    </row>
    <row r="946">
      <c r="AI946" s="116" t="n"/>
      <c r="AJ946" s="116" t="n"/>
      <c r="AK946" s="116" t="n"/>
      <c r="AL946" s="116" t="n"/>
      <c r="AM946" s="116" t="n"/>
      <c r="AN946" s="116" t="n"/>
      <c r="AO946" s="116" t="n"/>
      <c r="AP946" s="116" t="n"/>
      <c r="AQ946" s="116" t="n"/>
      <c r="AR946" s="116" t="n"/>
      <c r="AS946" s="116" t="n"/>
      <c r="AT946" s="116" t="n"/>
      <c r="AU946" s="116" t="n"/>
      <c r="AV946" s="116" t="n"/>
    </row>
    <row r="947">
      <c r="AI947" s="116" t="n"/>
      <c r="AJ947" s="116" t="n"/>
      <c r="AK947" s="116" t="n"/>
      <c r="AL947" s="116" t="n"/>
      <c r="AM947" s="116" t="n"/>
      <c r="AN947" s="116" t="n"/>
      <c r="AO947" s="116" t="n"/>
      <c r="AP947" s="116" t="n"/>
      <c r="AQ947" s="116" t="n"/>
      <c r="AR947" s="116" t="n"/>
      <c r="AS947" s="116" t="n"/>
      <c r="AT947" s="116" t="n"/>
      <c r="AU947" s="116" t="n"/>
      <c r="AV947" s="116" t="n"/>
    </row>
    <row r="948">
      <c r="AI948" s="116" t="n"/>
      <c r="AJ948" s="116" t="n"/>
      <c r="AK948" s="116" t="n"/>
      <c r="AL948" s="116" t="n"/>
      <c r="AM948" s="116" t="n"/>
      <c r="AN948" s="116" t="n"/>
      <c r="AO948" s="116" t="n"/>
      <c r="AP948" s="116" t="n"/>
      <c r="AQ948" s="116" t="n"/>
      <c r="AR948" s="116" t="n"/>
      <c r="AS948" s="116" t="n"/>
      <c r="AT948" s="116" t="n"/>
      <c r="AU948" s="116" t="n"/>
      <c r="AV948" s="116" t="n"/>
    </row>
    <row r="949">
      <c r="AI949" s="116" t="n"/>
      <c r="AJ949" s="116" t="n"/>
      <c r="AK949" s="116" t="n"/>
      <c r="AL949" s="116" t="n"/>
      <c r="AM949" s="116" t="n"/>
      <c r="AN949" s="116" t="n"/>
      <c r="AO949" s="116" t="n"/>
      <c r="AP949" s="116" t="n"/>
      <c r="AQ949" s="116" t="n"/>
      <c r="AR949" s="116" t="n"/>
      <c r="AS949" s="116" t="n"/>
      <c r="AT949" s="116" t="n"/>
      <c r="AU949" s="116" t="n"/>
      <c r="AV949" s="116" t="n"/>
    </row>
    <row r="950">
      <c r="AI950" s="116" t="n"/>
      <c r="AJ950" s="116" t="n"/>
      <c r="AK950" s="116" t="n"/>
      <c r="AL950" s="116" t="n"/>
      <c r="AM950" s="116" t="n"/>
      <c r="AN950" s="116" t="n"/>
      <c r="AO950" s="116" t="n"/>
      <c r="AP950" s="116" t="n"/>
      <c r="AQ950" s="116" t="n"/>
      <c r="AR950" s="116" t="n"/>
      <c r="AS950" s="116" t="n"/>
      <c r="AT950" s="116" t="n"/>
      <c r="AU950" s="116" t="n"/>
      <c r="AV950" s="116" t="n"/>
    </row>
    <row r="951">
      <c r="AI951" s="116" t="n"/>
      <c r="AJ951" s="116" t="n"/>
      <c r="AK951" s="116" t="n"/>
      <c r="AL951" s="116" t="n"/>
      <c r="AM951" s="116" t="n"/>
      <c r="AN951" s="116" t="n"/>
      <c r="AO951" s="116" t="n"/>
      <c r="AP951" s="116" t="n"/>
      <c r="AQ951" s="116" t="n"/>
      <c r="AR951" s="116" t="n"/>
      <c r="AS951" s="116" t="n"/>
      <c r="AT951" s="116" t="n"/>
      <c r="AU951" s="116" t="n"/>
      <c r="AV951" s="116" t="n"/>
    </row>
    <row r="952">
      <c r="AI952" s="116" t="n"/>
      <c r="AJ952" s="116" t="n"/>
      <c r="AK952" s="116" t="n"/>
      <c r="AL952" s="116" t="n"/>
      <c r="AM952" s="116" t="n"/>
      <c r="AN952" s="116" t="n"/>
      <c r="AO952" s="116" t="n"/>
      <c r="AP952" s="116" t="n"/>
      <c r="AQ952" s="116" t="n"/>
      <c r="AR952" s="116" t="n"/>
      <c r="AS952" s="116" t="n"/>
      <c r="AT952" s="116" t="n"/>
      <c r="AU952" s="116" t="n"/>
      <c r="AV952" s="116" t="n"/>
    </row>
    <row r="953">
      <c r="AI953" s="116" t="n"/>
      <c r="AJ953" s="116" t="n"/>
      <c r="AK953" s="116" t="n"/>
      <c r="AL953" s="116" t="n"/>
      <c r="AM953" s="116" t="n"/>
      <c r="AN953" s="116" t="n"/>
      <c r="AO953" s="116" t="n"/>
      <c r="AP953" s="116" t="n"/>
      <c r="AQ953" s="116" t="n"/>
      <c r="AR953" s="116" t="n"/>
      <c r="AS953" s="116" t="n"/>
      <c r="AT953" s="116" t="n"/>
      <c r="AU953" s="116" t="n"/>
      <c r="AV953" s="116" t="n"/>
    </row>
    <row r="954">
      <c r="AI954" s="116" t="n"/>
      <c r="AJ954" s="116" t="n"/>
      <c r="AK954" s="116" t="n"/>
      <c r="AL954" s="116" t="n"/>
      <c r="AM954" s="116" t="n"/>
      <c r="AN954" s="116" t="n"/>
      <c r="AO954" s="116" t="n"/>
      <c r="AP954" s="116" t="n"/>
      <c r="AQ954" s="116" t="n"/>
      <c r="AR954" s="116" t="n"/>
      <c r="AS954" s="116" t="n"/>
      <c r="AT954" s="116" t="n"/>
      <c r="AU954" s="116" t="n"/>
      <c r="AV954" s="116" t="n"/>
    </row>
    <row r="955">
      <c r="AI955" s="116" t="n"/>
      <c r="AJ955" s="116" t="n"/>
      <c r="AK955" s="116" t="n"/>
      <c r="AL955" s="116" t="n"/>
      <c r="AM955" s="116" t="n"/>
      <c r="AN955" s="116" t="n"/>
      <c r="AO955" s="116" t="n"/>
      <c r="AP955" s="116" t="n"/>
      <c r="AQ955" s="116" t="n"/>
      <c r="AR955" s="116" t="n"/>
      <c r="AS955" s="116" t="n"/>
      <c r="AT955" s="116" t="n"/>
      <c r="AU955" s="116" t="n"/>
      <c r="AV955" s="116" t="n"/>
    </row>
    <row r="956">
      <c r="AI956" s="116" t="n"/>
      <c r="AJ956" s="116" t="n"/>
      <c r="AK956" s="116" t="n"/>
      <c r="AL956" s="116" t="n"/>
      <c r="AM956" s="116" t="n"/>
      <c r="AN956" s="116" t="n"/>
      <c r="AO956" s="116" t="n"/>
      <c r="AP956" s="116" t="n"/>
      <c r="AQ956" s="116" t="n"/>
      <c r="AR956" s="116" t="n"/>
      <c r="AS956" s="116" t="n"/>
      <c r="AT956" s="116" t="n"/>
      <c r="AU956" s="116" t="n"/>
      <c r="AV956" s="116" t="n"/>
    </row>
    <row r="957">
      <c r="AI957" s="116" t="n"/>
      <c r="AJ957" s="116" t="n"/>
      <c r="AK957" s="116" t="n"/>
      <c r="AL957" s="116" t="n"/>
      <c r="AM957" s="116" t="n"/>
      <c r="AN957" s="116" t="n"/>
      <c r="AO957" s="116" t="n"/>
      <c r="AP957" s="116" t="n"/>
      <c r="AQ957" s="116" t="n"/>
      <c r="AR957" s="116" t="n"/>
      <c r="AS957" s="116" t="n"/>
      <c r="AT957" s="116" t="n"/>
      <c r="AU957" s="116" t="n"/>
      <c r="AV957" s="116" t="n"/>
    </row>
    <row r="958">
      <c r="AI958" s="116" t="n"/>
      <c r="AJ958" s="116" t="n"/>
      <c r="AK958" s="116" t="n"/>
      <c r="AL958" s="116" t="n"/>
      <c r="AM958" s="116" t="n"/>
      <c r="AN958" s="116" t="n"/>
      <c r="AO958" s="116" t="n"/>
      <c r="AP958" s="116" t="n"/>
      <c r="AQ958" s="116" t="n"/>
      <c r="AR958" s="116" t="n"/>
      <c r="AS958" s="116" t="n"/>
      <c r="AT958" s="116" t="n"/>
      <c r="AU958" s="116" t="n"/>
      <c r="AV958" s="116" t="n"/>
    </row>
    <row r="959">
      <c r="AI959" s="116" t="n"/>
      <c r="AJ959" s="116" t="n"/>
      <c r="AK959" s="116" t="n"/>
      <c r="AL959" s="116" t="n"/>
      <c r="AM959" s="116" t="n"/>
      <c r="AN959" s="116" t="n"/>
      <c r="AO959" s="116" t="n"/>
      <c r="AP959" s="116" t="n"/>
      <c r="AQ959" s="116" t="n"/>
      <c r="AR959" s="116" t="n"/>
      <c r="AS959" s="116" t="n"/>
      <c r="AT959" s="116" t="n"/>
      <c r="AU959" s="116" t="n"/>
      <c r="AV959" s="116" t="n"/>
    </row>
    <row r="960">
      <c r="AI960" s="116" t="n"/>
      <c r="AJ960" s="116" t="n"/>
      <c r="AK960" s="116" t="n"/>
      <c r="AL960" s="116" t="n"/>
      <c r="AM960" s="116" t="n"/>
      <c r="AN960" s="116" t="n"/>
      <c r="AO960" s="116" t="n"/>
      <c r="AP960" s="116" t="n"/>
      <c r="AQ960" s="116" t="n"/>
      <c r="AR960" s="116" t="n"/>
      <c r="AS960" s="116" t="n"/>
      <c r="AT960" s="116" t="n"/>
      <c r="AU960" s="116" t="n"/>
      <c r="AV960" s="116" t="n"/>
    </row>
    <row r="961">
      <c r="AI961" s="116" t="n"/>
      <c r="AJ961" s="116" t="n"/>
      <c r="AK961" s="116" t="n"/>
      <c r="AL961" s="116" t="n"/>
      <c r="AM961" s="116" t="n"/>
      <c r="AN961" s="116" t="n"/>
      <c r="AO961" s="116" t="n"/>
      <c r="AP961" s="116" t="n"/>
      <c r="AQ961" s="116" t="n"/>
      <c r="AR961" s="116" t="n"/>
      <c r="AS961" s="116" t="n"/>
      <c r="AT961" s="116" t="n"/>
      <c r="AU961" s="116" t="n"/>
      <c r="AV961" s="116" t="n"/>
    </row>
    <row r="962">
      <c r="AI962" s="116" t="n"/>
      <c r="AJ962" s="116" t="n"/>
      <c r="AK962" s="116" t="n"/>
      <c r="AL962" s="116" t="n"/>
      <c r="AM962" s="116" t="n"/>
      <c r="AN962" s="116" t="n"/>
      <c r="AO962" s="116" t="n"/>
      <c r="AP962" s="116" t="n"/>
      <c r="AQ962" s="116" t="n"/>
      <c r="AR962" s="116" t="n"/>
      <c r="AS962" s="116" t="n"/>
      <c r="AT962" s="116" t="n"/>
      <c r="AU962" s="116" t="n"/>
      <c r="AV962" s="116" t="n"/>
    </row>
    <row r="963">
      <c r="AI963" s="116" t="n"/>
      <c r="AJ963" s="116" t="n"/>
      <c r="AK963" s="116" t="n"/>
      <c r="AL963" s="116" t="n"/>
      <c r="AM963" s="116" t="n"/>
      <c r="AN963" s="116" t="n"/>
      <c r="AO963" s="116" t="n"/>
      <c r="AP963" s="116" t="n"/>
      <c r="AQ963" s="116" t="n"/>
      <c r="AR963" s="116" t="n"/>
      <c r="AS963" s="116" t="n"/>
      <c r="AT963" s="116" t="n"/>
      <c r="AU963" s="116" t="n"/>
      <c r="AV963" s="116" t="n"/>
    </row>
    <row r="964">
      <c r="AI964" s="116" t="n"/>
      <c r="AJ964" s="116" t="n"/>
      <c r="AK964" s="116" t="n"/>
      <c r="AL964" s="116" t="n"/>
      <c r="AM964" s="116" t="n"/>
      <c r="AN964" s="116" t="n"/>
      <c r="AO964" s="116" t="n"/>
      <c r="AP964" s="116" t="n"/>
      <c r="AQ964" s="116" t="n"/>
      <c r="AR964" s="116" t="n"/>
      <c r="AS964" s="116" t="n"/>
      <c r="AT964" s="116" t="n"/>
      <c r="AU964" s="116" t="n"/>
      <c r="AV964" s="116" t="n"/>
    </row>
    <row r="965">
      <c r="AI965" s="116" t="n"/>
      <c r="AJ965" s="116" t="n"/>
      <c r="AK965" s="116" t="n"/>
      <c r="AL965" s="116" t="n"/>
      <c r="AM965" s="116" t="n"/>
      <c r="AN965" s="116" t="n"/>
      <c r="AO965" s="116" t="n"/>
      <c r="AP965" s="116" t="n"/>
      <c r="AQ965" s="116" t="n"/>
      <c r="AR965" s="116" t="n"/>
      <c r="AS965" s="116" t="n"/>
      <c r="AT965" s="116" t="n"/>
      <c r="AU965" s="116" t="n"/>
      <c r="AV965" s="116" t="n"/>
    </row>
    <row r="966">
      <c r="AI966" s="116" t="n"/>
      <c r="AJ966" s="116" t="n"/>
      <c r="AK966" s="116" t="n"/>
      <c r="AL966" s="116" t="n"/>
      <c r="AM966" s="116" t="n"/>
      <c r="AN966" s="116" t="n"/>
      <c r="AO966" s="116" t="n"/>
      <c r="AP966" s="116" t="n"/>
      <c r="AQ966" s="116" t="n"/>
      <c r="AR966" s="116" t="n"/>
      <c r="AS966" s="116" t="n"/>
      <c r="AT966" s="116" t="n"/>
      <c r="AU966" s="116" t="n"/>
      <c r="AV966" s="116" t="n"/>
    </row>
    <row r="967">
      <c r="AI967" s="116" t="n"/>
      <c r="AJ967" s="116" t="n"/>
      <c r="AK967" s="116" t="n"/>
      <c r="AL967" s="116" t="n"/>
      <c r="AM967" s="116" t="n"/>
      <c r="AN967" s="116" t="n"/>
      <c r="AO967" s="116" t="n"/>
      <c r="AP967" s="116" t="n"/>
      <c r="AQ967" s="116" t="n"/>
      <c r="AR967" s="116" t="n"/>
      <c r="AS967" s="116" t="n"/>
      <c r="AT967" s="116" t="n"/>
      <c r="AU967" s="116" t="n"/>
      <c r="AV967" s="116" t="n"/>
    </row>
    <row r="968">
      <c r="AI968" s="116" t="n"/>
      <c r="AJ968" s="116" t="n"/>
      <c r="AK968" s="116" t="n"/>
      <c r="AL968" s="116" t="n"/>
      <c r="AM968" s="116" t="n"/>
      <c r="AN968" s="116" t="n"/>
      <c r="AO968" s="116" t="n"/>
      <c r="AP968" s="116" t="n"/>
      <c r="AQ968" s="116" t="n"/>
      <c r="AR968" s="116" t="n"/>
      <c r="AS968" s="116" t="n"/>
      <c r="AT968" s="116" t="n"/>
      <c r="AU968" s="116" t="n"/>
      <c r="AV968" s="116" t="n"/>
    </row>
    <row r="969">
      <c r="AI969" s="116" t="n"/>
      <c r="AJ969" s="116" t="n"/>
      <c r="AK969" s="116" t="n"/>
      <c r="AL969" s="116" t="n"/>
      <c r="AM969" s="116" t="n"/>
      <c r="AN969" s="116" t="n"/>
      <c r="AO969" s="116" t="n"/>
      <c r="AP969" s="116" t="n"/>
      <c r="AQ969" s="116" t="n"/>
      <c r="AR969" s="116" t="n"/>
      <c r="AS969" s="116" t="n"/>
      <c r="AT969" s="116" t="n"/>
      <c r="AU969" s="116" t="n"/>
      <c r="AV969" s="116" t="n"/>
    </row>
    <row r="970">
      <c r="AI970" s="116" t="n"/>
      <c r="AJ970" s="116" t="n"/>
      <c r="AK970" s="116" t="n"/>
      <c r="AL970" s="116" t="n"/>
      <c r="AM970" s="116" t="n"/>
      <c r="AN970" s="116" t="n"/>
      <c r="AO970" s="116" t="n"/>
      <c r="AP970" s="116" t="n"/>
      <c r="AQ970" s="116" t="n"/>
      <c r="AR970" s="116" t="n"/>
      <c r="AS970" s="116" t="n"/>
      <c r="AT970" s="116" t="n"/>
      <c r="AU970" s="116" t="n"/>
      <c r="AV970" s="116" t="n"/>
    </row>
    <row r="971">
      <c r="AI971" s="116" t="n"/>
      <c r="AJ971" s="116" t="n"/>
      <c r="AK971" s="116" t="n"/>
      <c r="AL971" s="116" t="n"/>
      <c r="AM971" s="116" t="n"/>
      <c r="AN971" s="116" t="n"/>
      <c r="AO971" s="116" t="n"/>
      <c r="AP971" s="116" t="n"/>
      <c r="AQ971" s="116" t="n"/>
      <c r="AR971" s="116" t="n"/>
      <c r="AS971" s="116" t="n"/>
      <c r="AT971" s="116" t="n"/>
      <c r="AU971" s="116" t="n"/>
      <c r="AV971" s="116" t="n"/>
    </row>
    <row r="972">
      <c r="AI972" s="116" t="n"/>
      <c r="AJ972" s="116" t="n"/>
      <c r="AK972" s="116" t="n"/>
      <c r="AL972" s="116" t="n"/>
      <c r="AM972" s="116" t="n"/>
      <c r="AN972" s="116" t="n"/>
      <c r="AO972" s="116" t="n"/>
      <c r="AP972" s="116" t="n"/>
      <c r="AQ972" s="116" t="n"/>
      <c r="AR972" s="116" t="n"/>
      <c r="AS972" s="116" t="n"/>
      <c r="AT972" s="116" t="n"/>
      <c r="AU972" s="116" t="n"/>
      <c r="AV972" s="116" t="n"/>
    </row>
    <row r="973">
      <c r="AI973" s="116" t="n"/>
      <c r="AJ973" s="116" t="n"/>
      <c r="AK973" s="116" t="n"/>
      <c r="AL973" s="116" t="n"/>
      <c r="AM973" s="116" t="n"/>
      <c r="AN973" s="116" t="n"/>
      <c r="AO973" s="116" t="n"/>
      <c r="AP973" s="116" t="n"/>
      <c r="AQ973" s="116" t="n"/>
      <c r="AR973" s="116" t="n"/>
      <c r="AS973" s="116" t="n"/>
      <c r="AT973" s="116" t="n"/>
      <c r="AU973" s="116" t="n"/>
      <c r="AV973" s="116" t="n"/>
    </row>
    <row r="974">
      <c r="AI974" s="116" t="n"/>
      <c r="AJ974" s="116" t="n"/>
      <c r="AK974" s="116" t="n"/>
      <c r="AL974" s="116" t="n"/>
      <c r="AM974" s="116" t="n"/>
      <c r="AN974" s="116" t="n"/>
      <c r="AO974" s="116" t="n"/>
      <c r="AP974" s="116" t="n"/>
      <c r="AQ974" s="116" t="n"/>
      <c r="AR974" s="116" t="n"/>
      <c r="AS974" s="116" t="n"/>
      <c r="AT974" s="116" t="n"/>
      <c r="AU974" s="116" t="n"/>
      <c r="AV974" s="116" t="n"/>
    </row>
    <row r="975">
      <c r="AI975" s="116" t="n"/>
      <c r="AJ975" s="116" t="n"/>
      <c r="AK975" s="116" t="n"/>
      <c r="AL975" s="116" t="n"/>
      <c r="AM975" s="116" t="n"/>
      <c r="AN975" s="116" t="n"/>
      <c r="AO975" s="116" t="n"/>
      <c r="AP975" s="116" t="n"/>
      <c r="AQ975" s="116" t="n"/>
      <c r="AR975" s="116" t="n"/>
      <c r="AS975" s="116" t="n"/>
      <c r="AT975" s="116" t="n"/>
      <c r="AU975" s="116" t="n"/>
      <c r="AV975" s="116" t="n"/>
    </row>
    <row r="976">
      <c r="AI976" s="116" t="n"/>
      <c r="AJ976" s="116" t="n"/>
      <c r="AK976" s="116" t="n"/>
      <c r="AL976" s="116" t="n"/>
      <c r="AM976" s="116" t="n"/>
      <c r="AN976" s="116" t="n"/>
      <c r="AO976" s="116" t="n"/>
      <c r="AP976" s="116" t="n"/>
      <c r="AQ976" s="116" t="n"/>
      <c r="AR976" s="116" t="n"/>
      <c r="AS976" s="116" t="n"/>
      <c r="AT976" s="116" t="n"/>
      <c r="AU976" s="116" t="n"/>
      <c r="AV976" s="116" t="n"/>
    </row>
    <row r="977">
      <c r="AI977" s="116" t="n"/>
      <c r="AJ977" s="116" t="n"/>
      <c r="AK977" s="116" t="n"/>
      <c r="AL977" s="116" t="n"/>
      <c r="AM977" s="116" t="n"/>
      <c r="AN977" s="116" t="n"/>
      <c r="AO977" s="116" t="n"/>
      <c r="AP977" s="116" t="n"/>
      <c r="AQ977" s="116" t="n"/>
      <c r="AR977" s="116" t="n"/>
      <c r="AS977" s="116" t="n"/>
      <c r="AT977" s="116" t="n"/>
      <c r="AU977" s="116" t="n"/>
      <c r="AV977" s="116" t="n"/>
    </row>
    <row r="978">
      <c r="AI978" s="116" t="n"/>
      <c r="AJ978" s="116" t="n"/>
      <c r="AK978" s="116" t="n"/>
      <c r="AL978" s="116" t="n"/>
      <c r="AM978" s="116" t="n"/>
      <c r="AN978" s="116" t="n"/>
      <c r="AO978" s="116" t="n"/>
      <c r="AP978" s="116" t="n"/>
      <c r="AQ978" s="116" t="n"/>
      <c r="AR978" s="116" t="n"/>
      <c r="AS978" s="116" t="n"/>
      <c r="AT978" s="116" t="n"/>
      <c r="AU978" s="116" t="n"/>
      <c r="AV978" s="116" t="n"/>
    </row>
    <row r="979">
      <c r="AI979" s="116" t="n"/>
      <c r="AJ979" s="116" t="n"/>
      <c r="AK979" s="116" t="n"/>
      <c r="AL979" s="116" t="n"/>
      <c r="AM979" s="116" t="n"/>
      <c r="AN979" s="116" t="n"/>
      <c r="AO979" s="116" t="n"/>
      <c r="AP979" s="116" t="n"/>
      <c r="AQ979" s="116" t="n"/>
      <c r="AR979" s="116" t="n"/>
      <c r="AS979" s="116" t="n"/>
      <c r="AT979" s="116" t="n"/>
      <c r="AU979" s="116" t="n"/>
      <c r="AV979" s="116" t="n"/>
    </row>
    <row r="980">
      <c r="AI980" s="116" t="n"/>
      <c r="AJ980" s="116" t="n"/>
      <c r="AK980" s="116" t="n"/>
      <c r="AL980" s="116" t="n"/>
      <c r="AM980" s="116" t="n"/>
      <c r="AN980" s="116" t="n"/>
      <c r="AO980" s="116" t="n"/>
      <c r="AP980" s="116" t="n"/>
      <c r="AQ980" s="116" t="n"/>
      <c r="AR980" s="116" t="n"/>
      <c r="AS980" s="116" t="n"/>
      <c r="AT980" s="116" t="n"/>
      <c r="AU980" s="116" t="n"/>
      <c r="AV980" s="116" t="n"/>
    </row>
    <row r="981">
      <c r="AI981" s="116" t="n"/>
      <c r="AJ981" s="116" t="n"/>
      <c r="AK981" s="116" t="n"/>
      <c r="AL981" s="116" t="n"/>
      <c r="AM981" s="116" t="n"/>
      <c r="AN981" s="116" t="n"/>
      <c r="AO981" s="116" t="n"/>
      <c r="AP981" s="116" t="n"/>
      <c r="AQ981" s="116" t="n"/>
      <c r="AR981" s="116" t="n"/>
      <c r="AS981" s="116" t="n"/>
      <c r="AT981" s="116" t="n"/>
      <c r="AU981" s="116" t="n"/>
      <c r="AV981" s="116" t="n"/>
    </row>
    <row r="982">
      <c r="AI982" s="116" t="n"/>
      <c r="AJ982" s="116" t="n"/>
      <c r="AK982" s="116" t="n"/>
      <c r="AL982" s="116" t="n"/>
      <c r="AM982" s="116" t="n"/>
      <c r="AN982" s="116" t="n"/>
      <c r="AO982" s="116" t="n"/>
      <c r="AP982" s="116" t="n"/>
      <c r="AQ982" s="116" t="n"/>
      <c r="AR982" s="116" t="n"/>
      <c r="AS982" s="116" t="n"/>
      <c r="AT982" s="116" t="n"/>
      <c r="AU982" s="116" t="n"/>
      <c r="AV982" s="116" t="n"/>
    </row>
    <row r="983">
      <c r="AI983" s="116" t="n"/>
      <c r="AJ983" s="116" t="n"/>
      <c r="AK983" s="116" t="n"/>
      <c r="AL983" s="116" t="n"/>
      <c r="AM983" s="116" t="n"/>
      <c r="AN983" s="116" t="n"/>
      <c r="AO983" s="116" t="n"/>
      <c r="AP983" s="116" t="n"/>
      <c r="AQ983" s="116" t="n"/>
      <c r="AR983" s="116" t="n"/>
      <c r="AS983" s="116" t="n"/>
      <c r="AT983" s="116" t="n"/>
      <c r="AU983" s="116" t="n"/>
      <c r="AV983" s="116" t="n"/>
    </row>
    <row r="984">
      <c r="AI984" s="116" t="n"/>
      <c r="AJ984" s="116" t="n"/>
      <c r="AK984" s="116" t="n"/>
      <c r="AL984" s="116" t="n"/>
      <c r="AM984" s="116" t="n"/>
      <c r="AN984" s="116" t="n"/>
      <c r="AO984" s="116" t="n"/>
      <c r="AP984" s="116" t="n"/>
      <c r="AQ984" s="116" t="n"/>
      <c r="AR984" s="116" t="n"/>
      <c r="AS984" s="116" t="n"/>
      <c r="AT984" s="116" t="n"/>
      <c r="AU984" s="116" t="n"/>
      <c r="AV984" s="116" t="n"/>
    </row>
    <row r="985">
      <c r="AI985" s="116" t="n"/>
      <c r="AJ985" s="116" t="n"/>
      <c r="AK985" s="116" t="n"/>
      <c r="AL985" s="116" t="n"/>
      <c r="AM985" s="116" t="n"/>
      <c r="AN985" s="116" t="n"/>
      <c r="AO985" s="116" t="n"/>
      <c r="AP985" s="116" t="n"/>
      <c r="AQ985" s="116" t="n"/>
      <c r="AR985" s="116" t="n"/>
      <c r="AS985" s="116" t="n"/>
      <c r="AT985" s="116" t="n"/>
      <c r="AU985" s="116" t="n"/>
      <c r="AV985" s="116" t="n"/>
    </row>
    <row r="986">
      <c r="AI986" s="116" t="n"/>
      <c r="AJ986" s="116" t="n"/>
      <c r="AK986" s="116" t="n"/>
      <c r="AL986" s="116" t="n"/>
      <c r="AM986" s="116" t="n"/>
      <c r="AN986" s="116" t="n"/>
      <c r="AO986" s="116" t="n"/>
      <c r="AP986" s="116" t="n"/>
      <c r="AQ986" s="116" t="n"/>
      <c r="AR986" s="116" t="n"/>
      <c r="AS986" s="116" t="n"/>
      <c r="AT986" s="116" t="n"/>
      <c r="AU986" s="116" t="n"/>
      <c r="AV986" s="116" t="n"/>
    </row>
    <row r="987">
      <c r="AI987" s="116" t="n"/>
      <c r="AJ987" s="116" t="n"/>
      <c r="AK987" s="116" t="n"/>
      <c r="AL987" s="116" t="n"/>
      <c r="AM987" s="116" t="n"/>
      <c r="AN987" s="116" t="n"/>
      <c r="AO987" s="116" t="n"/>
      <c r="AP987" s="116" t="n"/>
      <c r="AQ987" s="116" t="n"/>
      <c r="AR987" s="116" t="n"/>
      <c r="AS987" s="116" t="n"/>
      <c r="AT987" s="116" t="n"/>
      <c r="AU987" s="116" t="n"/>
      <c r="AV987" s="116" t="n"/>
    </row>
    <row r="988">
      <c r="AI988" s="116" t="n"/>
      <c r="AJ988" s="116" t="n"/>
      <c r="AK988" s="116" t="n"/>
      <c r="AL988" s="116" t="n"/>
      <c r="AM988" s="116" t="n"/>
      <c r="AN988" s="116" t="n"/>
      <c r="AO988" s="116" t="n"/>
      <c r="AP988" s="116" t="n"/>
      <c r="AQ988" s="116" t="n"/>
      <c r="AR988" s="116" t="n"/>
      <c r="AS988" s="116" t="n"/>
      <c r="AT988" s="116" t="n"/>
      <c r="AU988" s="116" t="n"/>
      <c r="AV988" s="116" t="n"/>
    </row>
    <row r="989">
      <c r="AI989" s="116" t="n"/>
      <c r="AJ989" s="116" t="n"/>
      <c r="AK989" s="116" t="n"/>
      <c r="AL989" s="116" t="n"/>
      <c r="AM989" s="116" t="n"/>
      <c r="AN989" s="116" t="n"/>
      <c r="AO989" s="116" t="n"/>
      <c r="AP989" s="116" t="n"/>
      <c r="AQ989" s="116" t="n"/>
      <c r="AR989" s="116" t="n"/>
      <c r="AS989" s="116" t="n"/>
      <c r="AT989" s="116" t="n"/>
      <c r="AU989" s="116" t="n"/>
      <c r="AV989" s="116" t="n"/>
    </row>
    <row r="990">
      <c r="AI990" s="116" t="n"/>
      <c r="AJ990" s="116" t="n"/>
      <c r="AK990" s="116" t="n"/>
      <c r="AL990" s="116" t="n"/>
      <c r="AM990" s="116" t="n"/>
      <c r="AN990" s="116" t="n"/>
      <c r="AO990" s="116" t="n"/>
      <c r="AP990" s="116" t="n"/>
      <c r="AQ990" s="116" t="n"/>
      <c r="AR990" s="116" t="n"/>
      <c r="AS990" s="116" t="n"/>
      <c r="AT990" s="116" t="n"/>
      <c r="AU990" s="116" t="n"/>
      <c r="AV990" s="116" t="n"/>
    </row>
    <row r="991">
      <c r="AI991" s="116" t="n"/>
      <c r="AJ991" s="116" t="n"/>
      <c r="AK991" s="116" t="n"/>
      <c r="AL991" s="116" t="n"/>
      <c r="AM991" s="116" t="n"/>
      <c r="AN991" s="116" t="n"/>
      <c r="AO991" s="116" t="n"/>
      <c r="AP991" s="116" t="n"/>
      <c r="AQ991" s="116" t="n"/>
      <c r="AR991" s="116" t="n"/>
      <c r="AS991" s="116" t="n"/>
      <c r="AT991" s="116" t="n"/>
      <c r="AU991" s="116" t="n"/>
      <c r="AV991" s="116" t="n"/>
    </row>
    <row r="992">
      <c r="AI992" s="116" t="n"/>
      <c r="AJ992" s="116" t="n"/>
      <c r="AK992" s="116" t="n"/>
      <c r="AL992" s="116" t="n"/>
      <c r="AM992" s="116" t="n"/>
      <c r="AN992" s="116" t="n"/>
      <c r="AO992" s="116" t="n"/>
      <c r="AP992" s="116" t="n"/>
      <c r="AQ992" s="116" t="n"/>
      <c r="AR992" s="116" t="n"/>
      <c r="AS992" s="116" t="n"/>
      <c r="AT992" s="116" t="n"/>
      <c r="AU992" s="116" t="n"/>
      <c r="AV992" s="116" t="n"/>
    </row>
    <row r="993">
      <c r="AI993" s="116" t="n"/>
      <c r="AJ993" s="116" t="n"/>
      <c r="AK993" s="116" t="n"/>
      <c r="AL993" s="116" t="n"/>
      <c r="AM993" s="116" t="n"/>
      <c r="AN993" s="116" t="n"/>
      <c r="AO993" s="116" t="n"/>
      <c r="AP993" s="116" t="n"/>
      <c r="AQ993" s="116" t="n"/>
      <c r="AR993" s="116" t="n"/>
      <c r="AS993" s="116" t="n"/>
      <c r="AT993" s="116" t="n"/>
      <c r="AU993" s="116" t="n"/>
      <c r="AV993" s="116" t="n"/>
    </row>
    <row r="994">
      <c r="AI994" s="116" t="n"/>
      <c r="AJ994" s="116" t="n"/>
      <c r="AK994" s="116" t="n"/>
      <c r="AL994" s="116" t="n"/>
      <c r="AM994" s="116" t="n"/>
      <c r="AN994" s="116" t="n"/>
      <c r="AO994" s="116" t="n"/>
      <c r="AP994" s="116" t="n"/>
      <c r="AQ994" s="116" t="n"/>
      <c r="AR994" s="116" t="n"/>
      <c r="AS994" s="116" t="n"/>
      <c r="AT994" s="116" t="n"/>
      <c r="AU994" s="116" t="n"/>
      <c r="AV994" s="116" t="n"/>
    </row>
    <row r="995">
      <c r="AI995" s="116" t="n"/>
      <c r="AJ995" s="116" t="n"/>
      <c r="AK995" s="116" t="n"/>
      <c r="AL995" s="116" t="n"/>
      <c r="AM995" s="116" t="n"/>
      <c r="AN995" s="116" t="n"/>
      <c r="AO995" s="116" t="n"/>
      <c r="AP995" s="116" t="n"/>
      <c r="AQ995" s="116" t="n"/>
      <c r="AR995" s="116" t="n"/>
      <c r="AS995" s="116" t="n"/>
      <c r="AT995" s="116" t="n"/>
      <c r="AU995" s="116" t="n"/>
      <c r="AV995" s="116" t="n"/>
    </row>
    <row r="996">
      <c r="AI996" s="116" t="n"/>
      <c r="AJ996" s="116" t="n"/>
      <c r="AK996" s="116" t="n"/>
      <c r="AL996" s="116" t="n"/>
      <c r="AM996" s="116" t="n"/>
      <c r="AN996" s="116" t="n"/>
      <c r="AO996" s="116" t="n"/>
      <c r="AP996" s="116" t="n"/>
      <c r="AQ996" s="116" t="n"/>
      <c r="AR996" s="116" t="n"/>
      <c r="AS996" s="116" t="n"/>
      <c r="AT996" s="116" t="n"/>
      <c r="AU996" s="116" t="n"/>
      <c r="AV996" s="116" t="n"/>
    </row>
    <row r="997">
      <c r="AI997" s="116" t="n"/>
      <c r="AJ997" s="116" t="n"/>
      <c r="AK997" s="116" t="n"/>
      <c r="AL997" s="116" t="n"/>
      <c r="AM997" s="116" t="n"/>
      <c r="AN997" s="116" t="n"/>
      <c r="AO997" s="116" t="n"/>
      <c r="AP997" s="116" t="n"/>
      <c r="AQ997" s="116" t="n"/>
      <c r="AR997" s="116" t="n"/>
      <c r="AS997" s="116" t="n"/>
      <c r="AT997" s="116" t="n"/>
      <c r="AU997" s="116" t="n"/>
      <c r="AV997" s="116" t="n"/>
    </row>
    <row r="998">
      <c r="AI998" s="116" t="n"/>
      <c r="AJ998" s="116" t="n"/>
      <c r="AK998" s="116" t="n"/>
      <c r="AL998" s="116" t="n"/>
      <c r="AM998" s="116" t="n"/>
      <c r="AN998" s="116" t="n"/>
      <c r="AO998" s="116" t="n"/>
      <c r="AP998" s="116" t="n"/>
      <c r="AQ998" s="116" t="n"/>
      <c r="AR998" s="116" t="n"/>
      <c r="AS998" s="116" t="n"/>
      <c r="AT998" s="116" t="n"/>
      <c r="AU998" s="116" t="n"/>
      <c r="AV998" s="116" t="n"/>
    </row>
    <row r="999">
      <c r="AI999" s="116" t="n"/>
      <c r="AJ999" s="116" t="n"/>
      <c r="AK999" s="116" t="n"/>
      <c r="AL999" s="116" t="n"/>
      <c r="AM999" s="116" t="n"/>
      <c r="AN999" s="116" t="n"/>
      <c r="AO999" s="116" t="n"/>
      <c r="AP999" s="116" t="n"/>
      <c r="AQ999" s="116" t="n"/>
      <c r="AR999" s="116" t="n"/>
      <c r="AS999" s="116" t="n"/>
      <c r="AT999" s="116" t="n"/>
      <c r="AU999" s="116" t="n"/>
      <c r="AV999" s="116" t="n"/>
    </row>
    <row r="1000">
      <c r="AI1000" s="116" t="n"/>
      <c r="AJ1000" s="116" t="n"/>
      <c r="AK1000" s="116" t="n"/>
      <c r="AL1000" s="116" t="n"/>
      <c r="AM1000" s="116" t="n"/>
      <c r="AN1000" s="116" t="n"/>
      <c r="AO1000" s="116" t="n"/>
      <c r="AP1000" s="116" t="n"/>
      <c r="AQ1000" s="116" t="n"/>
      <c r="AR1000" s="116" t="n"/>
      <c r="AS1000" s="116" t="n"/>
      <c r="AT1000" s="116" t="n"/>
      <c r="AU1000" s="116" t="n"/>
      <c r="AV1000" s="116" t="n"/>
    </row>
    <row r="1001">
      <c r="AI1001" s="116" t="n"/>
      <c r="AJ1001" s="116" t="n"/>
      <c r="AK1001" s="116" t="n"/>
      <c r="AL1001" s="116" t="n"/>
      <c r="AM1001" s="116" t="n"/>
      <c r="AN1001" s="116" t="n"/>
      <c r="AO1001" s="116" t="n"/>
      <c r="AP1001" s="116" t="n"/>
      <c r="AQ1001" s="116" t="n"/>
      <c r="AR1001" s="116" t="n"/>
      <c r="AS1001" s="116" t="n"/>
      <c r="AT1001" s="116" t="n"/>
      <c r="AU1001" s="116" t="n"/>
      <c r="AV1001" s="116" t="n"/>
    </row>
    <row r="1002">
      <c r="AI1002" s="116" t="n"/>
      <c r="AJ1002" s="116" t="n"/>
      <c r="AK1002" s="116" t="n"/>
      <c r="AL1002" s="116" t="n"/>
      <c r="AM1002" s="116" t="n"/>
      <c r="AN1002" s="116" t="n"/>
      <c r="AO1002" s="116" t="n"/>
      <c r="AP1002" s="116" t="n"/>
      <c r="AQ1002" s="116" t="n"/>
      <c r="AR1002" s="116" t="n"/>
      <c r="AS1002" s="116" t="n"/>
      <c r="AT1002" s="116" t="n"/>
      <c r="AU1002" s="116" t="n"/>
      <c r="AV1002" s="116" t="n"/>
    </row>
    <row r="1003">
      <c r="AI1003" s="116" t="n"/>
      <c r="AJ1003" s="116" t="n"/>
      <c r="AK1003" s="116" t="n"/>
      <c r="AL1003" s="116" t="n"/>
      <c r="AM1003" s="116" t="n"/>
      <c r="AN1003" s="116" t="n"/>
      <c r="AO1003" s="116" t="n"/>
      <c r="AP1003" s="116" t="n"/>
      <c r="AQ1003" s="116" t="n"/>
      <c r="AR1003" s="116" t="n"/>
      <c r="AS1003" s="116" t="n"/>
      <c r="AT1003" s="116" t="n"/>
      <c r="AU1003" s="116" t="n"/>
      <c r="AV1003" s="116" t="n"/>
    </row>
    <row r="1004">
      <c r="AI1004" s="116" t="n"/>
      <c r="AJ1004" s="116" t="n"/>
      <c r="AK1004" s="116" t="n"/>
      <c r="AL1004" s="116" t="n"/>
      <c r="AM1004" s="116" t="n"/>
      <c r="AN1004" s="116" t="n"/>
      <c r="AO1004" s="116" t="n"/>
      <c r="AP1004" s="116" t="n"/>
      <c r="AQ1004" s="116" t="n"/>
      <c r="AR1004" s="116" t="n"/>
      <c r="AS1004" s="116" t="n"/>
      <c r="AT1004" s="116" t="n"/>
      <c r="AU1004" s="116" t="n"/>
      <c r="AV1004" s="116" t="n"/>
    </row>
    <row r="1005">
      <c r="AI1005" s="116" t="n"/>
      <c r="AJ1005" s="116" t="n"/>
      <c r="AK1005" s="116" t="n"/>
      <c r="AL1005" s="116" t="n"/>
      <c r="AM1005" s="116" t="n"/>
      <c r="AN1005" s="116" t="n"/>
      <c r="AO1005" s="116" t="n"/>
      <c r="AP1005" s="116" t="n"/>
      <c r="AQ1005" s="116" t="n"/>
      <c r="AR1005" s="116" t="n"/>
      <c r="AS1005" s="116" t="n"/>
      <c r="AT1005" s="116" t="n"/>
      <c r="AU1005" s="116" t="n"/>
      <c r="AV1005" s="116" t="n"/>
    </row>
  </sheetData>
  <mergeCells count="54">
    <mergeCell ref="AK50:AK52"/>
    <mergeCell ref="AO48:AO49"/>
    <mergeCell ref="AP12:AP59"/>
    <mergeCell ref="AO16:AO17"/>
    <mergeCell ref="AL17:AL19"/>
    <mergeCell ref="AR48:AR49"/>
    <mergeCell ref="AM56:AM59"/>
    <mergeCell ref="AO39:AO40"/>
    <mergeCell ref="AO53:AO54"/>
    <mergeCell ref="AO28:AO29"/>
    <mergeCell ref="AL14:AL16"/>
    <mergeCell ref="AR39:AR40"/>
    <mergeCell ref="AJ50:AJ52"/>
    <mergeCell ref="AL50:AL52"/>
    <mergeCell ref="AR53:AR54"/>
    <mergeCell ref="AM50:AM52"/>
    <mergeCell ref="AS12:AS59"/>
    <mergeCell ref="AO24:AO25"/>
    <mergeCell ref="AO42:AO43"/>
    <mergeCell ref="AK17:AK19"/>
    <mergeCell ref="AL56:AL59"/>
    <mergeCell ref="AR28:AR29"/>
    <mergeCell ref="AO33:AO34"/>
    <mergeCell ref="AR24:AR25"/>
    <mergeCell ref="AM14:AM16"/>
    <mergeCell ref="AM17:AM19"/>
    <mergeCell ref="AR16:AR17"/>
    <mergeCell ref="AO26:AO27"/>
    <mergeCell ref="AK53:AK55"/>
    <mergeCell ref="AO44:AO45"/>
    <mergeCell ref="AU29:AU30"/>
    <mergeCell ref="AM53:AM55"/>
    <mergeCell ref="AR55:AR56"/>
    <mergeCell ref="AU47:AU48"/>
    <mergeCell ref="AR33:AR34"/>
    <mergeCell ref="AK56:AK59"/>
    <mergeCell ref="AU50:AU51"/>
    <mergeCell ref="AR42:AR43"/>
    <mergeCell ref="AO55:AO56"/>
    <mergeCell ref="AO31:AO32"/>
    <mergeCell ref="AJ14:AJ16"/>
    <mergeCell ref="AO22:AO23"/>
    <mergeCell ref="AK14:AK16"/>
    <mergeCell ref="AJ17:AJ19"/>
    <mergeCell ref="AR26:AR27"/>
    <mergeCell ref="AR44:AR45"/>
    <mergeCell ref="AR22:AR23"/>
    <mergeCell ref="AJ53:AJ55"/>
    <mergeCell ref="AL53:AL55"/>
    <mergeCell ref="AO46:AO47"/>
    <mergeCell ref="AJ56:AJ59"/>
    <mergeCell ref="AU33:AU34"/>
    <mergeCell ref="AR31:AR32"/>
    <mergeCell ref="AR46:AR47"/>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1"/>
  <sheetViews>
    <sheetView workbookViewId="0">
      <selection activeCell="C3" sqref="C3"/>
    </sheetView>
  </sheetViews>
  <sheetFormatPr baseColWidth="8" defaultRowHeight="14.4"/>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N58"/>
  <sheetViews>
    <sheetView workbookViewId="0">
      <selection activeCell="A7" sqref="A7"/>
    </sheetView>
  </sheetViews>
  <sheetFormatPr baseColWidth="8" defaultColWidth="9.109375" defaultRowHeight="14.4"/>
  <cols>
    <col width="52.6640625" customWidth="1" style="1" min="1" max="1"/>
    <col width="12.44140625" customWidth="1" style="1" min="2" max="2"/>
    <col width="12.6640625" customWidth="1" style="1" min="3" max="3"/>
    <col width="54.5546875" customWidth="1" style="1" min="4" max="4"/>
    <col width="11.6640625" customWidth="1" style="1" min="5" max="5"/>
    <col width="14.109375" customWidth="1" style="1" min="6" max="6"/>
    <col width="18.88671875" customWidth="1" style="1" min="7" max="7"/>
    <col width="46.109375" customWidth="1" style="1" min="8" max="8"/>
    <col width="10.44140625" customWidth="1" style="1" min="9" max="9"/>
    <col width="78.109375" customWidth="1" style="1" min="10" max="10"/>
    <col width="15.44140625" customWidth="1" style="1" min="11" max="11"/>
    <col width="40.88671875" customWidth="1" style="1" min="12" max="12"/>
    <col width="4.109375" customWidth="1" style="1" min="13" max="13"/>
    <col width="17.88671875" customWidth="1" style="1" min="14" max="14"/>
    <col width="9.109375" customWidth="1" style="1" min="15" max="15"/>
    <col width="9.109375" customWidth="1" style="1" min="16" max="16384"/>
  </cols>
  <sheetData>
    <row r="1" ht="60" customHeight="1" s="184"/>
    <row r="2">
      <c r="A2" s="1" t="inlineStr">
        <is>
          <t>Solution Id: 19885916.1</t>
        </is>
      </c>
    </row>
    <row r="3">
      <c r="A3" s="1" t="inlineStr">
        <is>
          <t>Solution Name: Together AI DW2000P</t>
        </is>
      </c>
    </row>
    <row r="4">
      <c r="A4" s="1" t="inlineStr">
        <is>
          <t>Solution Category: General</t>
        </is>
      </c>
    </row>
    <row r="5">
      <c r="A5" s="1" t="inlineStr">
        <is>
          <t>Solution List Price: $3,174,981.04</t>
        </is>
      </c>
    </row>
    <row r="6">
      <c r="A6" s="1" t="inlineStr">
        <is>
          <t>Solution Estimated Price: $687,045.84</t>
        </is>
      </c>
    </row>
    <row r="7" ht="60" customHeight="1" s="184">
      <c r="A7" s="2" t="inlineStr">
        <is>
          <t>Solution Info:
 Solution Created 1/2/2025  by carlos_wilson@dell.com
 Version Last Modified 1/2/2025  by carlos_wilson@dell.com</t>
        </is>
      </c>
    </row>
    <row r="8">
      <c r="A8" s="3" t="n"/>
      <c r="B8" s="3" t="inlineStr">
        <is>
          <t>Group Name</t>
        </is>
      </c>
      <c r="C8" s="3" t="inlineStr">
        <is>
          <t>Group ID</t>
        </is>
      </c>
      <c r="D8" s="3" t="inlineStr">
        <is>
          <t>Product Name</t>
        </is>
      </c>
      <c r="E8" s="3" t="inlineStr">
        <is>
          <t>Product Qty</t>
        </is>
      </c>
      <c r="F8" s="3" t="inlineStr">
        <is>
          <t>Unit Price (List)</t>
        </is>
      </c>
      <c r="G8" s="3" t="inlineStr">
        <is>
          <t>Extended Price (List)</t>
        </is>
      </c>
      <c r="H8" s="3" t="inlineStr">
        <is>
          <t>Module Name</t>
        </is>
      </c>
      <c r="I8" s="3" t="inlineStr">
        <is>
          <t>Option ID</t>
        </is>
      </c>
      <c r="J8" s="3" t="inlineStr">
        <is>
          <t>Option Name</t>
        </is>
      </c>
      <c r="K8" s="3" t="inlineStr">
        <is>
          <t>Option List Price</t>
        </is>
      </c>
      <c r="L8" s="3" t="inlineStr">
        <is>
          <t>SKUs</t>
        </is>
      </c>
      <c r="M8" s="3" t="inlineStr">
        <is>
          <t>Qty</t>
        </is>
      </c>
      <c r="N8" s="3" t="inlineStr">
        <is>
          <t>Parent Order Code</t>
        </is>
      </c>
    </row>
    <row r="9">
      <c r="B9" s="1" t="inlineStr">
        <is>
          <t>Group 1</t>
        </is>
      </c>
      <c r="C9" s="1" t="inlineStr">
        <is>
          <t>19885916.1.1</t>
        </is>
      </c>
      <c r="D9" s="1" t="inlineStr">
        <is>
          <t xml:space="preserve">PowerEdge R6615 - [PE_R6615_16729] </t>
        </is>
      </c>
      <c r="E9" s="1" t="n">
        <v>8</v>
      </c>
      <c r="F9" s="4" t="n">
        <v>326247.63</v>
      </c>
      <c r="G9" s="4" t="n">
        <v>2609981.04</v>
      </c>
    </row>
    <row r="10">
      <c r="H10" s="1" t="inlineStr">
        <is>
          <t>PowerEdge R6615</t>
        </is>
      </c>
      <c r="I10" s="1" t="inlineStr">
        <is>
          <t>G2CJBV9</t>
        </is>
      </c>
      <c r="J10" s="1" t="inlineStr">
        <is>
          <t>PowerEdge R6615 Server</t>
        </is>
      </c>
      <c r="K10" s="4" t="n">
        <v>4496.13</v>
      </c>
      <c r="L10" s="1" t="inlineStr">
        <is>
          <t>[210-BFUO]</t>
        </is>
      </c>
      <c r="M10" s="1" t="n">
        <v>1</v>
      </c>
    </row>
    <row r="11">
      <c r="H11" s="1" t="inlineStr">
        <is>
          <t>FRONT STORAGE</t>
        </is>
      </c>
      <c r="I11" s="1" t="inlineStr">
        <is>
          <t>GAOR9VT</t>
        </is>
      </c>
      <c r="J11" s="1" t="inlineStr">
        <is>
          <t>Chassis with EDSFF drives</t>
        </is>
      </c>
      <c r="K11" s="4" t="n">
        <v>0</v>
      </c>
      <c r="L11" s="1" t="inlineStr">
        <is>
          <t>[379-BFGX]</t>
        </is>
      </c>
      <c r="M11" s="1" t="n">
        <v>1</v>
      </c>
    </row>
    <row r="12">
      <c r="H12" s="1" t="inlineStr">
        <is>
          <t>BACKPLANE</t>
        </is>
      </c>
      <c r="I12" s="1" t="inlineStr">
        <is>
          <t>G3NBWKT</t>
        </is>
      </c>
      <c r="J12" s="1" t="inlineStr">
        <is>
          <t>E3.s Backplane</t>
        </is>
      </c>
      <c r="K12" s="4" t="n">
        <v>0</v>
      </c>
      <c r="L12" s="1" t="inlineStr">
        <is>
          <t>[379-BEYL]</t>
        </is>
      </c>
      <c r="M12" s="1" t="n">
        <v>1</v>
      </c>
    </row>
    <row r="13">
      <c r="H13" s="1" t="inlineStr">
        <is>
          <t>REAR STORAGE</t>
        </is>
      </c>
      <c r="I13" s="1" t="inlineStr">
        <is>
          <t>GOXF0L2</t>
        </is>
      </c>
      <c r="J13" s="1" t="inlineStr">
        <is>
          <t>No Rear Storage</t>
        </is>
      </c>
      <c r="K13" s="4" t="n">
        <v>0</v>
      </c>
      <c r="L13" s="1" t="inlineStr">
        <is>
          <t>[379-BDTE]</t>
        </is>
      </c>
      <c r="M13" s="1" t="n">
        <v>1</v>
      </c>
    </row>
    <row r="14">
      <c r="H14" s="1" t="inlineStr">
        <is>
          <t>Trusted Platform Module</t>
        </is>
      </c>
      <c r="I14" s="1" t="inlineStr">
        <is>
          <t>GGX1VDO</t>
        </is>
      </c>
      <c r="J14" s="1" t="inlineStr">
        <is>
          <t>Trusted Platform Module 2.0 V3</t>
        </is>
      </c>
      <c r="K14" s="4" t="n">
        <v>99</v>
      </c>
      <c r="L14" s="1" t="inlineStr">
        <is>
          <t>[461-AAIG]</t>
        </is>
      </c>
      <c r="M14" s="1" t="n">
        <v>1</v>
      </c>
    </row>
    <row r="15">
      <c r="H15" s="1" t="inlineStr">
        <is>
          <t>Chassis Configuration</t>
        </is>
      </c>
      <c r="I15" s="1" t="inlineStr">
        <is>
          <t>GHTJIO2</t>
        </is>
      </c>
      <c r="J15" s="1" t="inlineStr">
        <is>
          <t>Chassis with up to 14 E3.S NVMe Drives, Smart Flow</t>
        </is>
      </c>
      <c r="K15" s="4" t="n">
        <v>1080</v>
      </c>
      <c r="L15" s="1" t="inlineStr">
        <is>
          <t>[321-BKBT]</t>
        </is>
      </c>
      <c r="M15" s="1" t="n">
        <v>1</v>
      </c>
    </row>
    <row r="16">
      <c r="H16" s="1" t="inlineStr">
        <is>
          <t>Processor</t>
        </is>
      </c>
      <c r="I16" s="1" t="inlineStr">
        <is>
          <t>GR5TMW8</t>
        </is>
      </c>
      <c r="J16" s="1" t="inlineStr">
        <is>
          <t>AMD EPYC 9454P 2.75GHz, 48C/96T, 256M Cache (290W) DDR5-4800</t>
        </is>
      </c>
      <c r="K16" s="4" t="n">
        <v>10645</v>
      </c>
      <c r="L16" s="1" t="inlineStr">
        <is>
          <t>[338-CGXM]</t>
        </is>
      </c>
      <c r="M16" s="1" t="n">
        <v>1</v>
      </c>
    </row>
    <row r="17">
      <c r="H17" s="1" t="inlineStr">
        <is>
          <t>Processor Thermal Configuration</t>
        </is>
      </c>
      <c r="I17" s="1" t="inlineStr">
        <is>
          <t>G0BWHZV</t>
        </is>
      </c>
      <c r="J17" s="1" t="inlineStr">
        <is>
          <t>High Performance Heatsink, V2</t>
        </is>
      </c>
      <c r="K17" s="4" t="n">
        <v>157.4</v>
      </c>
      <c r="L17" s="1" t="inlineStr">
        <is>
          <t>[412-BBGB]</t>
        </is>
      </c>
      <c r="M17" s="1" t="n">
        <v>1</v>
      </c>
    </row>
    <row r="18">
      <c r="H18" s="1" t="inlineStr">
        <is>
          <t>Memory Configuration Type</t>
        </is>
      </c>
      <c r="I18" s="1" t="inlineStr">
        <is>
          <t>G6VDIHE</t>
        </is>
      </c>
      <c r="J18" s="1" t="inlineStr">
        <is>
          <t>Performance Optimized</t>
        </is>
      </c>
      <c r="K18" s="4" t="n">
        <v>0</v>
      </c>
      <c r="L18" s="1" t="inlineStr">
        <is>
          <t>[370-AHLL]</t>
        </is>
      </c>
      <c r="M18" s="1" t="n">
        <v>1</v>
      </c>
    </row>
    <row r="19">
      <c r="H19" s="1" t="inlineStr">
        <is>
          <t>Memory DIMM Type and Speed</t>
        </is>
      </c>
      <c r="I19" s="1" t="inlineStr">
        <is>
          <t>GYMX57Q</t>
        </is>
      </c>
      <c r="J19" s="1" t="inlineStr">
        <is>
          <t>5600MT/s RDIMMs</t>
        </is>
      </c>
      <c r="K19" s="4" t="n">
        <v>0</v>
      </c>
      <c r="L19" s="1" t="inlineStr">
        <is>
          <t>[370-BBRX]</t>
        </is>
      </c>
      <c r="M19" s="1" t="n">
        <v>1</v>
      </c>
    </row>
    <row r="20">
      <c r="H20" s="1" t="inlineStr">
        <is>
          <t>Memory Capacity</t>
        </is>
      </c>
      <c r="I20" s="1" t="inlineStr">
        <is>
          <t>G106RND</t>
        </is>
      </c>
      <c r="J20" s="1" t="inlineStr">
        <is>
          <t>32GB RDIMM, 5600MT/s, Dual Rank</t>
        </is>
      </c>
      <c r="K20" s="4" t="n">
        <v>25824</v>
      </c>
      <c r="L20" s="1" t="inlineStr">
        <is>
          <t>[370-BBRY]</t>
        </is>
      </c>
      <c r="M20" s="1" t="n">
        <v>12</v>
      </c>
    </row>
    <row r="21">
      <c r="H21" s="1" t="inlineStr">
        <is>
          <t>RAID Configuration</t>
        </is>
      </c>
      <c r="I21" s="1" t="inlineStr">
        <is>
          <t>GF5RC29</t>
        </is>
      </c>
      <c r="J21" s="1" t="inlineStr">
        <is>
          <t>C30, No RAID for NVME chassis</t>
        </is>
      </c>
      <c r="K21" s="4" t="n">
        <v>0</v>
      </c>
      <c r="L21" s="1" t="inlineStr">
        <is>
          <t>[780-BCDO]</t>
        </is>
      </c>
      <c r="M21" s="1" t="n">
        <v>1</v>
      </c>
    </row>
    <row r="22">
      <c r="H22" s="1" t="inlineStr">
        <is>
          <t>RAID/Internal Storage Controllers</t>
        </is>
      </c>
      <c r="I22" s="1" t="inlineStr">
        <is>
          <t>GLTBAZ3</t>
        </is>
      </c>
      <c r="J22" s="1" t="inlineStr">
        <is>
          <t>No Controller</t>
        </is>
      </c>
      <c r="K22" s="4" t="n">
        <v>0</v>
      </c>
      <c r="L22" s="1" t="inlineStr">
        <is>
          <t>[405-AACD]</t>
        </is>
      </c>
      <c r="M22" s="1" t="n">
        <v>1</v>
      </c>
    </row>
    <row r="23">
      <c r="H23" s="1" t="inlineStr">
        <is>
          <t>Hard Drives</t>
        </is>
      </c>
      <c r="I23" s="1" t="inlineStr">
        <is>
          <t>GZ4G6T3</t>
        </is>
      </c>
      <c r="J23" s="1" t="inlineStr">
        <is>
          <t>No Hard Drive</t>
        </is>
      </c>
      <c r="K23" s="4" t="n">
        <v>0</v>
      </c>
      <c r="L23" s="1" t="inlineStr">
        <is>
          <t>[400-ABHL]</t>
        </is>
      </c>
      <c r="M23" s="1" t="n">
        <v>1</v>
      </c>
    </row>
    <row r="24">
      <c r="H24" s="1" t="inlineStr">
        <is>
          <t>Hard Drives (PCIe SSD/Flex Bay)</t>
        </is>
      </c>
      <c r="I24" s="1" t="inlineStr">
        <is>
          <t>GL9OCAQ</t>
        </is>
      </c>
      <c r="J24" s="1" t="inlineStr">
        <is>
          <t>7.68TB NVMe Read Intensive AG Drive E3s Gen5 with carrier</t>
        </is>
      </c>
      <c r="K24" s="4" t="n">
        <v>253785.98</v>
      </c>
      <c r="L24" s="1" t="inlineStr">
        <is>
          <t>[400-BOMO]</t>
        </is>
      </c>
      <c r="M24" s="1" t="n">
        <v>14</v>
      </c>
    </row>
    <row r="25">
      <c r="H25" s="1" t="inlineStr">
        <is>
          <t>BIOS and Advanced System Configuration Settings</t>
        </is>
      </c>
      <c r="I25" s="1" t="inlineStr">
        <is>
          <t>GJO594B</t>
        </is>
      </c>
      <c r="J25" s="1" t="inlineStr">
        <is>
          <t>Performance BIOS Setting</t>
        </is>
      </c>
      <c r="K25" s="4" t="n">
        <v>0</v>
      </c>
      <c r="L25" s="1" t="inlineStr">
        <is>
          <t>[384-BBBL]</t>
        </is>
      </c>
      <c r="M25" s="1" t="n">
        <v>1</v>
      </c>
    </row>
    <row r="26">
      <c r="H26" s="1" t="inlineStr">
        <is>
          <t>Advanced System Configurations</t>
        </is>
      </c>
      <c r="I26" s="1" t="inlineStr">
        <is>
          <t>GSFTG4Y</t>
        </is>
      </c>
      <c r="J26" s="1" t="inlineStr">
        <is>
          <t>UEFI BIOS Boot Mode with GPT Partition</t>
        </is>
      </c>
      <c r="K26" s="4" t="n">
        <v>0</v>
      </c>
      <c r="L26" s="1" t="inlineStr">
        <is>
          <t>[800-BBDM]</t>
        </is>
      </c>
      <c r="M26" s="1" t="n">
        <v>1</v>
      </c>
    </row>
    <row r="27">
      <c r="H27" s="1" t="inlineStr">
        <is>
          <t>Fans</t>
        </is>
      </c>
      <c r="I27" s="1" t="inlineStr">
        <is>
          <t>GT5CEUN</t>
        </is>
      </c>
      <c r="J27" s="1" t="inlineStr">
        <is>
          <t>4 Very High Performance Fan for 1 CPU</t>
        </is>
      </c>
      <c r="K27" s="4" t="n">
        <v>299</v>
      </c>
      <c r="L27" s="1" t="inlineStr">
        <is>
          <t>[384-BDHS]</t>
        </is>
      </c>
      <c r="M27" s="1" t="n">
        <v>1</v>
      </c>
    </row>
    <row r="28">
      <c r="H28" s="1" t="inlineStr">
        <is>
          <t>Power Supply</t>
        </is>
      </c>
      <c r="I28" s="1" t="inlineStr">
        <is>
          <t>G7XCUQM</t>
        </is>
      </c>
      <c r="J28" s="1" t="inlineStr">
        <is>
          <t>Dual, Fully Redundant(1+1), Hot-Plug Power Supply,1100W MM(100-240Vac) Titanium</t>
        </is>
      </c>
      <c r="K28" s="4" t="n">
        <v>1429</v>
      </c>
      <c r="L28" s="1" t="inlineStr">
        <is>
          <t>[450-AKLF]</t>
        </is>
      </c>
      <c r="M28" s="1" t="n">
        <v>1</v>
      </c>
    </row>
    <row r="29">
      <c r="H29" s="1" t="inlineStr">
        <is>
          <t>Power Cords</t>
        </is>
      </c>
      <c r="I29" s="1" t="inlineStr">
        <is>
          <t>GJDR06K</t>
        </is>
      </c>
      <c r="J29" s="1" t="inlineStr">
        <is>
          <t>C13 to C14, PDU Style, 12 AMP, 13 Feet (4m) Power Cord, North America</t>
        </is>
      </c>
      <c r="K29" s="4" t="n">
        <v>70</v>
      </c>
      <c r="L29" s="1" t="inlineStr">
        <is>
          <t>[492-BBDG]</t>
        </is>
      </c>
      <c r="M29" s="1" t="n">
        <v>2</v>
      </c>
    </row>
    <row r="30">
      <c r="H30" s="1" t="inlineStr">
        <is>
          <t>PCIe Riser</t>
        </is>
      </c>
      <c r="I30" s="1" t="inlineStr">
        <is>
          <t>G3LUBT7</t>
        </is>
      </c>
      <c r="J30" s="1" t="inlineStr">
        <is>
          <t>Riser Config 2, 3 x16 LP (2x Gen5)</t>
        </is>
      </c>
      <c r="K30" s="4" t="n">
        <v>1147.6</v>
      </c>
      <c r="L30" s="1" t="inlineStr">
        <is>
          <t>[330-BCBU]</t>
        </is>
      </c>
      <c r="M30" s="1" t="n">
        <v>1</v>
      </c>
    </row>
    <row r="31">
      <c r="H31" s="1" t="inlineStr">
        <is>
          <t>Motherboard</t>
        </is>
      </c>
      <c r="I31" s="1" t="inlineStr">
        <is>
          <t>G9M23QV</t>
        </is>
      </c>
      <c r="J31" s="1" t="inlineStr">
        <is>
          <t>PowerEdge R6615 Motherboard V2</t>
        </is>
      </c>
      <c r="K31" s="4" t="n">
        <v>0</v>
      </c>
      <c r="L31" s="1" t="inlineStr">
        <is>
          <t>[329-BJSB]</t>
        </is>
      </c>
      <c r="M31" s="1" t="n">
        <v>1</v>
      </c>
    </row>
    <row r="32">
      <c r="H32" s="1" t="inlineStr">
        <is>
          <t>OCP 3.0 Network Adapters</t>
        </is>
      </c>
      <c r="I32" s="1" t="inlineStr">
        <is>
          <t>G0V3GIZ</t>
        </is>
      </c>
      <c r="J32" s="1" t="inlineStr">
        <is>
          <t>Nvidia ConnectX-6 Lx Dual Port 10/25GbE SFP28, No Crypto, OCP NIC 3.0</t>
        </is>
      </c>
      <c r="K32" s="4" t="n">
        <v>709</v>
      </c>
      <c r="L32" s="1" t="inlineStr">
        <is>
          <t>[540-BDJL]</t>
        </is>
      </c>
      <c r="M32" s="1" t="n">
        <v>1</v>
      </c>
    </row>
    <row r="33">
      <c r="H33" s="1" t="inlineStr">
        <is>
          <t>Additional Network Cards</t>
        </is>
      </c>
      <c r="I33" s="1" t="inlineStr">
        <is>
          <t>GY8XSA9</t>
        </is>
      </c>
      <c r="J33" s="1" t="inlineStr">
        <is>
          <t>Broadcom 5720 Dual Port 1GbE LOM</t>
        </is>
      </c>
      <c r="K33" s="4" t="n">
        <v>139</v>
      </c>
      <c r="L33" s="1" t="inlineStr">
        <is>
          <t>[540-BDKD]</t>
        </is>
      </c>
      <c r="M33" s="1" t="n">
        <v>1</v>
      </c>
    </row>
    <row r="34">
      <c r="H34" s="1" t="inlineStr">
        <is>
          <t>Additional Network Cards</t>
        </is>
      </c>
      <c r="I34" s="1" t="inlineStr">
        <is>
          <t>GYR7UXM</t>
        </is>
      </c>
      <c r="J34" s="1" t="inlineStr">
        <is>
          <t>Nvidia ConnectX-7 Single Port NDR VPI/400GbE OSFP PCIe LP, No Crypto</t>
        </is>
      </c>
      <c r="K34" s="4" t="n">
        <v>18938</v>
      </c>
      <c r="L34" s="1" t="inlineStr">
        <is>
          <t>[540-BFHK]</t>
        </is>
      </c>
      <c r="M34" s="1" t="n">
        <v>2</v>
      </c>
    </row>
    <row r="35">
      <c r="H35" s="1" t="inlineStr">
        <is>
          <t>Bezel</t>
        </is>
      </c>
      <c r="I35" s="1" t="inlineStr">
        <is>
          <t>GFGYQ97</t>
        </is>
      </c>
      <c r="J35" s="1" t="inlineStr">
        <is>
          <t>Standard Bezel for E3 Chassis, R6615</t>
        </is>
      </c>
      <c r="K35" s="4" t="n">
        <v>49</v>
      </c>
      <c r="L35" s="1" t="inlineStr">
        <is>
          <t>[325-BETO]</t>
        </is>
      </c>
      <c r="M35" s="1" t="n">
        <v>1</v>
      </c>
    </row>
    <row r="36">
      <c r="H36" s="1" t="inlineStr">
        <is>
          <t>Boot Optimized Storage Cards</t>
        </is>
      </c>
      <c r="I36" s="1" t="inlineStr">
        <is>
          <t>GTA30RL</t>
        </is>
      </c>
      <c r="J36" s="1" t="inlineStr">
        <is>
          <t>BOSS-N1 controller card +  with 2 M.2 960GB (RAID 1)</t>
        </is>
      </c>
      <c r="K36" s="4" t="n">
        <v>4070</v>
      </c>
      <c r="L36" s="1" t="inlineStr">
        <is>
          <t>[403-BCRZ], [470-AFNB]</t>
        </is>
      </c>
      <c r="M36" s="1" t="n">
        <v>1</v>
      </c>
    </row>
    <row r="37">
      <c r="H37" s="1" t="inlineStr">
        <is>
          <t>Operating System</t>
        </is>
      </c>
      <c r="I37" s="1" t="inlineStr">
        <is>
          <t>G78MU35</t>
        </is>
      </c>
      <c r="J37" s="1" t="inlineStr">
        <is>
          <t>No Operating System</t>
        </is>
      </c>
      <c r="K37" s="4" t="n">
        <v>0</v>
      </c>
      <c r="L37" s="1" t="inlineStr">
        <is>
          <t>[611-BBBF]</t>
        </is>
      </c>
      <c r="M37" s="1" t="n">
        <v>1</v>
      </c>
    </row>
    <row r="38">
      <c r="H38" s="1" t="inlineStr">
        <is>
          <t>OS Media Kits</t>
        </is>
      </c>
      <c r="I38" s="1" t="inlineStr">
        <is>
          <t>GKH7AZI</t>
        </is>
      </c>
      <c r="J38" s="1" t="inlineStr">
        <is>
          <t>No Media Required</t>
        </is>
      </c>
      <c r="K38" s="4" t="n">
        <v>0</v>
      </c>
      <c r="L38" s="1" t="inlineStr">
        <is>
          <t>[605-BBFN]</t>
        </is>
      </c>
      <c r="M38" s="1" t="n">
        <v>1</v>
      </c>
    </row>
    <row r="39">
      <c r="H39" s="1" t="inlineStr">
        <is>
          <t>Embedded Systems Management</t>
        </is>
      </c>
      <c r="I39" s="1" t="inlineStr">
        <is>
          <t>G65AWE1</t>
        </is>
      </c>
      <c r="J39" s="1" t="inlineStr">
        <is>
          <t>Dell Connectivity Client - Disabled</t>
        </is>
      </c>
      <c r="K39" s="4" t="n">
        <v>0</v>
      </c>
      <c r="L39" s="1" t="inlineStr">
        <is>
          <t>[379-BFXT], [634-CYDF]</t>
        </is>
      </c>
      <c r="M39" s="1" t="n">
        <v>1</v>
      </c>
    </row>
    <row r="40">
      <c r="H40" s="1" t="inlineStr">
        <is>
          <t>Embedded Systems Management</t>
        </is>
      </c>
      <c r="I40" s="1" t="inlineStr">
        <is>
          <t>G9X14RE</t>
        </is>
      </c>
      <c r="J40" s="1" t="inlineStr">
        <is>
          <t>Server Secured Component Verification</t>
        </is>
      </c>
      <c r="K40" s="4" t="n">
        <v>99</v>
      </c>
      <c r="L40" s="1" t="inlineStr">
        <is>
          <t>[528-COYT]</t>
        </is>
      </c>
      <c r="M40" s="1" t="n">
        <v>1</v>
      </c>
    </row>
    <row r="41">
      <c r="H41" s="1" t="inlineStr">
        <is>
          <t>Embedded Systems Management</t>
        </is>
      </c>
      <c r="I41" s="1" t="inlineStr">
        <is>
          <t>G49EVUG</t>
        </is>
      </c>
      <c r="J41" s="1" t="inlineStr">
        <is>
          <t>iDRAC9 Datacenter 16G with OpenManage Enterprise Advanced Plus</t>
        </is>
      </c>
      <c r="K41" s="4" t="n">
        <v>1288</v>
      </c>
      <c r="L41" s="1" t="inlineStr">
        <is>
          <t>[528-CTID], [528-CTZH]</t>
        </is>
      </c>
      <c r="M41" s="1" t="n">
        <v>1</v>
      </c>
    </row>
    <row r="42">
      <c r="H42" s="1" t="inlineStr">
        <is>
          <t>Quick Sync</t>
        </is>
      </c>
      <c r="I42" s="1" t="inlineStr">
        <is>
          <t>GI1FEZA</t>
        </is>
      </c>
      <c r="J42" s="1" t="inlineStr">
        <is>
          <t>No Quick Sync</t>
        </is>
      </c>
      <c r="K42" s="4" t="n">
        <v>0</v>
      </c>
      <c r="L42" s="1" t="inlineStr">
        <is>
          <t>[350-BBXM]</t>
        </is>
      </c>
      <c r="M42" s="1" t="n">
        <v>1</v>
      </c>
    </row>
    <row r="43">
      <c r="H43" s="1" t="inlineStr">
        <is>
          <t>Password</t>
        </is>
      </c>
      <c r="I43" s="1" t="inlineStr">
        <is>
          <t>GDOHU23</t>
        </is>
      </c>
      <c r="J43" s="1" t="inlineStr">
        <is>
          <t>iDRAC,Legacy Password</t>
        </is>
      </c>
      <c r="K43" s="4" t="n">
        <v>0</v>
      </c>
      <c r="L43" s="1" t="inlineStr">
        <is>
          <t>[379-BCSG]</t>
        </is>
      </c>
      <c r="M43" s="1" t="n">
        <v>1</v>
      </c>
    </row>
    <row r="44">
      <c r="H44" s="1" t="inlineStr">
        <is>
          <t>IDRAC Service Module</t>
        </is>
      </c>
      <c r="I44" s="1" t="inlineStr">
        <is>
          <t>GX95LG2</t>
        </is>
      </c>
      <c r="J44" s="1" t="inlineStr">
        <is>
          <t>iDRAC Service Module (ISM), NOT Installed</t>
        </is>
      </c>
      <c r="K44" s="4" t="n">
        <v>0</v>
      </c>
      <c r="L44" s="1" t="inlineStr">
        <is>
          <t>[379-BCQX]</t>
        </is>
      </c>
      <c r="M44" s="1" t="n">
        <v>1</v>
      </c>
    </row>
    <row r="45">
      <c r="H45" s="1" t="inlineStr">
        <is>
          <t>Rack Rails</t>
        </is>
      </c>
      <c r="I45" s="1" t="inlineStr">
        <is>
          <t>GSNQZP0</t>
        </is>
      </c>
      <c r="J45" s="1" t="inlineStr">
        <is>
          <t>ReadyRails Sliding Rails With Cable Management Arm</t>
        </is>
      </c>
      <c r="K45" s="4" t="n">
        <v>187.51</v>
      </c>
      <c r="L45" s="1" t="inlineStr">
        <is>
          <t>[770-BDMT], [770-BECD]</t>
        </is>
      </c>
      <c r="M45" s="1" t="n">
        <v>1</v>
      </c>
    </row>
    <row r="46">
      <c r="H46" s="1" t="inlineStr">
        <is>
          <t>System Documentation</t>
        </is>
      </c>
      <c r="I46" s="1" t="inlineStr">
        <is>
          <t>GVRYSM7</t>
        </is>
      </c>
      <c r="J46" s="1" t="inlineStr">
        <is>
          <t>No Systems Documentation, No OpenManage DVD Kit</t>
        </is>
      </c>
      <c r="K46" s="4" t="n">
        <v>0</v>
      </c>
      <c r="L46" s="1" t="inlineStr">
        <is>
          <t>[631-AACK]</t>
        </is>
      </c>
      <c r="M46" s="1" t="n">
        <v>1</v>
      </c>
    </row>
    <row r="47">
      <c r="H47" s="1" t="inlineStr">
        <is>
          <t>SHIPPING</t>
        </is>
      </c>
      <c r="I47" s="1" t="inlineStr">
        <is>
          <t>GQGNYT2</t>
        </is>
      </c>
      <c r="J47" s="1" t="inlineStr">
        <is>
          <t>PowerEdge R6615 Shipping</t>
        </is>
      </c>
      <c r="K47" s="4" t="n">
        <v>10</v>
      </c>
      <c r="L47" s="1" t="inlineStr">
        <is>
          <t>[340-DCYK]</t>
        </is>
      </c>
      <c r="M47" s="1" t="n">
        <v>1</v>
      </c>
    </row>
    <row r="48">
      <c r="H48" s="1" t="inlineStr">
        <is>
          <t>Shipping Material</t>
        </is>
      </c>
      <c r="I48" s="1" t="inlineStr">
        <is>
          <t>GSHE5N8</t>
        </is>
      </c>
      <c r="J48" s="1" t="inlineStr">
        <is>
          <t>Shipping Material for backplane chassis</t>
        </is>
      </c>
      <c r="K48" s="4" t="n">
        <v>99</v>
      </c>
      <c r="L48" s="1" t="inlineStr">
        <is>
          <t>[340-DCYE]</t>
        </is>
      </c>
      <c r="M48" s="1" t="n">
        <v>1</v>
      </c>
    </row>
    <row r="49">
      <c r="H49" s="1" t="inlineStr">
        <is>
          <t>Regulatory</t>
        </is>
      </c>
      <c r="I49" s="1" t="inlineStr">
        <is>
          <t>G1QDX7H</t>
        </is>
      </c>
      <c r="J49" s="1" t="inlineStr">
        <is>
          <t>PowerEdge R6615 CCC Marking, No CE or BIS Marking</t>
        </is>
      </c>
      <c r="K49" s="4" t="n">
        <v>0</v>
      </c>
      <c r="L49" s="1" t="inlineStr">
        <is>
          <t>[470-AFOU]</t>
        </is>
      </c>
      <c r="M49" s="1" t="n">
        <v>1</v>
      </c>
    </row>
    <row r="50">
      <c r="H50" s="1" t="inlineStr">
        <is>
          <t>Group Manager</t>
        </is>
      </c>
      <c r="I50" s="1" t="inlineStr">
        <is>
          <t>GTVA94K</t>
        </is>
      </c>
      <c r="J50" s="1" t="inlineStr">
        <is>
          <t>iDRAC Group Manager, Disabled</t>
        </is>
      </c>
      <c r="K50" s="4" t="n">
        <v>0</v>
      </c>
      <c r="L50" s="1" t="inlineStr">
        <is>
          <t>[379-BCQY]</t>
        </is>
      </c>
      <c r="M50" s="1" t="n">
        <v>1</v>
      </c>
    </row>
    <row r="51">
      <c r="H51" s="1" t="inlineStr">
        <is>
          <t>ECCN</t>
        </is>
      </c>
      <c r="I51" s="1" t="inlineStr">
        <is>
          <t>GRO1P6G</t>
        </is>
      </c>
      <c r="J51" s="1" t="inlineStr">
        <is>
          <t>Decline Selection</t>
        </is>
      </c>
      <c r="K51" s="4" t="n">
        <v>0</v>
      </c>
      <c r="L51" s="1" t="inlineStr">
        <is>
          <t>[817-BBBP]</t>
        </is>
      </c>
      <c r="M51" s="1" t="n">
        <v>1</v>
      </c>
    </row>
    <row r="52">
      <c r="H52" s="1" t="inlineStr">
        <is>
          <t>Service</t>
        </is>
      </c>
      <c r="I52" s="1" t="inlineStr">
        <is>
          <t>GC42XVM</t>
        </is>
      </c>
      <c r="J52" s="1" t="inlineStr">
        <is>
          <t>3 Years Prosupport Next Business Day Onsite Service</t>
        </is>
      </c>
      <c r="K52" s="4" t="n">
        <v>1626.01</v>
      </c>
      <c r="L52" s="1" t="inlineStr">
        <is>
          <t>[886-9761], [886-9769], [886-9770], [989-3439]</t>
        </is>
      </c>
      <c r="M52" s="1" t="n">
        <v>1</v>
      </c>
    </row>
    <row r="53">
      <c r="H53" s="1" t="inlineStr">
        <is>
          <t>Deployment Services</t>
        </is>
      </c>
      <c r="I53" s="1" t="inlineStr">
        <is>
          <t>NOINSTL</t>
        </is>
      </c>
      <c r="J53" s="1" t="inlineStr">
        <is>
          <t>No Installation</t>
        </is>
      </c>
      <c r="K53" s="4" t="n">
        <v>0</v>
      </c>
      <c r="L53" s="1" t="inlineStr">
        <is>
          <t>[900-9997]</t>
        </is>
      </c>
      <c r="M53" s="1" t="n">
        <v>1</v>
      </c>
    </row>
    <row r="54">
      <c r="B54" s="1" t="inlineStr">
        <is>
          <t>Group 1</t>
        </is>
      </c>
      <c r="C54" s="1" t="inlineStr">
        <is>
          <t>19885916.1.1</t>
        </is>
      </c>
      <c r="D54" s="1" t="inlineStr">
        <is>
          <t xml:space="preserve">WekaIO Weka XPS Tier 1 Up to 2500TB 3 Year </t>
        </is>
      </c>
      <c r="E54" s="1" t="n">
        <v>480</v>
      </c>
      <c r="F54" s="4" t="n">
        <v>1125</v>
      </c>
      <c r="G54" s="4" t="n">
        <v>540000</v>
      </c>
      <c r="L54" s="1" t="inlineStr">
        <is>
          <t>[AD159645]</t>
        </is>
      </c>
    </row>
    <row r="55">
      <c r="B55" s="1" t="inlineStr">
        <is>
          <t>Group 1</t>
        </is>
      </c>
      <c r="C55" s="1" t="inlineStr">
        <is>
          <t>19885916.1.1</t>
        </is>
      </c>
      <c r="D55" s="1" t="inlineStr">
        <is>
          <t xml:space="preserve">WekaIO Initial Weka Installation and Configuration Remote </t>
        </is>
      </c>
      <c r="E55" s="1" t="n">
        <v>1</v>
      </c>
      <c r="F55" s="4" t="n">
        <v>25000</v>
      </c>
      <c r="G55" s="4" t="n">
        <v>25000</v>
      </c>
      <c r="L55" s="1" t="inlineStr">
        <is>
          <t>[AD129928]</t>
        </is>
      </c>
    </row>
    <row r="56"/>
    <row r="57"/>
    <row r="58">
      <c r="A58" s="1" t="inlineStr">
        <is>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is>
      </c>
    </row>
  </sheetData>
  <pageMargins left="0.75" right="0.75" top="0.75" bottom="0.5" header="0.5" footer="0.7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N97"/>
  <sheetViews>
    <sheetView workbookViewId="0">
      <selection activeCell="A7" sqref="A7"/>
    </sheetView>
  </sheetViews>
  <sheetFormatPr baseColWidth="8" defaultColWidth="9.109375" defaultRowHeight="14.4"/>
  <cols>
    <col width="52.6640625" customWidth="1" style="1" min="1" max="1"/>
    <col width="12.44140625" customWidth="1" style="1" min="2" max="2"/>
    <col width="12.6640625" customWidth="1" style="1" min="3" max="3"/>
    <col width="44.33203125" customWidth="1" style="1" min="4" max="4"/>
    <col width="11.6640625" customWidth="1" style="1" min="5" max="5"/>
    <col width="14.109375" customWidth="1" style="1" min="6" max="6"/>
    <col width="18.88671875" customWidth="1" style="1" min="7" max="7"/>
    <col width="46.109375" customWidth="1" style="1" min="8" max="8"/>
    <col width="10.6640625" customWidth="1" style="1" min="9" max="9"/>
    <col width="82.109375" customWidth="1" style="1" min="10" max="10"/>
    <col width="15.44140625" customWidth="1" style="1" min="11" max="11"/>
    <col width="40.88671875" customWidth="1" style="1" min="12" max="12"/>
    <col width="4.109375" customWidth="1" style="1" min="13" max="13"/>
    <col width="17.88671875" customWidth="1" style="1" min="14" max="14"/>
    <col width="9.109375" customWidth="1" style="1" min="15" max="15"/>
    <col width="9.109375" customWidth="1" style="1" min="16" max="16384"/>
  </cols>
  <sheetData>
    <row r="1" ht="60" customHeight="1" s="184"/>
    <row r="2">
      <c r="A2" s="1" t="inlineStr">
        <is>
          <t>Solution Id: 19885926.1</t>
        </is>
      </c>
    </row>
    <row r="3">
      <c r="A3" s="1" t="inlineStr">
        <is>
          <t>Solution Name: Together AI Compute/Management Nodes</t>
        </is>
      </c>
    </row>
    <row r="4">
      <c r="A4" s="1" t="inlineStr">
        <is>
          <t>Solution Category: General</t>
        </is>
      </c>
    </row>
    <row r="5">
      <c r="A5" s="1" t="inlineStr">
        <is>
          <t>Solution List Price: $543,809.92</t>
        </is>
      </c>
    </row>
    <row r="6">
      <c r="A6" s="1" t="inlineStr">
        <is>
          <t>Solution Estimated Price: $125,076.26</t>
        </is>
      </c>
    </row>
    <row r="7" ht="60" customHeight="1" s="184">
      <c r="A7" s="2" t="inlineStr">
        <is>
          <t>Solution Info:
 Solution Created 1/2/2025  by carlos_wilson@dell.com
 Version Last Modified 1/2/2025  by carlos_wilson@dell.com</t>
        </is>
      </c>
    </row>
    <row r="8">
      <c r="A8" s="3" t="n"/>
      <c r="B8" s="3" t="inlineStr">
        <is>
          <t>Group Name</t>
        </is>
      </c>
      <c r="C8" s="3" t="inlineStr">
        <is>
          <t>Group ID</t>
        </is>
      </c>
      <c r="D8" s="3" t="inlineStr">
        <is>
          <t>Product Name</t>
        </is>
      </c>
      <c r="E8" s="3" t="inlineStr">
        <is>
          <t>Product Qty</t>
        </is>
      </c>
      <c r="F8" s="3" t="inlineStr">
        <is>
          <t>Unit Price (List)</t>
        </is>
      </c>
      <c r="G8" s="3" t="inlineStr">
        <is>
          <t>Extended Price (List)</t>
        </is>
      </c>
      <c r="H8" s="3" t="inlineStr">
        <is>
          <t>Module Name</t>
        </is>
      </c>
      <c r="I8" s="3" t="inlineStr">
        <is>
          <t>Option ID</t>
        </is>
      </c>
      <c r="J8" s="3" t="inlineStr">
        <is>
          <t>Option Name</t>
        </is>
      </c>
      <c r="K8" s="3" t="inlineStr">
        <is>
          <t>Option List Price</t>
        </is>
      </c>
      <c r="L8" s="3" t="inlineStr">
        <is>
          <t>SKUs</t>
        </is>
      </c>
      <c r="M8" s="3" t="inlineStr">
        <is>
          <t>Qty</t>
        </is>
      </c>
      <c r="N8" s="3" t="inlineStr">
        <is>
          <t>Parent Order Code</t>
        </is>
      </c>
    </row>
    <row r="9">
      <c r="B9" s="1" t="inlineStr">
        <is>
          <t>Group 1</t>
        </is>
      </c>
      <c r="C9" s="1" t="inlineStr">
        <is>
          <t>19885926.1.1</t>
        </is>
      </c>
      <c r="D9" s="1" t="inlineStr">
        <is>
          <t xml:space="preserve">PowerEdge R660 - UFM Node Compute </t>
        </is>
      </c>
      <c r="E9" s="1" t="n">
        <v>2</v>
      </c>
      <c r="F9" s="4" t="n">
        <v>95460.32000000001</v>
      </c>
      <c r="G9" s="4" t="n">
        <v>190920.64</v>
      </c>
    </row>
    <row r="10">
      <c r="H10" s="1" t="inlineStr">
        <is>
          <t>Base</t>
        </is>
      </c>
      <c r="I10" s="1" t="inlineStr">
        <is>
          <t>GX4I5WF</t>
        </is>
      </c>
      <c r="J10" s="1" t="inlineStr">
        <is>
          <t>PowerEdge R660 Server</t>
        </is>
      </c>
      <c r="K10" s="4" t="n">
        <v>5014</v>
      </c>
      <c r="L10" s="1" t="inlineStr">
        <is>
          <t>[210-BEQQ]</t>
        </is>
      </c>
      <c r="M10" s="1" t="n">
        <v>1</v>
      </c>
    </row>
    <row r="11">
      <c r="H11" s="1" t="inlineStr">
        <is>
          <t>Trusted Platform Module</t>
        </is>
      </c>
      <c r="I11" s="1" t="inlineStr">
        <is>
          <t>GGX1VDO</t>
        </is>
      </c>
      <c r="J11" s="1" t="inlineStr">
        <is>
          <t>Trusted Platform Module 2.0 V3</t>
        </is>
      </c>
      <c r="K11" s="4" t="n">
        <v>99</v>
      </c>
      <c r="L11" s="1" t="inlineStr">
        <is>
          <t>[461-AAIG]</t>
        </is>
      </c>
      <c r="M11" s="1" t="n">
        <v>1</v>
      </c>
    </row>
    <row r="12">
      <c r="H12" s="1" t="inlineStr">
        <is>
          <t>Chassis Configuration</t>
        </is>
      </c>
      <c r="I12" s="1" t="inlineStr">
        <is>
          <t>GI7JYC4</t>
        </is>
      </c>
      <c r="J12" s="1" t="inlineStr">
        <is>
          <t>2.5" Chassis with up to 10 Hard Drives (SAS/SATA), 2CPU, PERC11</t>
        </is>
      </c>
      <c r="K12" s="4" t="n">
        <v>580</v>
      </c>
      <c r="L12" s="1" t="inlineStr">
        <is>
          <t>[321-BHRW]</t>
        </is>
      </c>
      <c r="M12" s="1" t="n">
        <v>1</v>
      </c>
    </row>
    <row r="13">
      <c r="H13" s="1" t="inlineStr">
        <is>
          <t>Processor</t>
        </is>
      </c>
      <c r="I13" s="1" t="inlineStr">
        <is>
          <t>G9KQ7I0</t>
        </is>
      </c>
      <c r="J13" s="1" t="inlineStr">
        <is>
          <t>Intel® Xeon® Gold 6548Y+ 2.5G, 32C/64T, 20GT/s, 60M Cache, Turbo, HT (250W) DDR5-5200</t>
        </is>
      </c>
      <c r="K13" s="4" t="n">
        <v>8199</v>
      </c>
      <c r="L13" s="1" t="inlineStr">
        <is>
          <t>[338-CPCB]</t>
        </is>
      </c>
      <c r="M13" s="1" t="n">
        <v>1</v>
      </c>
    </row>
    <row r="14">
      <c r="H14" s="1" t="inlineStr">
        <is>
          <t>Additional Processor</t>
        </is>
      </c>
      <c r="I14" s="1" t="inlineStr">
        <is>
          <t>GV5LOWM</t>
        </is>
      </c>
      <c r="J14" s="1" t="inlineStr">
        <is>
          <t>Intel® Xeon® Gold 6548Y+ 2.5G, 32C/64T, 20GT/s, 60M Cache, Turbo, HT (250W) DDR5-5200</t>
        </is>
      </c>
      <c r="K14" s="4" t="n">
        <v>8199</v>
      </c>
      <c r="L14" s="1" t="inlineStr">
        <is>
          <t>[338-CPCB], [379-BDCO]</t>
        </is>
      </c>
      <c r="M14" s="1" t="n">
        <v>1</v>
      </c>
    </row>
    <row r="15">
      <c r="H15" s="1" t="inlineStr">
        <is>
          <t>Additional Processor Features</t>
        </is>
      </c>
      <c r="I15" s="1" t="inlineStr">
        <is>
          <t>G68EUO7</t>
        </is>
      </c>
      <c r="J15" s="1" t="inlineStr">
        <is>
          <t>No HBM</t>
        </is>
      </c>
      <c r="K15" s="4" t="n">
        <v>0</v>
      </c>
      <c r="L15" s="1" t="inlineStr">
        <is>
          <t>[379-BFFD]</t>
        </is>
      </c>
      <c r="M15" s="1" t="n">
        <v>1</v>
      </c>
    </row>
    <row r="16">
      <c r="H16" s="1" t="inlineStr">
        <is>
          <t>Processor Thermal Configuration</t>
        </is>
      </c>
      <c r="I16" s="1" t="inlineStr">
        <is>
          <t>GLPS2T3</t>
        </is>
      </c>
      <c r="J16" s="1" t="inlineStr">
        <is>
          <t>Performance Heatsink for 2 CPU configuration (CPU more than or equal to 250W)</t>
        </is>
      </c>
      <c r="K16" s="4" t="n">
        <v>217.45</v>
      </c>
      <c r="L16" s="1" t="inlineStr">
        <is>
          <t>[412-ABCG]</t>
        </is>
      </c>
      <c r="M16" s="1" t="n">
        <v>1</v>
      </c>
    </row>
    <row r="17">
      <c r="H17" s="1" t="inlineStr">
        <is>
          <t>Memory Configuration Type</t>
        </is>
      </c>
      <c r="I17" s="1" t="inlineStr">
        <is>
          <t>GH9QBEI</t>
        </is>
      </c>
      <c r="J17" s="1" t="inlineStr">
        <is>
          <t>Performance Optimized</t>
        </is>
      </c>
      <c r="K17" s="4" t="n">
        <v>0</v>
      </c>
      <c r="L17" s="1" t="inlineStr">
        <is>
          <t>[370-AAIP]</t>
        </is>
      </c>
      <c r="M17" s="1" t="n">
        <v>1</v>
      </c>
    </row>
    <row r="18">
      <c r="H18" s="1" t="inlineStr">
        <is>
          <t>Memory DIMM Type and Speed</t>
        </is>
      </c>
      <c r="I18" s="1" t="inlineStr">
        <is>
          <t>GYMX57Q</t>
        </is>
      </c>
      <c r="J18" s="1" t="inlineStr">
        <is>
          <t>5600MT/s RDIMMs</t>
        </is>
      </c>
      <c r="K18" s="4" t="n">
        <v>0</v>
      </c>
      <c r="L18" s="1" t="inlineStr">
        <is>
          <t>[370-BBRX]</t>
        </is>
      </c>
      <c r="M18" s="1" t="n">
        <v>1</v>
      </c>
    </row>
    <row r="19">
      <c r="H19" s="1" t="inlineStr">
        <is>
          <t>Memory Capacity</t>
        </is>
      </c>
      <c r="I19" s="1" t="inlineStr">
        <is>
          <t>G0FS8TA</t>
        </is>
      </c>
      <c r="J19" s="1" t="inlineStr">
        <is>
          <t>16GB RDIMM, 5600MT/s, Single Rank</t>
        </is>
      </c>
      <c r="K19" s="4" t="n">
        <v>36576</v>
      </c>
      <c r="L19" s="1" t="inlineStr">
        <is>
          <t>[370-BBRQ]</t>
        </is>
      </c>
      <c r="M19" s="1" t="n">
        <v>32</v>
      </c>
    </row>
    <row r="20">
      <c r="H20" s="1" t="inlineStr">
        <is>
          <t>RAID Configuration</t>
        </is>
      </c>
      <c r="I20" s="1" t="inlineStr">
        <is>
          <t>GJ45ICY</t>
        </is>
      </c>
      <c r="J20" s="1" t="inlineStr">
        <is>
          <t>C7, Unconfigured RAID for HDDs or SSDs (Mixed Drive Types Allowed)</t>
        </is>
      </c>
      <c r="K20" s="4" t="n">
        <v>0</v>
      </c>
      <c r="L20" s="1" t="inlineStr">
        <is>
          <t>[780-BCDS]</t>
        </is>
      </c>
      <c r="M20" s="1" t="n">
        <v>1</v>
      </c>
    </row>
    <row r="21">
      <c r="H21" s="1" t="inlineStr">
        <is>
          <t>RAID/Internal Storage Controllers</t>
        </is>
      </c>
      <c r="I21" s="1" t="inlineStr">
        <is>
          <t>GZH8DFJ</t>
        </is>
      </c>
      <c r="J21" s="1" t="inlineStr">
        <is>
          <t>PERC H755 with rear load Brackets</t>
        </is>
      </c>
      <c r="K21" s="4" t="n">
        <v>3349</v>
      </c>
      <c r="L21" s="1" t="inlineStr">
        <is>
          <t>[405-AAZB], [750-ADRI]</t>
        </is>
      </c>
      <c r="M21" s="1" t="n">
        <v>1</v>
      </c>
    </row>
    <row r="22">
      <c r="H22" s="1" t="inlineStr">
        <is>
          <t>Hard Drives</t>
        </is>
      </c>
      <c r="I22" s="1" t="inlineStr">
        <is>
          <t>GS7WBQI</t>
        </is>
      </c>
      <c r="J22" s="1" t="inlineStr">
        <is>
          <t>3.84TB SSD SATA Read Intensive 6Gbps 512 2.5in Hot-plug AG Drive, 1 DWPD</t>
        </is>
      </c>
      <c r="K22" s="4" t="n">
        <v>10678.32</v>
      </c>
      <c r="L22" s="1" t="inlineStr">
        <is>
          <t>[400-AXSK]</t>
        </is>
      </c>
      <c r="M22" s="1" t="n">
        <v>2</v>
      </c>
    </row>
    <row r="23">
      <c r="H23" s="1" t="inlineStr">
        <is>
          <t>BIOS and Advanced System Configuration Settings</t>
        </is>
      </c>
      <c r="I23" s="1" t="inlineStr">
        <is>
          <t>G06TYXW</t>
        </is>
      </c>
      <c r="J23" s="1" t="inlineStr">
        <is>
          <t>Power Saving Dell Active Power Controller</t>
        </is>
      </c>
      <c r="K23" s="4" t="n">
        <v>0</v>
      </c>
      <c r="L23" s="1" t="inlineStr">
        <is>
          <t>[750-AABF]</t>
        </is>
      </c>
      <c r="M23" s="1" t="n">
        <v>1</v>
      </c>
    </row>
    <row r="24">
      <c r="H24" s="1" t="inlineStr">
        <is>
          <t>Advanced System Configurations</t>
        </is>
      </c>
      <c r="I24" s="1" t="inlineStr">
        <is>
          <t>GSFTG4Y</t>
        </is>
      </c>
      <c r="J24" s="1" t="inlineStr">
        <is>
          <t>UEFI BIOS Boot Mode with GPT Partition</t>
        </is>
      </c>
      <c r="K24" s="4" t="n">
        <v>0</v>
      </c>
      <c r="L24" s="1" t="inlineStr">
        <is>
          <t>[800-BBDM]</t>
        </is>
      </c>
      <c r="M24" s="1" t="n">
        <v>1</v>
      </c>
    </row>
    <row r="25">
      <c r="H25" s="1" t="inlineStr">
        <is>
          <t>Advanced System Configurations</t>
        </is>
      </c>
      <c r="I25" s="1" t="inlineStr">
        <is>
          <t>G9IONL3</t>
        </is>
      </c>
      <c r="J25" s="1" t="inlineStr">
        <is>
          <t>No Energy Star</t>
        </is>
      </c>
      <c r="K25" s="4" t="n">
        <v>0</v>
      </c>
      <c r="L25" s="1" t="inlineStr">
        <is>
          <t>[387-BBEY]</t>
        </is>
      </c>
      <c r="M25" s="1" t="n">
        <v>1</v>
      </c>
    </row>
    <row r="26">
      <c r="H26" s="1" t="inlineStr">
        <is>
          <t>Fans</t>
        </is>
      </c>
      <c r="I26" s="1" t="inlineStr">
        <is>
          <t>GFW1SJH</t>
        </is>
      </c>
      <c r="J26" s="1" t="inlineStr">
        <is>
          <t>4 Very High Performance Fans</t>
        </is>
      </c>
      <c r="K26" s="4" t="n">
        <v>299</v>
      </c>
      <c r="L26" s="1" t="inlineStr">
        <is>
          <t>[384-BCUJ]</t>
        </is>
      </c>
      <c r="M26" s="1" t="n">
        <v>1</v>
      </c>
    </row>
    <row r="27">
      <c r="H27" s="1" t="inlineStr">
        <is>
          <t>Power Supply</t>
        </is>
      </c>
      <c r="I27" s="1" t="inlineStr">
        <is>
          <t>G7XCUQM</t>
        </is>
      </c>
      <c r="J27" s="1" t="inlineStr">
        <is>
          <t>Dual, Fully Redundant(1+1), Hot-Plug Power Supply,1100W MM(100-240Vac) Titanium</t>
        </is>
      </c>
      <c r="K27" s="4" t="n">
        <v>1429</v>
      </c>
      <c r="L27" s="1" t="inlineStr">
        <is>
          <t>[450-AKLF]</t>
        </is>
      </c>
      <c r="M27" s="1" t="n">
        <v>1</v>
      </c>
    </row>
    <row r="28">
      <c r="H28" s="1" t="inlineStr">
        <is>
          <t>Power Cords</t>
        </is>
      </c>
      <c r="I28" s="1" t="inlineStr">
        <is>
          <t>GJDR06K</t>
        </is>
      </c>
      <c r="J28" s="1" t="inlineStr">
        <is>
          <t>C13 to C14, PDU Style, 12 AMP, 13 Feet (4m) Power Cord, North America</t>
        </is>
      </c>
      <c r="K28" s="4" t="n">
        <v>70</v>
      </c>
      <c r="L28" s="1" t="inlineStr">
        <is>
          <t>[492-BBDG]</t>
        </is>
      </c>
      <c r="M28" s="1" t="n">
        <v>2</v>
      </c>
    </row>
    <row r="29">
      <c r="H29" s="1" t="inlineStr">
        <is>
          <t>PCIe Riser</t>
        </is>
      </c>
      <c r="I29" s="1" t="inlineStr">
        <is>
          <t>GO3YG8H</t>
        </is>
      </c>
      <c r="J29" s="1" t="inlineStr">
        <is>
          <t>Riser Config 3, Full Height, 2x16 FH Slots (Gen5)</t>
        </is>
      </c>
      <c r="K29" s="4" t="n">
        <v>808.03</v>
      </c>
      <c r="L29" s="1" t="inlineStr">
        <is>
          <t>[330-BBYZ]</t>
        </is>
      </c>
      <c r="M29" s="1" t="n">
        <v>1</v>
      </c>
    </row>
    <row r="30">
      <c r="H30" s="1" t="inlineStr">
        <is>
          <t>Motherboard</t>
        </is>
      </c>
      <c r="I30" s="1" t="inlineStr">
        <is>
          <t>G8E9DV5</t>
        </is>
      </c>
      <c r="J30" s="1" t="inlineStr">
        <is>
          <t>Motherboard MLK supports ALL CPUs and is required for CPUs 250W and above</t>
        </is>
      </c>
      <c r="K30" s="4" t="n">
        <v>450</v>
      </c>
      <c r="L30" s="1" t="inlineStr">
        <is>
          <t>[329-BKBP]</t>
        </is>
      </c>
      <c r="M30" s="1" t="n">
        <v>1</v>
      </c>
    </row>
    <row r="31">
      <c r="H31" s="1" t="inlineStr">
        <is>
          <t>Embedded Systems Management</t>
        </is>
      </c>
      <c r="I31" s="1" t="inlineStr">
        <is>
          <t>G65AWE1</t>
        </is>
      </c>
      <c r="J31" s="1" t="inlineStr">
        <is>
          <t>Dell Connectivity Client - Disabled</t>
        </is>
      </c>
      <c r="K31" s="4" t="n">
        <v>0</v>
      </c>
      <c r="L31" s="1" t="inlineStr">
        <is>
          <t>[379-BFXT], [634-CYDF]</t>
        </is>
      </c>
      <c r="M31" s="1" t="n">
        <v>1</v>
      </c>
    </row>
    <row r="32">
      <c r="H32" s="1" t="inlineStr">
        <is>
          <t>Embedded Systems Management</t>
        </is>
      </c>
      <c r="I32" s="1" t="inlineStr">
        <is>
          <t>G9X14RE</t>
        </is>
      </c>
      <c r="J32" s="1" t="inlineStr">
        <is>
          <t>Server Secured Component Verification</t>
        </is>
      </c>
      <c r="K32" s="4" t="n">
        <v>99</v>
      </c>
      <c r="L32" s="1" t="inlineStr">
        <is>
          <t>[528-COYT]</t>
        </is>
      </c>
      <c r="M32" s="1" t="n">
        <v>1</v>
      </c>
    </row>
    <row r="33">
      <c r="H33" s="1" t="inlineStr">
        <is>
          <t>Embedded Systems Management</t>
        </is>
      </c>
      <c r="I33" s="1" t="inlineStr">
        <is>
          <t>G49EVUG</t>
        </is>
      </c>
      <c r="J33" s="1" t="inlineStr">
        <is>
          <t>iDRAC9 Datacenter 16G with OpenManage Enterprise Advanced Plus</t>
        </is>
      </c>
      <c r="K33" s="4" t="n">
        <v>1288</v>
      </c>
      <c r="L33" s="1" t="inlineStr">
        <is>
          <t>[528-CTID], [528-CTZH]</t>
        </is>
      </c>
      <c r="M33" s="1" t="n">
        <v>1</v>
      </c>
    </row>
    <row r="34">
      <c r="H34" s="1" t="inlineStr">
        <is>
          <t>OCP 3.0 Network Adapters</t>
        </is>
      </c>
      <c r="I34" s="1" t="inlineStr">
        <is>
          <t>GKD7V2B</t>
        </is>
      </c>
      <c r="J34" s="1" t="inlineStr">
        <is>
          <t>Nvidia ConnectX-6 Dual Port 100 GbE QSFP56 Adapter, OCP 3.0 with Cable</t>
        </is>
      </c>
      <c r="K34" s="4" t="n">
        <v>3224</v>
      </c>
      <c r="L34" s="1" t="inlineStr">
        <is>
          <t>[540-BDYY], [540-BFDZ]</t>
        </is>
      </c>
      <c r="M34" s="1" t="n">
        <v>1</v>
      </c>
    </row>
    <row r="35">
      <c r="H35" s="1" t="inlineStr">
        <is>
          <t>Additional Network Cards</t>
        </is>
      </c>
      <c r="I35" s="1" t="inlineStr">
        <is>
          <t>GVNQ7EH</t>
        </is>
      </c>
      <c r="J35" s="1" t="inlineStr">
        <is>
          <t>LOM Blank</t>
        </is>
      </c>
      <c r="K35" s="4" t="n">
        <v>0</v>
      </c>
      <c r="L35" s="1" t="inlineStr">
        <is>
          <t>[540-BDMK]</t>
        </is>
      </c>
      <c r="M35" s="1" t="n">
        <v>1</v>
      </c>
    </row>
    <row r="36">
      <c r="H36" s="1" t="inlineStr">
        <is>
          <t>Additional Network Cards</t>
        </is>
      </c>
      <c r="I36" s="1" t="inlineStr">
        <is>
          <t>G7VO5XU</t>
        </is>
      </c>
      <c r="J36" s="1" t="inlineStr">
        <is>
          <t>Nvidia ConnectX-7 Single Port NDR200 VPI/200GbE OSFP PCIe FH, No Crypto</t>
        </is>
      </c>
      <c r="K36" s="4" t="n">
        <v>8712</v>
      </c>
      <c r="L36" s="1" t="inlineStr">
        <is>
          <t>[540-BFHH]</t>
        </is>
      </c>
      <c r="M36" s="1" t="n">
        <v>2</v>
      </c>
    </row>
    <row r="37">
      <c r="H37" s="1" t="inlineStr">
        <is>
          <t>Bezel</t>
        </is>
      </c>
      <c r="I37" s="1" t="inlineStr">
        <is>
          <t>G2KZ7CS</t>
        </is>
      </c>
      <c r="J37" s="1" t="inlineStr">
        <is>
          <t>Standard Bezel</t>
        </is>
      </c>
      <c r="K37" s="4" t="n">
        <v>49</v>
      </c>
      <c r="L37" s="1" t="inlineStr">
        <is>
          <t>[325-BEVE], [350-BCKC]</t>
        </is>
      </c>
      <c r="M37" s="1" t="n">
        <v>1</v>
      </c>
    </row>
    <row r="38">
      <c r="H38" s="1" t="inlineStr">
        <is>
          <t>Boot Optimized Storage Cards</t>
        </is>
      </c>
      <c r="I38" s="1" t="inlineStr">
        <is>
          <t>G61XLSC</t>
        </is>
      </c>
      <c r="J38" s="1" t="inlineStr">
        <is>
          <t>BOSS-N1 controller card +  with 2 M.2 480GB (RAID 1)</t>
        </is>
      </c>
      <c r="K38" s="4" t="n">
        <v>2700</v>
      </c>
      <c r="L38" s="1" t="inlineStr">
        <is>
          <t>[403-BCRU], [470-AFMG]</t>
        </is>
      </c>
      <c r="M38" s="1" t="n">
        <v>1</v>
      </c>
    </row>
    <row r="39">
      <c r="H39" s="1" t="inlineStr">
        <is>
          <t>Quick Sync</t>
        </is>
      </c>
      <c r="I39" s="1" t="inlineStr">
        <is>
          <t>GI1FEZA</t>
        </is>
      </c>
      <c r="J39" s="1" t="inlineStr">
        <is>
          <t>No Quick Sync</t>
        </is>
      </c>
      <c r="K39" s="4" t="n">
        <v>0</v>
      </c>
      <c r="L39" s="1" t="inlineStr">
        <is>
          <t>[350-BBXM]</t>
        </is>
      </c>
      <c r="M39" s="1" t="n">
        <v>1</v>
      </c>
    </row>
    <row r="40">
      <c r="H40" s="1" t="inlineStr">
        <is>
          <t>Password</t>
        </is>
      </c>
      <c r="I40" s="1" t="inlineStr">
        <is>
          <t>G5HZBFJ</t>
        </is>
      </c>
      <c r="J40" s="1" t="inlineStr">
        <is>
          <t>iDRAC Factory Generated Password for OCP cards</t>
        </is>
      </c>
      <c r="K40" s="4" t="n">
        <v>0</v>
      </c>
      <c r="L40" s="1" t="inlineStr">
        <is>
          <t>[379-BETG]</t>
        </is>
      </c>
      <c r="M40" s="1" t="n">
        <v>1</v>
      </c>
    </row>
    <row r="41">
      <c r="H41" s="1" t="inlineStr">
        <is>
          <t>IDRAC Service Module</t>
        </is>
      </c>
      <c r="I41" s="1" t="inlineStr">
        <is>
          <t>GX95LG2</t>
        </is>
      </c>
      <c r="J41" s="1" t="inlineStr">
        <is>
          <t>iDRAC Service Module (ISM), NOT Installed</t>
        </is>
      </c>
      <c r="K41" s="4" t="n">
        <v>0</v>
      </c>
      <c r="L41" s="1" t="inlineStr">
        <is>
          <t>[379-BCQX]</t>
        </is>
      </c>
      <c r="M41" s="1" t="n">
        <v>1</v>
      </c>
    </row>
    <row r="42">
      <c r="H42" s="1" t="inlineStr">
        <is>
          <t>Group Manager</t>
        </is>
      </c>
      <c r="I42" s="1" t="inlineStr">
        <is>
          <t>GTVA94K</t>
        </is>
      </c>
      <c r="J42" s="1" t="inlineStr">
        <is>
          <t>iDRAC Group Manager, Disabled</t>
        </is>
      </c>
      <c r="K42" s="4" t="n">
        <v>0</v>
      </c>
      <c r="L42" s="1" t="inlineStr">
        <is>
          <t>[379-BCQY]</t>
        </is>
      </c>
      <c r="M42" s="1" t="n">
        <v>1</v>
      </c>
    </row>
    <row r="43">
      <c r="H43" s="1" t="inlineStr">
        <is>
          <t>Operating System</t>
        </is>
      </c>
      <c r="I43" s="1" t="inlineStr">
        <is>
          <t>G78MU35</t>
        </is>
      </c>
      <c r="J43" s="1" t="inlineStr">
        <is>
          <t>No Operating System</t>
        </is>
      </c>
      <c r="K43" s="4" t="n">
        <v>0</v>
      </c>
      <c r="L43" s="1" t="inlineStr">
        <is>
          <t>[611-BBBF]</t>
        </is>
      </c>
      <c r="M43" s="1" t="n">
        <v>1</v>
      </c>
    </row>
    <row r="44">
      <c r="H44" s="1" t="inlineStr">
        <is>
          <t>OS Media Kits</t>
        </is>
      </c>
      <c r="I44" s="1" t="inlineStr">
        <is>
          <t>GKH7AZI</t>
        </is>
      </c>
      <c r="J44" s="1" t="inlineStr">
        <is>
          <t>No Media Required</t>
        </is>
      </c>
      <c r="K44" s="4" t="n">
        <v>0</v>
      </c>
      <c r="L44" s="1" t="inlineStr">
        <is>
          <t>[605-BBFN]</t>
        </is>
      </c>
      <c r="M44" s="1" t="n">
        <v>1</v>
      </c>
    </row>
    <row r="45">
      <c r="H45" s="1" t="inlineStr">
        <is>
          <t>Rack Rails</t>
        </is>
      </c>
      <c r="I45" s="1" t="inlineStr">
        <is>
          <t>GSNQZP0</t>
        </is>
      </c>
      <c r="J45" s="1" t="inlineStr">
        <is>
          <t>ReadyRails Sliding Rails With Cable Management Arm</t>
        </is>
      </c>
      <c r="K45" s="4" t="n">
        <v>187.51</v>
      </c>
      <c r="L45" s="1" t="inlineStr">
        <is>
          <t>[770-BDMT], [770-BECD]</t>
        </is>
      </c>
      <c r="M45" s="1" t="n">
        <v>1</v>
      </c>
    </row>
    <row r="46">
      <c r="H46" s="1" t="inlineStr">
        <is>
          <t>System Documentation</t>
        </is>
      </c>
      <c r="I46" s="1" t="inlineStr">
        <is>
          <t>GVRYSM7</t>
        </is>
      </c>
      <c r="J46" s="1" t="inlineStr">
        <is>
          <t>No Systems Documentation, No OpenManage DVD Kit</t>
        </is>
      </c>
      <c r="K46" s="4" t="n">
        <v>0</v>
      </c>
      <c r="L46" s="1" t="inlineStr">
        <is>
          <t>[631-AACK]</t>
        </is>
      </c>
      <c r="M46" s="1" t="n">
        <v>1</v>
      </c>
    </row>
    <row r="47">
      <c r="H47" s="1" t="inlineStr">
        <is>
          <t>SHIPPING</t>
        </is>
      </c>
      <c r="I47" s="1" t="inlineStr">
        <is>
          <t>GSE1MX3</t>
        </is>
      </c>
      <c r="J47" s="1" t="inlineStr">
        <is>
          <t>PowerEdge R660 Shipping</t>
        </is>
      </c>
      <c r="K47" s="4" t="n">
        <v>49</v>
      </c>
      <c r="L47" s="1" t="inlineStr">
        <is>
          <t>[340-DBXZ]</t>
        </is>
      </c>
      <c r="M47" s="1" t="n">
        <v>1</v>
      </c>
    </row>
    <row r="48">
      <c r="H48" s="1" t="inlineStr">
        <is>
          <t>Shipping Material</t>
        </is>
      </c>
      <c r="I48" s="1" t="inlineStr">
        <is>
          <t>GIE8RYJ</t>
        </is>
      </c>
      <c r="J48" s="1" t="inlineStr">
        <is>
          <t>PowerEdge R660 Shipping Material, 10x2.5", 8x2.5" Smart Flow or 16xEDSFF</t>
        </is>
      </c>
      <c r="K48" s="4" t="n">
        <v>99</v>
      </c>
      <c r="L48" s="1" t="inlineStr">
        <is>
          <t>[340-DBYC]</t>
        </is>
      </c>
      <c r="M48" s="1" t="n">
        <v>1</v>
      </c>
    </row>
    <row r="49">
      <c r="H49" s="1" t="inlineStr">
        <is>
          <t>Regulatory</t>
        </is>
      </c>
      <c r="I49" s="1" t="inlineStr">
        <is>
          <t>GAE4XYW</t>
        </is>
      </c>
      <c r="J49" s="1" t="inlineStr">
        <is>
          <t>PowerEdge R660 CE, CCC and BIS Marking on 2.5" Chassis</t>
        </is>
      </c>
      <c r="K49" s="4" t="n">
        <v>0</v>
      </c>
      <c r="L49" s="1" t="inlineStr">
        <is>
          <t>[343-BBTS], [343-BBUB]</t>
        </is>
      </c>
      <c r="M49" s="1" t="n">
        <v>1</v>
      </c>
    </row>
    <row r="50">
      <c r="H50" s="1" t="inlineStr">
        <is>
          <t>ECCN</t>
        </is>
      </c>
      <c r="I50" s="1" t="inlineStr">
        <is>
          <t>GRO1P6G</t>
        </is>
      </c>
      <c r="J50" s="1" t="inlineStr">
        <is>
          <t>Decline Selection</t>
        </is>
      </c>
      <c r="K50" s="4" t="n">
        <v>0</v>
      </c>
      <c r="L50" s="1" t="inlineStr">
        <is>
          <t>[817-BBBP]</t>
        </is>
      </c>
      <c r="M50" s="1" t="n">
        <v>1</v>
      </c>
    </row>
    <row r="51">
      <c r="H51" s="1" t="inlineStr">
        <is>
          <t>Standard Hardware Support Service</t>
        </is>
      </c>
      <c r="I51" s="1" t="inlineStr">
        <is>
          <t>G80I3TA</t>
        </is>
      </c>
      <c r="J51" s="1" t="inlineStr">
        <is>
          <t>3 Years Prosupport Next Business Day Onsite Service</t>
        </is>
      </c>
      <c r="K51" s="4" t="n">
        <v>3085.01</v>
      </c>
      <c r="L51" s="1" t="inlineStr">
        <is>
          <t>[887-1067], [887-1075], [887-1076], [989-3439]</t>
        </is>
      </c>
      <c r="M51" s="1" t="n">
        <v>1</v>
      </c>
    </row>
    <row r="52">
      <c r="B52" s="1" t="inlineStr">
        <is>
          <t>Group 1</t>
        </is>
      </c>
      <c r="C52" s="1" t="inlineStr">
        <is>
          <t>19885926.1.1</t>
        </is>
      </c>
      <c r="D52" s="1" t="inlineStr">
        <is>
          <t xml:space="preserve">PowerEdge R660 - Management Node Compute </t>
        </is>
      </c>
      <c r="E52" s="1" t="n">
        <v>4</v>
      </c>
      <c r="F52" s="4" t="n">
        <v>88222.32000000001</v>
      </c>
      <c r="G52" s="4" t="n">
        <v>352889.28</v>
      </c>
    </row>
    <row r="53">
      <c r="H53" s="1" t="inlineStr">
        <is>
          <t>Base</t>
        </is>
      </c>
      <c r="I53" s="1" t="inlineStr">
        <is>
          <t>GX4I5WF</t>
        </is>
      </c>
      <c r="J53" s="1" t="inlineStr">
        <is>
          <t>PowerEdge R660 Server</t>
        </is>
      </c>
      <c r="K53" s="4" t="n">
        <v>5014</v>
      </c>
      <c r="L53" s="1" t="inlineStr">
        <is>
          <t>[210-BEQQ]</t>
        </is>
      </c>
      <c r="M53" s="1" t="n">
        <v>1</v>
      </c>
    </row>
    <row r="54">
      <c r="H54" s="1" t="inlineStr">
        <is>
          <t>Trusted Platform Module</t>
        </is>
      </c>
      <c r="I54" s="1" t="inlineStr">
        <is>
          <t>GGX1VDO</t>
        </is>
      </c>
      <c r="J54" s="1" t="inlineStr">
        <is>
          <t>Trusted Platform Module 2.0 V3</t>
        </is>
      </c>
      <c r="K54" s="4" t="n">
        <v>99</v>
      </c>
      <c r="L54" s="1" t="inlineStr">
        <is>
          <t>[461-AAIG]</t>
        </is>
      </c>
      <c r="M54" s="1" t="n">
        <v>1</v>
      </c>
    </row>
    <row r="55">
      <c r="H55" s="1" t="inlineStr">
        <is>
          <t>Chassis Configuration</t>
        </is>
      </c>
      <c r="I55" s="1" t="inlineStr">
        <is>
          <t>GI7JYC4</t>
        </is>
      </c>
      <c r="J55" s="1" t="inlineStr">
        <is>
          <t>2.5" Chassis with up to 10 Hard Drives (SAS/SATA), 2CPU, PERC11</t>
        </is>
      </c>
      <c r="K55" s="4" t="n">
        <v>580</v>
      </c>
      <c r="L55" s="1" t="inlineStr">
        <is>
          <t>[321-BHRW]</t>
        </is>
      </c>
      <c r="M55" s="1" t="n">
        <v>1</v>
      </c>
    </row>
    <row r="56">
      <c r="H56" s="1" t="inlineStr">
        <is>
          <t>Processor</t>
        </is>
      </c>
      <c r="I56" s="1" t="inlineStr">
        <is>
          <t>G9KQ7I0</t>
        </is>
      </c>
      <c r="J56" s="1" t="inlineStr">
        <is>
          <t>Intel® Xeon® Gold 6548Y+ 2.5G, 32C/64T, 20GT/s, 60M Cache, Turbo, HT (250W) DDR5-5200</t>
        </is>
      </c>
      <c r="K56" s="4" t="n">
        <v>8199</v>
      </c>
      <c r="L56" s="1" t="inlineStr">
        <is>
          <t>[338-CPCB]</t>
        </is>
      </c>
      <c r="M56" s="1" t="n">
        <v>1</v>
      </c>
    </row>
    <row r="57">
      <c r="H57" s="1" t="inlineStr">
        <is>
          <t>Additional Processor</t>
        </is>
      </c>
      <c r="I57" s="1" t="inlineStr">
        <is>
          <t>GV5LOWM</t>
        </is>
      </c>
      <c r="J57" s="1" t="inlineStr">
        <is>
          <t>Intel® Xeon® Gold 6548Y+ 2.5G, 32C/64T, 20GT/s, 60M Cache, Turbo, HT (250W) DDR5-5200</t>
        </is>
      </c>
      <c r="K57" s="4" t="n">
        <v>8199</v>
      </c>
      <c r="L57" s="1" t="inlineStr">
        <is>
          <t>[338-CPCB], [379-BDCO]</t>
        </is>
      </c>
      <c r="M57" s="1" t="n">
        <v>1</v>
      </c>
    </row>
    <row r="58">
      <c r="H58" s="1" t="inlineStr">
        <is>
          <t>Additional Processor Features</t>
        </is>
      </c>
      <c r="I58" s="1" t="inlineStr">
        <is>
          <t>G68EUO7</t>
        </is>
      </c>
      <c r="J58" s="1" t="inlineStr">
        <is>
          <t>No HBM</t>
        </is>
      </c>
      <c r="K58" s="4" t="n">
        <v>0</v>
      </c>
      <c r="L58" s="1" t="inlineStr">
        <is>
          <t>[379-BFFD]</t>
        </is>
      </c>
      <c r="M58" s="1" t="n">
        <v>1</v>
      </c>
    </row>
    <row r="59">
      <c r="H59" s="1" t="inlineStr">
        <is>
          <t>Processor Thermal Configuration</t>
        </is>
      </c>
      <c r="I59" s="1" t="inlineStr">
        <is>
          <t>GLPS2T3</t>
        </is>
      </c>
      <c r="J59" s="1" t="inlineStr">
        <is>
          <t>Performance Heatsink for 2 CPU configuration (CPU more than or equal to 250W)</t>
        </is>
      </c>
      <c r="K59" s="4" t="n">
        <v>217.45</v>
      </c>
      <c r="L59" s="1" t="inlineStr">
        <is>
          <t>[412-ABCG]</t>
        </is>
      </c>
      <c r="M59" s="1" t="n">
        <v>1</v>
      </c>
    </row>
    <row r="60">
      <c r="H60" s="1" t="inlineStr">
        <is>
          <t>Memory Configuration Type</t>
        </is>
      </c>
      <c r="I60" s="1" t="inlineStr">
        <is>
          <t>GH9QBEI</t>
        </is>
      </c>
      <c r="J60" s="1" t="inlineStr">
        <is>
          <t>Performance Optimized</t>
        </is>
      </c>
      <c r="K60" s="4" t="n">
        <v>0</v>
      </c>
      <c r="L60" s="1" t="inlineStr">
        <is>
          <t>[370-AAIP]</t>
        </is>
      </c>
      <c r="M60" s="1" t="n">
        <v>1</v>
      </c>
    </row>
    <row r="61">
      <c r="H61" s="1" t="inlineStr">
        <is>
          <t>Memory DIMM Type and Speed</t>
        </is>
      </c>
      <c r="I61" s="1" t="inlineStr">
        <is>
          <t>GYMX57Q</t>
        </is>
      </c>
      <c r="J61" s="1" t="inlineStr">
        <is>
          <t>5600MT/s RDIMMs</t>
        </is>
      </c>
      <c r="K61" s="4" t="n">
        <v>0</v>
      </c>
      <c r="L61" s="1" t="inlineStr">
        <is>
          <t>[370-BBRX]</t>
        </is>
      </c>
      <c r="M61" s="1" t="n">
        <v>1</v>
      </c>
    </row>
    <row r="62">
      <c r="H62" s="1" t="inlineStr">
        <is>
          <t>Memory Capacity</t>
        </is>
      </c>
      <c r="I62" s="1" t="inlineStr">
        <is>
          <t>G0FS8TA</t>
        </is>
      </c>
      <c r="J62" s="1" t="inlineStr">
        <is>
          <t>16GB RDIMM, 5600MT/s, Single Rank</t>
        </is>
      </c>
      <c r="K62" s="4" t="n">
        <v>36576</v>
      </c>
      <c r="L62" s="1" t="inlineStr">
        <is>
          <t>[370-BBRQ]</t>
        </is>
      </c>
      <c r="M62" s="1" t="n">
        <v>32</v>
      </c>
    </row>
    <row r="63">
      <c r="H63" s="1" t="inlineStr">
        <is>
          <t>RAID Configuration</t>
        </is>
      </c>
      <c r="I63" s="1" t="inlineStr">
        <is>
          <t>GJ45ICY</t>
        </is>
      </c>
      <c r="J63" s="1" t="inlineStr">
        <is>
          <t>C7, Unconfigured RAID for HDDs or SSDs (Mixed Drive Types Allowed)</t>
        </is>
      </c>
      <c r="K63" s="4" t="n">
        <v>0</v>
      </c>
      <c r="L63" s="1" t="inlineStr">
        <is>
          <t>[780-BCDS]</t>
        </is>
      </c>
      <c r="M63" s="1" t="n">
        <v>1</v>
      </c>
    </row>
    <row r="64">
      <c r="H64" s="1" t="inlineStr">
        <is>
          <t>RAID/Internal Storage Controllers</t>
        </is>
      </c>
      <c r="I64" s="1" t="inlineStr">
        <is>
          <t>GZH8DFJ</t>
        </is>
      </c>
      <c r="J64" s="1" t="inlineStr">
        <is>
          <t>PERC H755 with rear load Brackets</t>
        </is>
      </c>
      <c r="K64" s="4" t="n">
        <v>3349</v>
      </c>
      <c r="L64" s="1" t="inlineStr">
        <is>
          <t>[405-AAZB], [750-ADRI]</t>
        </is>
      </c>
      <c r="M64" s="1" t="n">
        <v>1</v>
      </c>
    </row>
    <row r="65">
      <c r="H65" s="1" t="inlineStr">
        <is>
          <t>Hard Drives</t>
        </is>
      </c>
      <c r="I65" s="1" t="inlineStr">
        <is>
          <t>GS7WBQI</t>
        </is>
      </c>
      <c r="J65" s="1" t="inlineStr">
        <is>
          <t>3.84TB SSD SATA Read Intensive 6Gbps 512 2.5in Hot-plug AG Drive, 1 DWPD</t>
        </is>
      </c>
      <c r="K65" s="4" t="n">
        <v>10678.32</v>
      </c>
      <c r="L65" s="1" t="inlineStr">
        <is>
          <t>[400-AXSK]</t>
        </is>
      </c>
      <c r="M65" s="1" t="n">
        <v>2</v>
      </c>
    </row>
    <row r="66">
      <c r="H66" s="1" t="inlineStr">
        <is>
          <t>BIOS and Advanced System Configuration Settings</t>
        </is>
      </c>
      <c r="I66" s="1" t="inlineStr">
        <is>
          <t>G06TYXW</t>
        </is>
      </c>
      <c r="J66" s="1" t="inlineStr">
        <is>
          <t>Power Saving Dell Active Power Controller</t>
        </is>
      </c>
      <c r="K66" s="4" t="n">
        <v>0</v>
      </c>
      <c r="L66" s="1" t="inlineStr">
        <is>
          <t>[750-AABF]</t>
        </is>
      </c>
      <c r="M66" s="1" t="n">
        <v>1</v>
      </c>
    </row>
    <row r="67">
      <c r="H67" s="1" t="inlineStr">
        <is>
          <t>Advanced System Configurations</t>
        </is>
      </c>
      <c r="I67" s="1" t="inlineStr">
        <is>
          <t>GSFTG4Y</t>
        </is>
      </c>
      <c r="J67" s="1" t="inlineStr">
        <is>
          <t>UEFI BIOS Boot Mode with GPT Partition</t>
        </is>
      </c>
      <c r="K67" s="4" t="n">
        <v>0</v>
      </c>
      <c r="L67" s="1" t="inlineStr">
        <is>
          <t>[800-BBDM]</t>
        </is>
      </c>
      <c r="M67" s="1" t="n">
        <v>1</v>
      </c>
    </row>
    <row r="68">
      <c r="H68" s="1" t="inlineStr">
        <is>
          <t>Advanced System Configurations</t>
        </is>
      </c>
      <c r="I68" s="1" t="inlineStr">
        <is>
          <t>G9IONL3</t>
        </is>
      </c>
      <c r="J68" s="1" t="inlineStr">
        <is>
          <t>No Energy Star</t>
        </is>
      </c>
      <c r="K68" s="4" t="n">
        <v>0</v>
      </c>
      <c r="L68" s="1" t="inlineStr">
        <is>
          <t>[387-BBEY]</t>
        </is>
      </c>
      <c r="M68" s="1" t="n">
        <v>1</v>
      </c>
    </row>
    <row r="69">
      <c r="H69" s="1" t="inlineStr">
        <is>
          <t>Fans</t>
        </is>
      </c>
      <c r="I69" s="1" t="inlineStr">
        <is>
          <t>GFW1SJH</t>
        </is>
      </c>
      <c r="J69" s="1" t="inlineStr">
        <is>
          <t>4 Very High Performance Fans</t>
        </is>
      </c>
      <c r="K69" s="4" t="n">
        <v>299</v>
      </c>
      <c r="L69" s="1" t="inlineStr">
        <is>
          <t>[384-BCUJ]</t>
        </is>
      </c>
      <c r="M69" s="1" t="n">
        <v>1</v>
      </c>
    </row>
    <row r="70">
      <c r="H70" s="1" t="inlineStr">
        <is>
          <t>Power Supply</t>
        </is>
      </c>
      <c r="I70" s="1" t="inlineStr">
        <is>
          <t>G7XCUQM</t>
        </is>
      </c>
      <c r="J70" s="1" t="inlineStr">
        <is>
          <t>Dual, Fully Redundant(1+1), Hot-Plug Power Supply,1100W MM(100-240Vac) Titanium</t>
        </is>
      </c>
      <c r="K70" s="4" t="n">
        <v>1429</v>
      </c>
      <c r="L70" s="1" t="inlineStr">
        <is>
          <t>[450-AKLF]</t>
        </is>
      </c>
      <c r="M70" s="1" t="n">
        <v>1</v>
      </c>
    </row>
    <row r="71">
      <c r="H71" s="1" t="inlineStr">
        <is>
          <t>Power Cords</t>
        </is>
      </c>
      <c r="I71" s="1" t="inlineStr">
        <is>
          <t>GJDR06K</t>
        </is>
      </c>
      <c r="J71" s="1" t="inlineStr">
        <is>
          <t>C13 to C14, PDU Style, 12 AMP, 13 Feet (4m) Power Cord, North America</t>
        </is>
      </c>
      <c r="K71" s="4" t="n">
        <v>70</v>
      </c>
      <c r="L71" s="1" t="inlineStr">
        <is>
          <t>[492-BBDG]</t>
        </is>
      </c>
      <c r="M71" s="1" t="n">
        <v>2</v>
      </c>
    </row>
    <row r="72">
      <c r="H72" s="1" t="inlineStr">
        <is>
          <t>PCIe Riser</t>
        </is>
      </c>
      <c r="I72" s="1" t="inlineStr">
        <is>
          <t>GO3YG8H</t>
        </is>
      </c>
      <c r="J72" s="1" t="inlineStr">
        <is>
          <t>Riser Config 3, Full Height, 2x16 FH Slots (Gen5)</t>
        </is>
      </c>
      <c r="K72" s="4" t="n">
        <v>808.03</v>
      </c>
      <c r="L72" s="1" t="inlineStr">
        <is>
          <t>[330-BBYZ]</t>
        </is>
      </c>
      <c r="M72" s="1" t="n">
        <v>1</v>
      </c>
    </row>
    <row r="73">
      <c r="H73" s="1" t="inlineStr">
        <is>
          <t>Motherboard</t>
        </is>
      </c>
      <c r="I73" s="1" t="inlineStr">
        <is>
          <t>G8E9DV5</t>
        </is>
      </c>
      <c r="J73" s="1" t="inlineStr">
        <is>
          <t>Motherboard MLK supports ALL CPUs and is required for CPUs 250W and above</t>
        </is>
      </c>
      <c r="K73" s="4" t="n">
        <v>450</v>
      </c>
      <c r="L73" s="1" t="inlineStr">
        <is>
          <t>[329-BKBP]</t>
        </is>
      </c>
      <c r="M73" s="1" t="n">
        <v>1</v>
      </c>
    </row>
    <row r="74">
      <c r="H74" s="1" t="inlineStr">
        <is>
          <t>Embedded Systems Management</t>
        </is>
      </c>
      <c r="I74" s="1" t="inlineStr">
        <is>
          <t>G65AWE1</t>
        </is>
      </c>
      <c r="J74" s="1" t="inlineStr">
        <is>
          <t>Dell Connectivity Client - Disabled</t>
        </is>
      </c>
      <c r="K74" s="4" t="n">
        <v>0</v>
      </c>
      <c r="L74" s="1" t="inlineStr">
        <is>
          <t>[379-BFXT], [634-CYDF]</t>
        </is>
      </c>
      <c r="M74" s="1" t="n">
        <v>1</v>
      </c>
    </row>
    <row r="75">
      <c r="H75" s="1" t="inlineStr">
        <is>
          <t>Embedded Systems Management</t>
        </is>
      </c>
      <c r="I75" s="1" t="inlineStr">
        <is>
          <t>G9X14RE</t>
        </is>
      </c>
      <c r="J75" s="1" t="inlineStr">
        <is>
          <t>Server Secured Component Verification</t>
        </is>
      </c>
      <c r="K75" s="4" t="n">
        <v>99</v>
      </c>
      <c r="L75" s="1" t="inlineStr">
        <is>
          <t>[528-COYT]</t>
        </is>
      </c>
      <c r="M75" s="1" t="n">
        <v>1</v>
      </c>
    </row>
    <row r="76">
      <c r="H76" s="1" t="inlineStr">
        <is>
          <t>Embedded Systems Management</t>
        </is>
      </c>
      <c r="I76" s="1" t="inlineStr">
        <is>
          <t>G49EVUG</t>
        </is>
      </c>
      <c r="J76" s="1" t="inlineStr">
        <is>
          <t>iDRAC9 Datacenter 16G with OpenManage Enterprise Advanced Plus</t>
        </is>
      </c>
      <c r="K76" s="4" t="n">
        <v>1288</v>
      </c>
      <c r="L76" s="1" t="inlineStr">
        <is>
          <t>[528-CTID], [528-CTZH]</t>
        </is>
      </c>
      <c r="M76" s="1" t="n">
        <v>1</v>
      </c>
    </row>
    <row r="77">
      <c r="H77" s="1" t="inlineStr">
        <is>
          <t>OCP 3.0 Network Adapters</t>
        </is>
      </c>
      <c r="I77" s="1" t="inlineStr">
        <is>
          <t>GKD7V2B</t>
        </is>
      </c>
      <c r="J77" s="1" t="inlineStr">
        <is>
          <t>Nvidia ConnectX-6 Dual Port 100 GbE QSFP56 Adapter, OCP 3.0 with Cable</t>
        </is>
      </c>
      <c r="K77" s="4" t="n">
        <v>3224</v>
      </c>
      <c r="L77" s="1" t="inlineStr">
        <is>
          <t>[540-BDYY], [540-BFDZ]</t>
        </is>
      </c>
      <c r="M77" s="1" t="n">
        <v>1</v>
      </c>
    </row>
    <row r="78">
      <c r="H78" s="1" t="inlineStr">
        <is>
          <t>Additional Network Cards</t>
        </is>
      </c>
      <c r="I78" s="1" t="inlineStr">
        <is>
          <t>GVNQ7EH</t>
        </is>
      </c>
      <c r="J78" s="1" t="inlineStr">
        <is>
          <t>LOM Blank</t>
        </is>
      </c>
      <c r="K78" s="4" t="n">
        <v>0</v>
      </c>
      <c r="L78" s="1" t="inlineStr">
        <is>
          <t>[540-BDMK]</t>
        </is>
      </c>
      <c r="M78" s="1" t="n">
        <v>1</v>
      </c>
    </row>
    <row r="79">
      <c r="H79" s="1" t="inlineStr">
        <is>
          <t>Additional Network Cards</t>
        </is>
      </c>
      <c r="I79" s="1" t="inlineStr">
        <is>
          <t>G1NLUM4</t>
        </is>
      </c>
      <c r="J79" s="1" t="inlineStr">
        <is>
          <t>Intel X710-T4L Quad Port 10GbE BASE-T Adapter, PCIe Full Height</t>
        </is>
      </c>
      <c r="K79" s="4" t="n">
        <v>1474</v>
      </c>
      <c r="L79" s="1" t="inlineStr">
        <is>
          <t>[540-BCRP]</t>
        </is>
      </c>
      <c r="M79" s="1" t="n">
        <v>1</v>
      </c>
    </row>
    <row r="80">
      <c r="H80" s="1" t="inlineStr">
        <is>
          <t>Bezel</t>
        </is>
      </c>
      <c r="I80" s="1" t="inlineStr">
        <is>
          <t>G2KZ7CS</t>
        </is>
      </c>
      <c r="J80" s="1" t="inlineStr">
        <is>
          <t>Standard Bezel</t>
        </is>
      </c>
      <c r="K80" s="4" t="n">
        <v>49</v>
      </c>
      <c r="L80" s="1" t="inlineStr">
        <is>
          <t>[325-BEVE], [350-BCKC]</t>
        </is>
      </c>
      <c r="M80" s="1" t="n">
        <v>1</v>
      </c>
    </row>
    <row r="81">
      <c r="H81" s="1" t="inlineStr">
        <is>
          <t>Boot Optimized Storage Cards</t>
        </is>
      </c>
      <c r="I81" s="1" t="inlineStr">
        <is>
          <t>G61XLSC</t>
        </is>
      </c>
      <c r="J81" s="1" t="inlineStr">
        <is>
          <t>BOSS-N1 controller card +  with 2 M.2 480GB (RAID 1)</t>
        </is>
      </c>
      <c r="K81" s="4" t="n">
        <v>2700</v>
      </c>
      <c r="L81" s="1" t="inlineStr">
        <is>
          <t>[403-BCRU], [470-AFMG]</t>
        </is>
      </c>
      <c r="M81" s="1" t="n">
        <v>1</v>
      </c>
    </row>
    <row r="82">
      <c r="H82" s="1" t="inlineStr">
        <is>
          <t>Quick Sync</t>
        </is>
      </c>
      <c r="I82" s="1" t="inlineStr">
        <is>
          <t>GI1FEZA</t>
        </is>
      </c>
      <c r="J82" s="1" t="inlineStr">
        <is>
          <t>No Quick Sync</t>
        </is>
      </c>
      <c r="K82" s="4" t="n">
        <v>0</v>
      </c>
      <c r="L82" s="1" t="inlineStr">
        <is>
          <t>[350-BBXM]</t>
        </is>
      </c>
      <c r="M82" s="1" t="n">
        <v>1</v>
      </c>
    </row>
    <row r="83">
      <c r="H83" s="1" t="inlineStr">
        <is>
          <t>Password</t>
        </is>
      </c>
      <c r="I83" s="1" t="inlineStr">
        <is>
          <t>G5HZBFJ</t>
        </is>
      </c>
      <c r="J83" s="1" t="inlineStr">
        <is>
          <t>iDRAC Factory Generated Password for OCP cards</t>
        </is>
      </c>
      <c r="K83" s="4" t="n">
        <v>0</v>
      </c>
      <c r="L83" s="1" t="inlineStr">
        <is>
          <t>[379-BETG]</t>
        </is>
      </c>
      <c r="M83" s="1" t="n">
        <v>1</v>
      </c>
    </row>
    <row r="84">
      <c r="H84" s="1" t="inlineStr">
        <is>
          <t>IDRAC Service Module</t>
        </is>
      </c>
      <c r="I84" s="1" t="inlineStr">
        <is>
          <t>GX95LG2</t>
        </is>
      </c>
      <c r="J84" s="1" t="inlineStr">
        <is>
          <t>iDRAC Service Module (ISM), NOT Installed</t>
        </is>
      </c>
      <c r="K84" s="4" t="n">
        <v>0</v>
      </c>
      <c r="L84" s="1" t="inlineStr">
        <is>
          <t>[379-BCQX]</t>
        </is>
      </c>
      <c r="M84" s="1" t="n">
        <v>1</v>
      </c>
    </row>
    <row r="85">
      <c r="H85" s="1" t="inlineStr">
        <is>
          <t>Group Manager</t>
        </is>
      </c>
      <c r="I85" s="1" t="inlineStr">
        <is>
          <t>GTVA94K</t>
        </is>
      </c>
      <c r="J85" s="1" t="inlineStr">
        <is>
          <t>iDRAC Group Manager, Disabled</t>
        </is>
      </c>
      <c r="K85" s="4" t="n">
        <v>0</v>
      </c>
      <c r="L85" s="1" t="inlineStr">
        <is>
          <t>[379-BCQY]</t>
        </is>
      </c>
      <c r="M85" s="1" t="n">
        <v>1</v>
      </c>
    </row>
    <row r="86">
      <c r="H86" s="1" t="inlineStr">
        <is>
          <t>Operating System</t>
        </is>
      </c>
      <c r="I86" s="1" t="inlineStr">
        <is>
          <t>G78MU35</t>
        </is>
      </c>
      <c r="J86" s="1" t="inlineStr">
        <is>
          <t>No Operating System</t>
        </is>
      </c>
      <c r="K86" s="4" t="n">
        <v>0</v>
      </c>
      <c r="L86" s="1" t="inlineStr">
        <is>
          <t>[611-BBBF]</t>
        </is>
      </c>
      <c r="M86" s="1" t="n">
        <v>1</v>
      </c>
    </row>
    <row r="87">
      <c r="H87" s="1" t="inlineStr">
        <is>
          <t>OS Media Kits</t>
        </is>
      </c>
      <c r="I87" s="1" t="inlineStr">
        <is>
          <t>GKH7AZI</t>
        </is>
      </c>
      <c r="J87" s="1" t="inlineStr">
        <is>
          <t>No Media Required</t>
        </is>
      </c>
      <c r="K87" s="4" t="n">
        <v>0</v>
      </c>
      <c r="L87" s="1" t="inlineStr">
        <is>
          <t>[605-BBFN]</t>
        </is>
      </c>
      <c r="M87" s="1" t="n">
        <v>1</v>
      </c>
    </row>
    <row r="88">
      <c r="H88" s="1" t="inlineStr">
        <is>
          <t>Rack Rails</t>
        </is>
      </c>
      <c r="I88" s="1" t="inlineStr">
        <is>
          <t>GSNQZP0</t>
        </is>
      </c>
      <c r="J88" s="1" t="inlineStr">
        <is>
          <t>ReadyRails Sliding Rails With Cable Management Arm</t>
        </is>
      </c>
      <c r="K88" s="4" t="n">
        <v>187.51</v>
      </c>
      <c r="L88" s="1" t="inlineStr">
        <is>
          <t>[770-BDMT], [770-BECD]</t>
        </is>
      </c>
      <c r="M88" s="1" t="n">
        <v>1</v>
      </c>
    </row>
    <row r="89">
      <c r="H89" s="1" t="inlineStr">
        <is>
          <t>System Documentation</t>
        </is>
      </c>
      <c r="I89" s="1" t="inlineStr">
        <is>
          <t>GVRYSM7</t>
        </is>
      </c>
      <c r="J89" s="1" t="inlineStr">
        <is>
          <t>No Systems Documentation, No OpenManage DVD Kit</t>
        </is>
      </c>
      <c r="K89" s="4" t="n">
        <v>0</v>
      </c>
      <c r="L89" s="1" t="inlineStr">
        <is>
          <t>[631-AACK]</t>
        </is>
      </c>
      <c r="M89" s="1" t="n">
        <v>1</v>
      </c>
    </row>
    <row r="90">
      <c r="H90" s="1" t="inlineStr">
        <is>
          <t>SHIPPING</t>
        </is>
      </c>
      <c r="I90" s="1" t="inlineStr">
        <is>
          <t>GSE1MX3</t>
        </is>
      </c>
      <c r="J90" s="1" t="inlineStr">
        <is>
          <t>PowerEdge R660 Shipping</t>
        </is>
      </c>
      <c r="K90" s="4" t="n">
        <v>49</v>
      </c>
      <c r="L90" s="1" t="inlineStr">
        <is>
          <t>[340-DBXZ]</t>
        </is>
      </c>
      <c r="M90" s="1" t="n">
        <v>1</v>
      </c>
    </row>
    <row r="91">
      <c r="H91" s="1" t="inlineStr">
        <is>
          <t>Shipping Material</t>
        </is>
      </c>
      <c r="I91" s="1" t="inlineStr">
        <is>
          <t>GIE8RYJ</t>
        </is>
      </c>
      <c r="J91" s="1" t="inlineStr">
        <is>
          <t>PowerEdge R660 Shipping Material, 10x2.5", 8x2.5" Smart Flow or 16xEDSFF</t>
        </is>
      </c>
      <c r="K91" s="4" t="n">
        <v>99</v>
      </c>
      <c r="L91" s="1" t="inlineStr">
        <is>
          <t>[340-DBYC]</t>
        </is>
      </c>
      <c r="M91" s="1" t="n">
        <v>1</v>
      </c>
    </row>
    <row r="92">
      <c r="H92" s="1" t="inlineStr">
        <is>
          <t>Regulatory</t>
        </is>
      </c>
      <c r="I92" s="1" t="inlineStr">
        <is>
          <t>GAE4XYW</t>
        </is>
      </c>
      <c r="J92" s="1" t="inlineStr">
        <is>
          <t>PowerEdge R660 CE, CCC and BIS Marking on 2.5" Chassis</t>
        </is>
      </c>
      <c r="K92" s="4" t="n">
        <v>0</v>
      </c>
      <c r="L92" s="1" t="inlineStr">
        <is>
          <t>[343-BBTS], [343-BBUB]</t>
        </is>
      </c>
      <c r="M92" s="1" t="n">
        <v>1</v>
      </c>
    </row>
    <row r="93">
      <c r="H93" s="1" t="inlineStr">
        <is>
          <t>ECCN</t>
        </is>
      </c>
      <c r="I93" s="1" t="inlineStr">
        <is>
          <t>GRO1P6G</t>
        </is>
      </c>
      <c r="J93" s="1" t="inlineStr">
        <is>
          <t>Decline Selection</t>
        </is>
      </c>
      <c r="K93" s="4" t="n">
        <v>0</v>
      </c>
      <c r="L93" s="1" t="inlineStr">
        <is>
          <t>[817-BBBP]</t>
        </is>
      </c>
      <c r="M93" s="1" t="n">
        <v>1</v>
      </c>
    </row>
    <row r="94">
      <c r="H94" s="1" t="inlineStr">
        <is>
          <t>Standard Hardware Support Service</t>
        </is>
      </c>
      <c r="I94" s="1" t="inlineStr">
        <is>
          <t>G80I3TA</t>
        </is>
      </c>
      <c r="J94" s="1" t="inlineStr">
        <is>
          <t>3 Years Prosupport Next Business Day Onsite Service</t>
        </is>
      </c>
      <c r="K94" s="4" t="n">
        <v>3085.01</v>
      </c>
      <c r="L94" s="1" t="inlineStr">
        <is>
          <t>[887-1067], [887-1075], [887-1076], [989-3439]</t>
        </is>
      </c>
      <c r="M94" s="1" t="n">
        <v>1</v>
      </c>
    </row>
    <row r="95"/>
    <row r="96"/>
    <row r="97">
      <c r="A97" s="1" t="inlineStr">
        <is>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is>
      </c>
    </row>
  </sheetData>
  <pageMargins left="0.75" right="0.75" top="0.75" bottom="0.5" header="0.5" footer="0.7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Chan, Yen_Mei</dc:creator>
  <dcterms:created xsi:type="dcterms:W3CDTF">2024-12-31T19:59:33Z</dcterms:created>
  <dcterms:modified xsi:type="dcterms:W3CDTF">2026-09-25T15:09:43Z</dcterms:modified>
  <cp:lastModifiedBy>Abuzaid, Abdullah</cp:lastModifiedBy>
</cp:coreProperties>
</file>

<file path=docProps/custom.xml><?xml version="1.0" encoding="utf-8"?>
<Properties xmlns:vt="http://schemas.openxmlformats.org/officeDocument/2006/docPropsVTypes" xmlns="http://schemas.openxmlformats.org/officeDocument/2006/custom-properties">
  <property name="MSIP_Label_73dd1fcc-24d7-4f55-9dc2-c1518f171327_Enabled" fmtid="{D5CDD505-2E9C-101B-9397-08002B2CF9AE}" pid="2">
    <vt:lpwstr>true</vt:lpwstr>
  </property>
  <property name="MSIP_Label_73dd1fcc-24d7-4f55-9dc2-c1518f171327_SetDate" fmtid="{D5CDD505-2E9C-101B-9397-08002B2CF9AE}" pid="3">
    <vt:lpwstr>2024-12-31T20:00:33Z</vt:lpwstr>
  </property>
  <property name="MSIP_Label_73dd1fcc-24d7-4f55-9dc2-c1518f171327_Method" fmtid="{D5CDD505-2E9C-101B-9397-08002B2CF9AE}" pid="4">
    <vt:lpwstr>Privileged</vt:lpwstr>
  </property>
  <property name="MSIP_Label_73dd1fcc-24d7-4f55-9dc2-c1518f171327_Name" fmtid="{D5CDD505-2E9C-101B-9397-08002B2CF9AE}" pid="5">
    <vt:lpwstr>No Protection (Label Only) - Internal Use</vt:lpwstr>
  </property>
  <property name="MSIP_Label_73dd1fcc-24d7-4f55-9dc2-c1518f171327_SiteId" fmtid="{D5CDD505-2E9C-101B-9397-08002B2CF9AE}" pid="6">
    <vt:lpwstr>945c199a-83a2-4e80-9f8c-5a91be5752dd</vt:lpwstr>
  </property>
  <property name="MSIP_Label_73dd1fcc-24d7-4f55-9dc2-c1518f171327_ActionId" fmtid="{D5CDD505-2E9C-101B-9397-08002B2CF9AE}" pid="7">
    <vt:lpwstr>d71f9a86-0cd7-42ea-8b53-881734af6450</vt:lpwstr>
  </property>
  <property name="MSIP_Label_73dd1fcc-24d7-4f55-9dc2-c1518f171327_ContentBits" fmtid="{D5CDD505-2E9C-101B-9397-08002B2CF9AE}" pid="8">
    <vt:lpwstr>2</vt:lpwstr>
  </property>
  <property name="ContentTypeId" fmtid="{D5CDD505-2E9C-101B-9397-08002B2CF9AE}" pid="9">
    <vt:lpwstr>0x01010013EE865589E31842B4BEFFD6263ECB93</vt:lpwstr>
  </property>
  <property name="MediaServiceImageTags" fmtid="{D5CDD505-2E9C-101B-9397-08002B2CF9AE}" pid="10">
    <vt:lpwstr/>
  </property>
  <property name="Order" fmtid="{D5CDD505-2E9C-101B-9397-08002B2CF9AE}" pid="11">
    <vt:r8>11300</vt:r8>
  </property>
  <property name="xd_Signature" fmtid="{D5CDD505-2E9C-101B-9397-08002B2CF9AE}" pid="12">
    <vt:bool>0</vt:bool>
  </property>
  <property name="xd_ProgID" fmtid="{D5CDD505-2E9C-101B-9397-08002B2CF9AE}" pid="13">
    <vt:lpwstr/>
  </property>
  <property name="ComplianceAssetId" fmtid="{D5CDD505-2E9C-101B-9397-08002B2CF9AE}" pid="14">
    <vt:lpwstr/>
  </property>
  <property name="TemplateUrl" fmtid="{D5CDD505-2E9C-101B-9397-08002B2CF9AE}" pid="15">
    <vt:lpwstr/>
  </property>
  <property name="_ExtendedDescription" fmtid="{D5CDD505-2E9C-101B-9397-08002B2CF9AE}" pid="16">
    <vt:lpwstr/>
  </property>
  <property name="TriggerFlowInfo" fmtid="{D5CDD505-2E9C-101B-9397-08002B2CF9AE}" pid="17">
    <vt:lpwstr/>
  </property>
  <property name="Linktolatestversion" fmtid="{D5CDD505-2E9C-101B-9397-08002B2CF9AE}" pid="18">
    <vt:lpwstr xml:space="preserve">, </vt:lpwstr>
  </property>
</Properties>
</file>