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ell-my.sharepoint.com/personal/abdullah_abuzaid_dell_com/Documents/Desktop/IREN/"/>
    </mc:Choice>
  </mc:AlternateContent>
  <xr:revisionPtr revIDLastSave="104" documentId="8_{F3212E32-7756-4298-8A4D-07CC5762E9B8}" xr6:coauthVersionLast="47" xr6:coauthVersionMax="47" xr10:uidLastSave="{36FCAB64-B767-4A89-9089-65CBA02804EE}"/>
  <bookViews>
    <workbookView xWindow="28680" yWindow="-120" windowWidth="29040" windowHeight="15720" tabRatio="762" firstSheet="6" activeTab="6" xr2:uid="{7B32C1FE-A573-4662-B1BF-9EBE43181AD9}"/>
  </bookViews>
  <sheets>
    <sheet name="P&amp;L" sheetId="58" state="hidden" r:id="rId1"/>
    <sheet name="GOAL Export" sheetId="57" state="hidden" r:id="rId2"/>
    <sheet name="Version" sheetId="17" r:id="rId3"/>
    <sheet name="L11 BOM Ntwk" sheetId="69" r:id="rId4"/>
    <sheet name="Rack-Elevations" sheetId="75" r:id="rId5"/>
    <sheet name="Rack BOM" sheetId="77" r:id="rId6"/>
    <sheet name="PnL SN6600-LD-0831 " sheetId="76" r:id="rId7"/>
    <sheet name="Services Summary" sheetId="28" state="hidden" r:id="rId8"/>
    <sheet name="DW2000P_1" sheetId="11" state="hidden" r:id="rId9"/>
    <sheet name="Compute_Management" sheetId="12" state="hidden" r:id="rId10"/>
  </sheets>
  <externalReferences>
    <externalReference r:id="rId11"/>
    <externalReference r:id="rId12"/>
    <externalReference r:id="rId13"/>
    <externalReference r:id="rId14"/>
    <externalReference r:id="rId15"/>
    <externalReference r:id="rId16"/>
    <externalReference r:id="rId17"/>
  </externalReferences>
  <definedNames>
    <definedName name="_56F9DC9755BA473782653E2940F9FormId">"mhlclKKDgE6fjFqRvldS3VTyrQc3qIJOpCoYkY-9sxNUQkxLTjBLT1NSUzc0VzNEV00zSkhQSktLTS4u"</definedName>
    <definedName name="_56F9DC9755BA473782653E2940F9ResponseSheet">"Form1"</definedName>
    <definedName name="_56F9DC9755BA473782653E2940F9SourceDocId">"{8a994947-8c73-49f0-af16-597f5a835ce5}"</definedName>
    <definedName name="_Fill" hidden="1">#REF!</definedName>
    <definedName name="_Key1" hidden="1">#REF!</definedName>
    <definedName name="_Key2" hidden="1">#REF!</definedName>
    <definedName name="_Order1" hidden="1">255</definedName>
    <definedName name="_Order2" hidden="1">0</definedName>
    <definedName name="_Sort" hidden="1">#REF!</definedName>
    <definedName name="anscount" hidden="1">2</definedName>
    <definedName name="AssetCount">#REF!</definedName>
    <definedName name="BILL_TO_ADDRESS">#REF!</definedName>
    <definedName name="BILL_TO_CONTACT">#REF!</definedName>
    <definedName name="BILL_TO_LABEL">#REF!</definedName>
    <definedName name="BILL_TO_NAME">#REF!</definedName>
    <definedName name="BILL_TO_PHONE">#REF!</definedName>
    <definedName name="BOM_All_Parts">#REF!</definedName>
    <definedName name="BOM_Cables_CAT6">#REF!</definedName>
    <definedName name="BOM_Cables_DAC_O112">#REF!</definedName>
    <definedName name="BOM_Cables_MPO_to_4x_LC">#REF!</definedName>
    <definedName name="BOM_Cables_MPO12">#REF!</definedName>
    <definedName name="BOM_Cables_OSFP">#REF!</definedName>
    <definedName name="BOM_Fiber_Distribution">#REF!</definedName>
    <definedName name="BOM_Optics">#REF!</definedName>
    <definedName name="BOM_PDU">#REF!</definedName>
    <definedName name="BOM_Racks_Aircool">#REF!</definedName>
    <definedName name="BOM_Racks_Sidecar">#REF!</definedName>
    <definedName name="BOM_Switch_100G">#REF!</definedName>
    <definedName name="BOM_Switch_400G">#REF!</definedName>
    <definedName name="BOM_Switch_800G">#REF!</definedName>
    <definedName name="BOM_Switch_IB_144_port">#REF!</definedName>
    <definedName name="BOM_Switch_Spectrum_Fabric">#REF!</definedName>
    <definedName name="BOM_Switch_Spectrum_OOB">#REF!</definedName>
    <definedName name="BOM_Switch_Spectrum_OOB_Aggr">#REF!</definedName>
    <definedName name="BOM_Transceiver_NIC">#REF!</definedName>
    <definedName name="BOM_Transceiver_Switch">#REF!</definedName>
    <definedName name="BRS_FLOOR_ANALYSIS_LINES_TO_FORMAT0">#REF!</definedName>
    <definedName name="BRS_FLOOR_ANALYSIS_LINES_TO_FORMAT1">#REF!</definedName>
    <definedName name="BRS_FLOOR_ANALYSIS_SECTION">#REF!</definedName>
    <definedName name="CBWorkbookPriority" hidden="1">-1010689980</definedName>
    <definedName name="CFG_SECTION">#REF!</definedName>
    <definedName name="CFG_SUBTOTAL_ALL">#REF!</definedName>
    <definedName name="CFG_SUBTOTAL_HW">#REF!</definedName>
    <definedName name="CFG_SUBTOTAL_MW">#REF!</definedName>
    <definedName name="CFG_SUBTOTAL_PS">#REF!</definedName>
    <definedName name="CFG_SUBTOTAL_SECTION">#REF!</definedName>
    <definedName name="CFG_SUBTOTAL_SW">#REF!</definedName>
    <definedName name="CFG_TITLE_FLD_CFG_NAME">#REF!</definedName>
    <definedName name="CFG_TITLE_SECTION">#REF!</definedName>
    <definedName name="CSI_FLD_CSI_DESCRIPTION">#REF!</definedName>
    <definedName name="CSI_FLD_CSI_NAME">#REF!</definedName>
    <definedName name="CSI_FLD_CSI_SERIAL_NUMBER">#REF!</definedName>
    <definedName name="CSI_LABEL_FORCOPY_SERIAL_NUMBER">#REF!</definedName>
    <definedName name="CSI_LABEL_HEADERS">#REF!</definedName>
    <definedName name="CSI_LINE_HW">#REF!</definedName>
    <definedName name="CSI_LINE_MW">#REF!</definedName>
    <definedName name="CSI_LINE_PS">#REF!</definedName>
    <definedName name="CSI_LINE_SW">#REF!</definedName>
    <definedName name="CSI_SECTION_HW_ALL">#REF!</definedName>
    <definedName name="CSI_SECTION_HW_BOT">#REF!</definedName>
    <definedName name="CSI_SECTION_HW_TOP">#REF!</definedName>
    <definedName name="CSI_SECTION_MW_ALL">#REF!</definedName>
    <definedName name="CSI_SECTION_MW_BOT">#REF!</definedName>
    <definedName name="CSI_SECTION_MW_TOP">#REF!</definedName>
    <definedName name="CSI_SECTION_PS_ALL">#REF!</definedName>
    <definedName name="CSI_SECTION_PS_BOT">#REF!</definedName>
    <definedName name="CSI_SECTION_PS_TOP">#REF!</definedName>
    <definedName name="CSI_SECTION_SW_ALL">#REF!</definedName>
    <definedName name="CSI_SECTION_SW_BOT">#REF!</definedName>
    <definedName name="CSI_SECTION_SW_TOP">#REF!</definedName>
    <definedName name="CSI_SECTION_TITLE">#REF!</definedName>
    <definedName name="CSI_SUBTOTAL_HW">#REF!</definedName>
    <definedName name="CSI_SUBTOTAL_MW">#REF!</definedName>
    <definedName name="CSI_SUBTOTAL_PS">#REF!</definedName>
    <definedName name="CSI_SUBTOTAL_SW">#REF!</definedName>
    <definedName name="DOL">#REF!</definedName>
    <definedName name="DSECost">#REF!</definedName>
    <definedName name="DSEPrice">#REF!</definedName>
    <definedName name="DXP_REMOVE_GROSS_COST">#REF!</definedName>
    <definedName name="DXP_REMOVE_GROSS_NOTE3">#REF!</definedName>
    <definedName name="EMC_ADDRESS">#REF!</definedName>
    <definedName name="EMC_BM_TABLE_HEADER">#REF!</definedName>
    <definedName name="EMC_BUSINESS_MONITORING">#REF!</definedName>
    <definedName name="EMC_NO_RULES_BROKEN">#REF!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EV__LASTREFTIME__" hidden="1">39825.6100810185</definedName>
    <definedName name="Exch_Rate2">#REF!</definedName>
    <definedName name="FLOOR_ANALYSIS_LINES_TO_FORMAT0">#REF!</definedName>
    <definedName name="FLOOR_ANALYSIS_LINES_TO_FORMAT1">#REF!</definedName>
    <definedName name="FLOOR_ANALYSIS_SECTION">#REF!</definedName>
    <definedName name="foosiemsh" hidden="1">#REF!</definedName>
    <definedName name="GSA_HEADER_FIELDS">#REF!</definedName>
    <definedName name="GVKey">"271182-01w"</definedName>
    <definedName name="INSTALL_AT_ADDRESS">#REF!</definedName>
    <definedName name="INSTALL_AT_CONTACT">#REF!</definedName>
    <definedName name="INSTALL_AT_LABEL">#REF!</definedName>
    <definedName name="INSTALL_AT_NAME">#REF!</definedName>
    <definedName name="INSTALL_AT_PHONE">#REF!</definedName>
    <definedName name="IssueTypes">[1]Data!$B$6:$B$8</definedName>
    <definedName name="K2_WBEVMODE" hidden="1">-1</definedName>
    <definedName name="limcount" hidden="1">2</definedName>
    <definedName name="LPRU">#REF!</definedName>
    <definedName name="MISC_FLD_TITLE">#REF!</definedName>
    <definedName name="MISC_LINE_HW">#REF!</definedName>
    <definedName name="MISC_LINE_PS">#REF!</definedName>
    <definedName name="MISC_LINE_SW">#REF!</definedName>
    <definedName name="MISC_SECTION_HW_ALL">#REF!</definedName>
    <definedName name="MISC_SECTION_HW_BOT">#REF!</definedName>
    <definedName name="MISC_SECTION_HW_TOP">#REF!</definedName>
    <definedName name="MISC_SECTION_PS_ALL">#REF!</definedName>
    <definedName name="MISC_SECTION_PS_BOT">#REF!</definedName>
    <definedName name="MISC_SECTION_PS_TOP">#REF!</definedName>
    <definedName name="MISC_SECTION_SW_ALL">#REF!</definedName>
    <definedName name="MISC_SECTION_SW_BOT">#REF!</definedName>
    <definedName name="MISC_SECTION_SW_TOP">#REF!</definedName>
    <definedName name="MISC_SECTION_TITLE">#REF!</definedName>
    <definedName name="MISC_SUBTOTAL_HW">#REF!</definedName>
    <definedName name="MISC_SUBTOTAL_PS">#REF!</definedName>
    <definedName name="MISC_SUBTOTAL_SW">#REF!</definedName>
    <definedName name="Model">#REF!</definedName>
    <definedName name="new">'[2]Reference Data'!$GP$11:$HD$11</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NOTES_ZONE_0">#REF!</definedName>
    <definedName name="NOTES_ZONE_1">#REF!</definedName>
    <definedName name="NOTES_ZONE_2">#REF!</definedName>
    <definedName name="OPPTY_SECTION">#REF!</definedName>
    <definedName name="OSECost">#REF!</definedName>
    <definedName name="OSEPrice">#REF!</definedName>
    <definedName name="PRECONTRACT_FLD_CFG_NAME">#REF!</definedName>
    <definedName name="PRECONTRACT_FLD_CSI_DESCIPTION">#REF!</definedName>
    <definedName name="PRECONTRACT_FLD_CSI_NAME">#REF!</definedName>
    <definedName name="PRECONTRACT_LINE">#REF!</definedName>
    <definedName name="PRECONTRACT_SECTION">#REF!</definedName>
    <definedName name="PRECONTRACT_SECTION_CFG_TITLE">#REF!</definedName>
    <definedName name="PRECONTRACT_SECTION_CSI">#REF!</definedName>
    <definedName name="PRICE_JUST_COMMENT">#REF!</definedName>
    <definedName name="PROMO_SECTION">#REF!</definedName>
    <definedName name="PROPOSAL_SECTION">#REF!</definedName>
    <definedName name="PROPOSAL_SECTION_MW">#REF!</definedName>
    <definedName name="PROPOSAL_SUBTOTAL_HW">#REF!</definedName>
    <definedName name="PROPOSAL_SUBTOTAL_MW_HW">#REF!</definedName>
    <definedName name="PROPOSAL_SUBTOTAL_MW_SW">#REF!</definedName>
    <definedName name="PROPOSAL_SUBTOTAL_MW_WAR">#REF!</definedName>
    <definedName name="PROPOSAL_SUBTOTAL_PS">#REF!</definedName>
    <definedName name="PROPOSAL_SUBTOTAL_SW">#REF!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QUOTE_PRICEBREAK">#REF!</definedName>
    <definedName name="QUOTE_PS_PRICEBREAK">#REF!</definedName>
    <definedName name="REDIRECT_SECTION">#REF!</definedName>
    <definedName name="Region">#REF!</definedName>
    <definedName name="REPORT_LINES_TO_FORMAT">#REF!,#REF!</definedName>
    <definedName name="REPORT_LINES_TO_FORMAT0">#REF!</definedName>
    <definedName name="REPORT_LINES_TO_FORMAT1">#REF!</definedName>
    <definedName name="REPORT_LINES_TO_FORMAT2">#REF!</definedName>
    <definedName name="REPORT_TOTALS_TO_FORMAT">#REF!,#REF!,#REF!</definedName>
    <definedName name="REPORT_TOTALS_TO_FORMAT0">#REF!</definedName>
    <definedName name="REPORT_TOTALS_TO_FORMAT1">#REF!</definedName>
    <definedName name="REPORT_TOTALS_TO_FORMAT2">#REF!</definedName>
    <definedName name="REPORT_TOTALS_TO_FORMAT3">#REF!</definedName>
    <definedName name="REPORT_TOTALS_TO_FORMAT4">#REF!</definedName>
    <definedName name="REPORT_TOTALS_TO_FORMAT5">#REF!</definedName>
    <definedName name="ResidentCost">#REF!</definedName>
    <definedName name="ResidentPrice">#REF!</definedName>
    <definedName name="RQFRate1">[3]Template!$BC$20</definedName>
    <definedName name="s">'[4]Summary &amp; Status'!#REF!</definedName>
    <definedName name="sa">[3]Info!$AZ$20</definedName>
    <definedName name="SAPBEXrevision" hidden="1">2</definedName>
    <definedName name="SAPBEXsysID" hidden="1">"BWP"</definedName>
    <definedName name="SAPBEXwbID" hidden="1">"427RYF5MIK75065EZBL5WAVIT"</definedName>
    <definedName name="sencount" hidden="1">2</definedName>
    <definedName name="SHIP_TO_ADDRESS">#REF!</definedName>
    <definedName name="SHIP_TO_CONTACT">#REF!</definedName>
    <definedName name="SHIP_TO_LABEL">#REF!</definedName>
    <definedName name="SHIP_TO_NAME">#REF!</definedName>
    <definedName name="SHIP_TO_PHONE">#REF!</definedName>
    <definedName name="SHIPPING_ZONE_0">#REF!</definedName>
    <definedName name="SHIPPING_ZONE_1">#REF!</definedName>
    <definedName name="SHIPPING_ZONE_2">#REF!</definedName>
    <definedName name="SiteCodeLU">'[5]Site details V2'!$A$1:$Z$2506</definedName>
    <definedName name="Sites">#REF!</definedName>
    <definedName name="SOLD_TO_ADDRESS">#REF!</definedName>
    <definedName name="SOLD_TO_CONTACT">#REF!</definedName>
    <definedName name="SOLD_TO_LABEL">#REF!</definedName>
    <definedName name="SOLD_TO_NAME">#REF!</definedName>
    <definedName name="SOLD_TO_PHONE">#REF!</definedName>
    <definedName name="SPSet">"current"</definedName>
    <definedName name="SPWS_WBID">"AE891147-BB2F-445D-ACEB-8EEEC2660B6C"</definedName>
    <definedName name="status_indicators">'[4]Summary &amp; Status'!#REF!</definedName>
    <definedName name="status_milestonetable">'[4]Summary &amp; Status'!#REF!</definedName>
    <definedName name="status_next_reporting_period">'[4]Summary &amp; Status'!#REF!</definedName>
    <definedName name="status_this_reporting_period">'[4]Summary &amp; Status'!#REF!</definedName>
    <definedName name="StatusNames">[1]Data!$B$1:$B$3</definedName>
    <definedName name="SumMargin">#REF!</definedName>
    <definedName name="SumRev">#REF!</definedName>
    <definedName name="Term">#REF!</definedName>
    <definedName name="TEST_IPF">#REF!</definedName>
    <definedName name="TRADEIN_SECTION">#REF!</definedName>
    <definedName name="TRADEIN_SECTION_TOT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76" l="1"/>
  <c r="E19" i="76"/>
  <c r="E9" i="76"/>
  <c r="E10" i="76"/>
  <c r="E29" i="76"/>
  <c r="E15" i="76"/>
  <c r="E4" i="76"/>
  <c r="H4" i="76" s="1"/>
  <c r="D12" i="77"/>
  <c r="G26" i="76"/>
  <c r="I26" i="76" s="1"/>
  <c r="G64" i="77"/>
  <c r="E49" i="77"/>
  <c r="E48" i="77"/>
  <c r="E44" i="77" s="1"/>
  <c r="G44" i="77" s="1"/>
  <c r="E47" i="77"/>
  <c r="E41" i="77"/>
  <c r="E40" i="77"/>
  <c r="E39" i="77"/>
  <c r="E38" i="77"/>
  <c r="E37" i="77"/>
  <c r="E36" i="77"/>
  <c r="E35" i="77"/>
  <c r="E34" i="77"/>
  <c r="E42" i="77" s="1"/>
  <c r="G42" i="77" s="1"/>
  <c r="C30" i="77"/>
  <c r="E30" i="77" s="1"/>
  <c r="E29" i="77"/>
  <c r="E28" i="77"/>
  <c r="E31" i="77" s="1"/>
  <c r="E27" i="77"/>
  <c r="E22" i="77"/>
  <c r="E21" i="77"/>
  <c r="E20" i="77"/>
  <c r="E19" i="77"/>
  <c r="E23" i="77" s="1"/>
  <c r="G23" i="77" s="1"/>
  <c r="E15" i="77"/>
  <c r="E14" i="77"/>
  <c r="E13" i="77"/>
  <c r="E12" i="77"/>
  <c r="E11" i="77"/>
  <c r="E10" i="77"/>
  <c r="E9" i="77"/>
  <c r="E8" i="77"/>
  <c r="E7" i="77"/>
  <c r="E6" i="77"/>
  <c r="E5" i="77"/>
  <c r="G3" i="76"/>
  <c r="H3" i="76"/>
  <c r="I3" i="76"/>
  <c r="G4" i="76"/>
  <c r="H7" i="76"/>
  <c r="I7" i="76"/>
  <c r="J7" i="76"/>
  <c r="G8" i="76"/>
  <c r="H8" i="76"/>
  <c r="I8" i="76"/>
  <c r="G9" i="76"/>
  <c r="H9" i="76"/>
  <c r="F10" i="76"/>
  <c r="G10" i="76" s="1"/>
  <c r="F11" i="76"/>
  <c r="H11" i="76" s="1"/>
  <c r="G11" i="76"/>
  <c r="I11" i="76" s="1"/>
  <c r="G14" i="76"/>
  <c r="I14" i="76" s="1"/>
  <c r="H14" i="76"/>
  <c r="G15" i="76"/>
  <c r="H15" i="76"/>
  <c r="I15" i="76"/>
  <c r="H16" i="76"/>
  <c r="I16" i="76"/>
  <c r="J16" i="76"/>
  <c r="G17" i="76"/>
  <c r="I17" i="76" s="1"/>
  <c r="H17" i="76"/>
  <c r="H18" i="76"/>
  <c r="I18" i="76"/>
  <c r="J18" i="76"/>
  <c r="G19" i="76"/>
  <c r="I19" i="76" s="1"/>
  <c r="H19" i="76"/>
  <c r="F20" i="76"/>
  <c r="G20" i="76"/>
  <c r="H20" i="76"/>
  <c r="I20" i="76"/>
  <c r="G21" i="76"/>
  <c r="F22" i="76"/>
  <c r="G22" i="76"/>
  <c r="G25" i="76"/>
  <c r="I25" i="76" s="1"/>
  <c r="N25" i="76"/>
  <c r="O25" i="76" s="1"/>
  <c r="H26" i="76"/>
  <c r="G27" i="76"/>
  <c r="I27" i="76" s="1"/>
  <c r="G28" i="76"/>
  <c r="I28" i="76" s="1"/>
  <c r="F31" i="76"/>
  <c r="H31" i="76" s="1"/>
  <c r="G31" i="76"/>
  <c r="J31" i="76" s="1"/>
  <c r="G32" i="76"/>
  <c r="I32" i="76" s="1"/>
  <c r="H32" i="76"/>
  <c r="J34" i="76"/>
  <c r="H37" i="76"/>
  <c r="G38" i="76"/>
  <c r="H38" i="76"/>
  <c r="I38" i="76"/>
  <c r="B43" i="76"/>
  <c r="B44" i="76"/>
  <c r="N44" i="76"/>
  <c r="B45" i="76"/>
  <c r="B46" i="76"/>
  <c r="H49" i="76"/>
  <c r="H50" i="76"/>
  <c r="G63" i="76"/>
  <c r="H63" i="76"/>
  <c r="I63" i="76"/>
  <c r="G65" i="76"/>
  <c r="I65" i="76" s="1"/>
  <c r="H65" i="76"/>
  <c r="G66" i="76"/>
  <c r="I66" i="76" s="1"/>
  <c r="H66" i="76"/>
  <c r="G67" i="76"/>
  <c r="I67" i="76" s="1"/>
  <c r="H67" i="76"/>
  <c r="D8" i="75"/>
  <c r="D46" i="69"/>
  <c r="D47" i="69"/>
  <c r="D48" i="69"/>
  <c r="D49" i="69"/>
  <c r="D50" i="69"/>
  <c r="D51" i="69"/>
  <c r="D52" i="69"/>
  <c r="I22" i="76" l="1"/>
  <c r="H22" i="76"/>
  <c r="H13" i="76" s="1"/>
  <c r="H45" i="76" s="1"/>
  <c r="I13" i="76"/>
  <c r="I45" i="76" s="1"/>
  <c r="I10" i="76"/>
  <c r="I9" i="76"/>
  <c r="I6" i="76" s="1"/>
  <c r="I4" i="76"/>
  <c r="I2" i="76" s="1"/>
  <c r="I43" i="76" s="1"/>
  <c r="H2" i="76"/>
  <c r="H43" i="76" s="1"/>
  <c r="J14" i="76"/>
  <c r="I31" i="76"/>
  <c r="I24" i="76" s="1"/>
  <c r="E16" i="77"/>
  <c r="E2" i="77" s="1"/>
  <c r="F25" i="76" s="1"/>
  <c r="J31" i="77"/>
  <c r="G31" i="77"/>
  <c r="H10" i="76"/>
  <c r="H6" i="76" s="1"/>
  <c r="B30" i="69"/>
  <c r="B63" i="69"/>
  <c r="B57" i="69"/>
  <c r="B114" i="69"/>
  <c r="B82" i="69"/>
  <c r="J45" i="76" l="1"/>
  <c r="J13" i="76"/>
  <c r="I40" i="76"/>
  <c r="M25" i="76" s="1"/>
  <c r="H25" i="76"/>
  <c r="H24" i="76" s="1"/>
  <c r="H46" i="76" s="1"/>
  <c r="J25" i="76"/>
  <c r="J2" i="76"/>
  <c r="G16" i="77"/>
  <c r="G2" i="77" s="1"/>
  <c r="H44" i="76"/>
  <c r="H47" i="76" s="1"/>
  <c r="J43" i="76"/>
  <c r="I46" i="76"/>
  <c r="J46" i="76" s="1"/>
  <c r="J24" i="76"/>
  <c r="I44" i="76"/>
  <c r="J6" i="76"/>
  <c r="D152" i="69"/>
  <c r="D151" i="69"/>
  <c r="D150" i="69"/>
  <c r="J44" i="76" l="1"/>
  <c r="P25" i="76"/>
  <c r="H40" i="76"/>
  <c r="J40" i="76" s="1"/>
  <c r="I47" i="76"/>
  <c r="J47" i="76" s="1"/>
  <c r="B104" i="69"/>
  <c r="D104" i="69" s="1"/>
  <c r="D102" i="69"/>
  <c r="B101" i="69"/>
  <c r="B98" i="69"/>
  <c r="B75" i="69"/>
  <c r="B83" i="69"/>
  <c r="D83" i="69" s="1"/>
  <c r="B87" i="69"/>
  <c r="D87" i="69" s="1"/>
  <c r="B69" i="69"/>
  <c r="D17" i="69"/>
  <c r="D37" i="69"/>
  <c r="D38" i="69"/>
  <c r="D40" i="69"/>
  <c r="D36" i="69"/>
  <c r="B35" i="69"/>
  <c r="D35" i="69" s="1"/>
  <c r="D34" i="69"/>
  <c r="D25" i="69"/>
  <c r="D13" i="69"/>
  <c r="D14" i="69"/>
  <c r="D15" i="69"/>
  <c r="D16" i="69"/>
  <c r="D18" i="69"/>
  <c r="B142" i="69"/>
  <c r="D115" i="69"/>
  <c r="D118" i="69"/>
  <c r="D116" i="69"/>
  <c r="D113" i="69"/>
  <c r="B110" i="69"/>
  <c r="B112" i="69" s="1"/>
  <c r="D112" i="69" s="1"/>
  <c r="B106" i="69"/>
  <c r="D106" i="69" s="1"/>
  <c r="D107" i="69"/>
  <c r="B92" i="69"/>
  <c r="D31" i="69"/>
  <c r="D142" i="69" l="1"/>
  <c r="B143" i="69"/>
  <c r="B89" i="69"/>
  <c r="D89" i="69" s="1"/>
  <c r="B88" i="69"/>
  <c r="D88" i="69" s="1"/>
  <c r="D39" i="69"/>
  <c r="D32" i="69"/>
  <c r="D141" i="69"/>
  <c r="D103" i="69"/>
  <c r="B117" i="69"/>
  <c r="D117" i="69" s="1"/>
  <c r="B105" i="69"/>
  <c r="D105" i="69" s="1"/>
  <c r="B93" i="69"/>
  <c r="D82" i="69"/>
  <c r="D81" i="69"/>
  <c r="B144" i="69" l="1"/>
  <c r="D143" i="69"/>
  <c r="D5" i="69"/>
  <c r="D29" i="69"/>
  <c r="B145" i="69" l="1"/>
  <c r="D144" i="69"/>
  <c r="B68" i="69"/>
  <c r="B55" i="69"/>
  <c r="B56" i="69" s="1"/>
  <c r="B146" i="69" l="1"/>
  <c r="D146" i="69" s="1"/>
  <c r="D145" i="69"/>
  <c r="D114" i="69"/>
  <c r="D94" i="69" l="1"/>
  <c r="D136" i="69"/>
  <c r="D137" i="69"/>
  <c r="D135" i="69"/>
  <c r="B77" i="69"/>
  <c r="B70" i="69"/>
  <c r="D92" i="69" l="1"/>
  <c r="D93" i="69"/>
  <c r="D101" i="69" l="1"/>
  <c r="B111" i="69"/>
  <c r="D111" i="69" s="1"/>
  <c r="B100" i="69"/>
  <c r="D100" i="69" s="1"/>
  <c r="D12" i="69"/>
  <c r="D75" i="69"/>
  <c r="B99" i="69" l="1"/>
  <c r="D99" i="69" s="1"/>
  <c r="D110" i="69"/>
  <c r="D98" i="69"/>
  <c r="B76" i="69"/>
  <c r="D76" i="69" s="1"/>
  <c r="C71" i="69" l="1"/>
  <c r="D71" i="69" s="1"/>
  <c r="D70" i="69"/>
  <c r="D4" i="69"/>
  <c r="D3" i="69"/>
  <c r="D68" i="69" l="1"/>
  <c r="D69" i="69"/>
  <c r="D63" i="69" l="1"/>
  <c r="D77" i="69"/>
  <c r="D56" i="69"/>
  <c r="D55" i="69" l="1"/>
  <c r="D45" i="69"/>
  <c r="D30" i="69"/>
  <c r="D11" i="69"/>
  <c r="D10" i="69"/>
  <c r="J2" i="58" l="1"/>
  <c r="C2" i="58"/>
  <c r="B2" i="58"/>
  <c r="F9" i="57"/>
  <c r="E9" i="57"/>
  <c r="D3" i="57"/>
  <c r="F3" i="57" s="1"/>
  <c r="D4" i="57"/>
  <c r="F4" i="57" s="1"/>
  <c r="D5" i="57"/>
  <c r="E5" i="57" s="1"/>
  <c r="D6" i="57"/>
  <c r="E6" i="57" s="1"/>
  <c r="D7" i="57"/>
  <c r="E7" i="57" s="1"/>
  <c r="D8" i="57"/>
  <c r="E8" i="57" s="1"/>
  <c r="D2" i="57"/>
  <c r="E2" i="57" s="1"/>
  <c r="F192" i="69"/>
  <c r="D191" i="69"/>
  <c r="F189" i="69"/>
  <c r="D190" i="69"/>
  <c r="E163" i="69" a="1"/>
  <c r="F187" i="69"/>
  <c r="F188" i="69"/>
  <c r="F191" i="69"/>
  <c r="F190" i="69"/>
  <c r="D192" i="69"/>
  <c r="D189" i="69"/>
  <c r="D188" i="69"/>
  <c r="D187" i="69"/>
  <c r="E3" i="57" l="1"/>
  <c r="E4" i="57"/>
  <c r="F2" i="57"/>
  <c r="F8" i="57"/>
  <c r="E2" i="58"/>
  <c r="I2" i="58" s="1"/>
  <c r="F6" i="57"/>
  <c r="F7" i="57"/>
  <c r="F5" i="57"/>
  <c r="E163" i="69"/>
  <c r="D181" i="69"/>
  <c r="F164" i="69"/>
  <c r="F186" i="69"/>
  <c r="D179" i="69"/>
  <c r="D166" i="69"/>
  <c r="D167" i="69"/>
  <c r="F174" i="69"/>
  <c r="D186" i="69"/>
  <c r="D174" i="69"/>
  <c r="F183" i="69"/>
  <c r="D172" i="69"/>
  <c r="F175" i="69"/>
  <c r="D168" i="69"/>
  <c r="F181" i="69"/>
  <c r="D165" i="69"/>
  <c r="F173" i="69"/>
  <c r="D171" i="69"/>
  <c r="D176" i="69"/>
  <c r="F167" i="69"/>
  <c r="F185" i="69"/>
  <c r="D183" i="69"/>
  <c r="D184" i="69"/>
  <c r="F170" i="69"/>
  <c r="F177" i="69"/>
  <c r="D178" i="69"/>
  <c r="F184" i="69"/>
  <c r="F176" i="69"/>
  <c r="F172" i="69"/>
  <c r="F180" i="69"/>
  <c r="D180" i="69"/>
  <c r="D170" i="69"/>
  <c r="D175" i="69"/>
  <c r="D177" i="69"/>
  <c r="D169" i="69"/>
  <c r="F171" i="69"/>
  <c r="F179" i="69"/>
  <c r="D173" i="69"/>
  <c r="F169" i="69"/>
  <c r="D185" i="69"/>
  <c r="F166" i="69"/>
  <c r="D182" i="69"/>
  <c r="F178" i="69"/>
  <c r="F168" i="69"/>
  <c r="D164" i="69"/>
  <c r="F182" i="69"/>
  <c r="F165" i="69"/>
  <c r="F163" i="69"/>
  <c r="G2" i="58" l="1"/>
  <c r="D163" i="6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<sst xmlns="http://schemas.openxmlformats.org/spreadsheetml/2006/main" count="1941" uniqueCount="818">
  <si>
    <t>Item</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</si>
  <si>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</si>
  <si>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</si>
  <si>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</si>
  <si>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</si>
  <si>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</si>
  <si>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</si>
  <si>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</si>
  <si>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</si>
  <si>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</si>
  <si>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</si>
  <si>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</si>
  <si>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</si>
  <si>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</si>
  <si>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</si>
  <si>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</si>
  <si>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</si>
  <si>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</si>
  <si>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</si>
  <si>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</si>
  <si>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</si>
  <si>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</si>
  <si>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</si>
  <si>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</si>
  <si>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</si>
  <si>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</si>
  <si>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</si>
  <si>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</si>
  <si>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</si>
  <si>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</si>
  <si>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-VR72 50MW SweetWater Design</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</si>
  <si>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</si>
  <si>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</si>
  <si>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</si>
  <si>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</si>
  <si>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</si>
  <si>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</si>
  <si>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</si>
  <si>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</si>
  <si>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</si>
  <si>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</si>
  <si>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</si>
  <si>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</si>
  <si>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</si>
  <si>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</si>
  <si>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</si>
  <si>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</si>
  <si>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</si>
  <si>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</si>
  <si>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</si>
  <si>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E-W Switches</t>
  </si>
  <si>
    <t>Count</t>
  </si>
  <si>
    <t>Spares</t>
  </si>
  <si>
    <t>Sub-Total</t>
  </si>
  <si>
    <t>Model/PN</t>
  </si>
  <si>
    <t>Description</t>
  </si>
  <si>
    <t>Notes</t>
  </si>
  <si>
    <t xml:space="preserve">E-W Leaf </t>
  </si>
  <si>
    <t>920-9N62F-00LI-GC0</t>
  </si>
  <si>
    <t>NVIDIA Spectrum-6 based 800GbE Ethernet switch with Cumulus Linux Authentication, 64 OSFP, 1 QSFP112, 48VDC Busbar, 8-Cores CPU, Secure-boot, Liquid-Cooling, Rail-Kit.D39</t>
  </si>
  <si>
    <t>E-W Spine</t>
  </si>
  <si>
    <t>E-W Core</t>
  </si>
  <si>
    <t xml:space="preserve"> </t>
  </si>
  <si>
    <t>N-S Switches</t>
  </si>
  <si>
    <t>N-S Leaf (TAN)</t>
  </si>
  <si>
    <t>920-9N42F-00RI-KC0</t>
  </si>
  <si>
    <t>NVDA SN5600D,OSFP,DCBB,64P,C2P(I/P),CMLS</t>
  </si>
  <si>
    <t>N-S Spine</t>
  </si>
  <si>
    <t>Storage Leaf</t>
  </si>
  <si>
    <t>storage Spine</t>
  </si>
  <si>
    <t>Control Leaf</t>
  </si>
  <si>
    <t>Control Spine</t>
  </si>
  <si>
    <t>N-S Core</t>
  </si>
  <si>
    <t xml:space="preserve">CMX Leaf </t>
  </si>
  <si>
    <t>IREN Control Leaf</t>
  </si>
  <si>
    <t>OOB Switches</t>
  </si>
  <si>
    <t>OOB ToR NW</t>
  </si>
  <si>
    <t>920-9N110-01R1-NC0 (DPN: J2MV9)</t>
  </si>
  <si>
    <t>SN2201 48x1G + 4x100G, DC Busbar Air Cooled</t>
  </si>
  <si>
    <t xml:space="preserve">Does not include ToR for storage/GPU racks. / optics/cables </t>
  </si>
  <si>
    <t>OOB Aggregator</t>
  </si>
  <si>
    <t xml:space="preserve"> 32 × QSFP‑DD 400 GbE ports</t>
  </si>
  <si>
    <t>Core Switches</t>
  </si>
  <si>
    <t>OOB BorderLeaf</t>
  </si>
  <si>
    <t>IREN WILL PROVIDE</t>
  </si>
  <si>
    <t>Racks, PDUs and CDUs</t>
  </si>
  <si>
    <t>GPU Racks</t>
  </si>
  <si>
    <t>[GPU RACK] VR72</t>
  </si>
  <si>
    <t xml:space="preserve"> VR72 GPU Racks</t>
  </si>
  <si>
    <t>T1 E-W NtwkRack</t>
  </si>
  <si>
    <t>IR9000/750mmx1200mm/48U</t>
  </si>
  <si>
    <t>T2 E-W NtwkRack</t>
  </si>
  <si>
    <t>48U x750mm x1200mm</t>
  </si>
  <si>
    <t>T1/T2 N-S NtwkRack</t>
  </si>
  <si>
    <t>Air IR9048 w/2x 33 kW power shelves; w/o manifold</t>
  </si>
  <si>
    <t>T2 N-S NtwkRack</t>
  </si>
  <si>
    <t>T3 N-S NtwkRack</t>
  </si>
  <si>
    <t>T1/T2 Storage Leaf/Spine</t>
  </si>
  <si>
    <t>T1/T2 Control Leaf / Spine</t>
  </si>
  <si>
    <t>IREN Control Leaf/racks</t>
  </si>
  <si>
    <t>OOB/AGGR/Storage/Control Racks</t>
  </si>
  <si>
    <t>PDU 3Ph, 415V, 60A</t>
  </si>
  <si>
    <t>Andrew to Confirm</t>
  </si>
  <si>
    <t>RDHx CL20</t>
  </si>
  <si>
    <t>Patch Panels / Shuffle Componets Side Car</t>
  </si>
  <si>
    <t>Cassette /SU for Leaf Rack GPU to Leaf [Hosted in Leaf rack]</t>
  </si>
  <si>
    <t>4x4 shuffle unit = 432 x 18 [4x4] + 144 x 9[4x4]</t>
  </si>
  <si>
    <t xml:space="preserve">Cassette /SU for Leaf Rack to Spine Rack [Hosted in Spine Rack] </t>
  </si>
  <si>
    <t>4x4 shuffle unit = 360 x 18 [4x4] + 200 x 9[4x4]</t>
  </si>
  <si>
    <t>FiberPanel</t>
  </si>
  <si>
    <t>Shuffle Racks</t>
  </si>
  <si>
    <t>Shuffle Boxes (Passive &amp; Openframe) [4x4 Shufflers]</t>
  </si>
  <si>
    <t>Side Car</t>
  </si>
  <si>
    <t>Jumper Cable from Fiber Panel to Leaf switch</t>
  </si>
  <si>
    <t>Jumper Cable from Fiber Panel to Spine switch</t>
  </si>
  <si>
    <r>
      <t xml:space="preserve">East-West </t>
    </r>
    <r>
      <rPr>
        <b/>
        <sz val="10"/>
        <color theme="9" tint="-0.249977111117893"/>
        <rFont val="Calibri"/>
        <family val="2"/>
      </rPr>
      <t>NIC-LEAF</t>
    </r>
    <r>
      <rPr>
        <b/>
        <sz val="10"/>
        <rFont val="Calibri"/>
        <family val="2"/>
      </rPr>
      <t xml:space="preserve"> : Transceiver/Fiber/Cable</t>
    </r>
  </si>
  <si>
    <t>E-W NIC-Leaf Link NIC Xcvr</t>
  </si>
  <si>
    <t>980-9IAJ0-00XM00</t>
  </si>
  <si>
    <t>NVIDIA twin port transceiver, 2xDR4, 1600Gbps, OSFP, 2xMPO(APC), 1310nm SMF, up to 500m, RHS, TRO, Ethernet Only</t>
  </si>
  <si>
    <t>E-W NIC-Leaf Link NIC Xcvr Cable</t>
  </si>
  <si>
    <t>MFP7E30-N050</t>
  </si>
  <si>
    <t>MPO-12/APC to MPO-12/APC cable, 1310nm SMF OS2, 100m max, 50 M</t>
  </si>
  <si>
    <t>E-W NIC-Leaf Link Leaf Xcvr</t>
  </si>
  <si>
    <r>
      <t xml:space="preserve">East-West </t>
    </r>
    <r>
      <rPr>
        <b/>
        <sz val="10"/>
        <color theme="8"/>
        <rFont val="Calibri"/>
        <family val="2"/>
      </rPr>
      <t>LEAF-SPINE</t>
    </r>
    <r>
      <rPr>
        <b/>
        <sz val="10"/>
        <rFont val="Calibri"/>
        <family val="2"/>
      </rPr>
      <t xml:space="preserve"> : Transceiver and Fiber/Cable</t>
    </r>
  </si>
  <si>
    <t>E-W Leaf-Spine Link Leaf Xcvr</t>
  </si>
  <si>
    <t>E-W Leaf-Spine Link Leaf Xcvr Cable</t>
  </si>
  <si>
    <t>Cables: Leaf to Spine</t>
  </si>
  <si>
    <t>E-W Leaf-Spine Link Spine Xcvr</t>
  </si>
  <si>
    <t>Optics: Spine to Leaf</t>
  </si>
  <si>
    <r>
      <t xml:space="preserve">North-South </t>
    </r>
    <r>
      <rPr>
        <b/>
        <sz val="10"/>
        <color theme="9" tint="-0.249977111117893"/>
        <rFont val="Calibri"/>
        <family val="2"/>
      </rPr>
      <t>NIC-LEAF</t>
    </r>
    <r>
      <rPr>
        <b/>
        <sz val="10"/>
        <rFont val="Calibri"/>
        <family val="2"/>
      </rPr>
      <t xml:space="preserve"> : Transceiver and Fiber/Cable</t>
    </r>
  </si>
  <si>
    <t>N-S NIC-Leaf Link NIC Xcvr</t>
  </si>
  <si>
    <t>MMS1X00-NS400</t>
  </si>
  <si>
    <t>NVIDIA single port transceiver, 400Gbps, NDR, QSFP112, MPO, 1310nm SMF, up to 500m, flat top</t>
  </si>
  <si>
    <t>N-S NIC-Leaf Link Leaf Xcvr</t>
  </si>
  <si>
    <t>MMS4X00-NM-T</t>
  </si>
  <si>
    <t>NVIDIA TWIN PORT TRANSCEIVER, 800GBPS,2X400GbE, OSFP, 2XMPO, 1310NM SMF, UP TO 500M, FINNED</t>
  </si>
  <si>
    <t>N-S NIC-Leaf Link Leaf Xcvr Cable</t>
  </si>
  <si>
    <r>
      <t>North-South</t>
    </r>
    <r>
      <rPr>
        <b/>
        <sz val="10"/>
        <color theme="8"/>
        <rFont val="Calibri"/>
        <family val="2"/>
      </rPr>
      <t xml:space="preserve"> LEAF-SPINE</t>
    </r>
    <r>
      <rPr>
        <b/>
        <sz val="10"/>
        <rFont val="Calibri"/>
        <family val="2"/>
      </rPr>
      <t xml:space="preserve"> : Transceiver and Fiber/Cable</t>
    </r>
  </si>
  <si>
    <t>N-S Leaf-Spine Link Leaf Xcvr</t>
  </si>
  <si>
    <t>Optics: Leaf to Spine</t>
  </si>
  <si>
    <t>N-S Leaf-Spine Link Leaf Xcvr Cable</t>
  </si>
  <si>
    <t>N-S Leaf-Spine Link Spine Xcvr</t>
  </si>
  <si>
    <r>
      <t xml:space="preserve">North-South CMX </t>
    </r>
    <r>
      <rPr>
        <b/>
        <sz val="10"/>
        <color theme="9" tint="-0.249977111117893"/>
        <rFont val="Calibri"/>
        <family val="2"/>
      </rPr>
      <t>NIC-LEAF</t>
    </r>
    <r>
      <rPr>
        <b/>
        <sz val="10"/>
        <rFont val="Calibri"/>
        <family val="2"/>
      </rPr>
      <t xml:space="preserve"> : Transceiver and Fiber/Cable</t>
    </r>
  </si>
  <si>
    <t>N-S CMX NIC-Leaf Link CMX NIC Xcvr</t>
  </si>
  <si>
    <t>N-S CMX NIC-Leaf Link Leaf Xcvr</t>
  </si>
  <si>
    <t>N-S CMX NIC-Leaf Link Leaf Xcvr Cable</t>
  </si>
  <si>
    <r>
      <t>North-South</t>
    </r>
    <r>
      <rPr>
        <b/>
        <sz val="10"/>
        <color theme="8"/>
        <rFont val="Calibri"/>
        <family val="2"/>
      </rPr>
      <t xml:space="preserve"> CMX LEAF-SPINE</t>
    </r>
    <r>
      <rPr>
        <b/>
        <sz val="10"/>
        <rFont val="Calibri"/>
        <family val="2"/>
      </rPr>
      <t xml:space="preserve"> : Transceiver and Fiber/Cable</t>
    </r>
  </si>
  <si>
    <t>N-S CMX Leaf-Spine Link Leaf Xcvr</t>
  </si>
  <si>
    <t>N-S CMX Leaf-Spine Link Leaf Xcvr Cable</t>
  </si>
  <si>
    <t>N-S CMX Leaf-Spine Link Spine Xcvr</t>
  </si>
  <si>
    <r>
      <t xml:space="preserve">North-South </t>
    </r>
    <r>
      <rPr>
        <b/>
        <sz val="10"/>
        <color theme="8"/>
        <rFont val="Calibri"/>
        <family val="2"/>
      </rPr>
      <t>SPINE-Core</t>
    </r>
    <r>
      <rPr>
        <b/>
        <sz val="10"/>
        <rFont val="Calibri"/>
        <family val="2"/>
      </rPr>
      <t xml:space="preserve"> : Transceiver and Fiber/Cable</t>
    </r>
  </si>
  <si>
    <t>N-S Spine-Core Link Spine Xcvr</t>
  </si>
  <si>
    <t>N-S Spine-Core Link Spine Cable</t>
  </si>
  <si>
    <t>N-S Spine-Core Link Core Xcvr</t>
  </si>
  <si>
    <r>
      <t>North-South</t>
    </r>
    <r>
      <rPr>
        <b/>
        <sz val="10"/>
        <color theme="8"/>
        <rFont val="Calibri"/>
        <family val="2"/>
      </rPr>
      <t xml:space="preserve"> Storage POD</t>
    </r>
    <r>
      <rPr>
        <b/>
        <sz val="10"/>
        <rFont val="Calibri"/>
        <family val="2"/>
      </rPr>
      <t>: Transceiver and Fiber/Cable</t>
    </r>
  </si>
  <si>
    <t>N-S Storage Leaf-Spine Link Leaf Xcvr</t>
  </si>
  <si>
    <t>N-S Storage  Leaf-Spine Link Leaf Xcvr Cable</t>
  </si>
  <si>
    <t>N-S Storage Leaf-Spine Link Spine Xcvr</t>
  </si>
  <si>
    <t>N-S Storage Leaf-Compute Link Leaf Xcvr</t>
  </si>
  <si>
    <t>N-S Storage Leaf-Compute Link  Cable</t>
  </si>
  <si>
    <t>N-S Storage Leaf-Compute Link  Xcvr</t>
  </si>
  <si>
    <t>N-S Storage Spine-Core Link Spine Xcvr</t>
  </si>
  <si>
    <t>N-S Storage Spine-Core Link Spine Xcvr Cable</t>
  </si>
  <si>
    <r>
      <t>North-South</t>
    </r>
    <r>
      <rPr>
        <b/>
        <sz val="10"/>
        <color theme="8"/>
        <rFont val="Calibri"/>
        <family val="2"/>
      </rPr>
      <t xml:space="preserve"> Control POD</t>
    </r>
    <r>
      <rPr>
        <b/>
        <sz val="10"/>
        <rFont val="Calibri"/>
        <family val="2"/>
      </rPr>
      <t>: Transceiver and Fiber/Cable</t>
    </r>
  </si>
  <si>
    <t>N-S Control Leaf-Spine Link Leaf Xcvr</t>
  </si>
  <si>
    <t>N-S Control Leaf-Spine Link Leaf Xcvr Cable</t>
  </si>
  <si>
    <t>N-S Control Leaf-Spine Link Spine Xcvr</t>
  </si>
  <si>
    <t>N-S Control Leaf-Compute Leaf Xcvr</t>
  </si>
  <si>
    <t>N-S Control Leaf-Compute Leaf Cable</t>
  </si>
  <si>
    <t>MFP7E40-N050</t>
  </si>
  <si>
    <t>MPO12 APC to 2xMPO12 APC, 50 m long</t>
  </si>
  <si>
    <t>N-S Control Leaf-Compute Xcvr</t>
  </si>
  <si>
    <t>BF3140 - connect to Z9864F at 200G</t>
  </si>
  <si>
    <t>N-S Control Spine-Core Link Spine Xcvr</t>
  </si>
  <si>
    <t>N-S Control Spine-Core Link Spine Xcvr Cable</t>
  </si>
  <si>
    <t>OOB Cluster : Transceiver and Fiber/Cable</t>
  </si>
  <si>
    <t>OOB ToR Cable to end nodes</t>
  </si>
  <si>
    <t>Cat 6</t>
  </si>
  <si>
    <t xml:space="preserve">Cat 6 </t>
  </si>
  <si>
    <t>OOB ToR-AGG Link ToR Xcvr</t>
  </si>
  <si>
    <t>980-9I042- 00C000</t>
  </si>
  <si>
    <t>Mellanox transceiver, 100GbE, QSFP28, LC-LC, 1310nm, DR1</t>
  </si>
  <si>
    <t>OOB ToR-AGG Link ToR Xcvr Cable</t>
  </si>
  <si>
    <t>A7204378 </t>
  </si>
  <si>
    <t>Switch Xcvr to LC Patch Panel LC-LC short leg patch cable, Other end is MPO to 4xLC to OOB Spine</t>
  </si>
  <si>
    <t>OOB ToR-AGG Link AGGR  Cable</t>
  </si>
  <si>
    <t>470-ABGH</t>
  </si>
  <si>
    <t>Switch Xcvr to LC Patch Panel MPO-4xLC short leg patch cable, Other end is LC to OOB Leafs</t>
  </si>
  <si>
    <t xml:space="preserve">only 5M is available </t>
  </si>
  <si>
    <t xml:space="preserve">4x100G Patch Panel </t>
  </si>
  <si>
    <t>Corning 4x100 Breakout PP</t>
  </si>
  <si>
    <t xml:space="preserve">Final Count will come from Actual BOM </t>
  </si>
  <si>
    <t xml:space="preserve">OOB ToR-AGG Link AGGR Xcvr </t>
  </si>
  <si>
    <t>OOB Core-Border leaf Link OOB Core Xcvr</t>
  </si>
  <si>
    <t>OOB Core-Border Link Border Xcvr Cable</t>
  </si>
  <si>
    <t xml:space="preserve">OOB Core-Border Link Border Xcvr </t>
  </si>
  <si>
    <t xml:space="preserve">400G-QSFP-DR4 </t>
  </si>
  <si>
    <t>OOB AGGR-OOB Core link AGGR Xcvr</t>
  </si>
  <si>
    <t>OOB AGGR-OOB Core Link AGGR Xcvr Cable</t>
  </si>
  <si>
    <t xml:space="preserve">OOB AGG-OOB Core Link Core Xcvr </t>
  </si>
  <si>
    <t>Border Leaf : Transceiver and Fiber/Cable</t>
  </si>
  <si>
    <t xml:space="preserve">Border Leaf to Control Spine - Border leaf tranceiver </t>
  </si>
  <si>
    <t>400G-QSFP-DD</t>
  </si>
  <si>
    <t>Border Leaf to  Control Spine- Border leaf - Converged core Cable</t>
  </si>
  <si>
    <t xml:space="preserve">Border Leaf to  Control Spine- Border Converged core tranceiver </t>
  </si>
  <si>
    <r>
      <t>North-South</t>
    </r>
    <r>
      <rPr>
        <b/>
        <sz val="10"/>
        <color theme="8"/>
        <rFont val="Calibri"/>
        <family val="2"/>
      </rPr>
      <t xml:space="preserve"> IREN Control POD</t>
    </r>
    <r>
      <rPr>
        <b/>
        <sz val="10"/>
        <rFont val="Calibri"/>
        <family val="2"/>
      </rPr>
      <t>: Transceiver and Fiber/Cable</t>
    </r>
  </si>
  <si>
    <t>N-S Control Leaf-Core Link Leaf Xcvr</t>
  </si>
  <si>
    <t>N-S Control Leaf-Core Link Leaf Xcvr Cable</t>
  </si>
  <si>
    <t>N-S Control Leaf-Core Link Spine Xcvr</t>
  </si>
  <si>
    <r>
      <t>GPU</t>
    </r>
    <r>
      <rPr>
        <b/>
        <sz val="10"/>
        <color theme="8"/>
        <rFont val="Calibri"/>
        <family val="2"/>
      </rPr>
      <t xml:space="preserve"> </t>
    </r>
    <r>
      <rPr>
        <b/>
        <sz val="10"/>
        <rFont val="Calibri"/>
        <family val="2"/>
      </rPr>
      <t>: Front End</t>
    </r>
  </si>
  <si>
    <t>[GPU RACK] 920-9N110-01R1-NC0 (DPN: J2MV9)</t>
  </si>
  <si>
    <t>SN2201 48x1G + 4x100G, DC Busbar Air Cooled [TOR SWITCHES ARE COUNTED IN GPU BOM]</t>
  </si>
  <si>
    <t>[GPU RACK]  980-9I042- 00C000</t>
  </si>
  <si>
    <t xml:space="preserve">SN2201 Uplink Transceiver OOB aggregation </t>
  </si>
  <si>
    <t>[GPU RACK] Cat 6</t>
  </si>
  <si>
    <t>[GPU RACK] A7204378 </t>
  </si>
  <si>
    <t>Row End Range for Column D
 (MUST Be Set Correctly)</t>
  </si>
  <si>
    <t>Row End Range for Column E
 (MUST Be Set Correctly)</t>
  </si>
  <si>
    <t>Row End Range for Column F
 (MUST Be Set Correctly)</t>
  </si>
  <si>
    <t>D154</t>
  </si>
  <si>
    <t>E154</t>
  </si>
  <si>
    <t>F154</t>
  </si>
  <si>
    <r>
      <t>* READ: For the table below to work, be sure check that the</t>
    </r>
    <r>
      <rPr>
        <b/>
        <sz val="10"/>
        <rFont val="Calibri"/>
        <family val="2"/>
      </rPr>
      <t xml:space="preserve"> "</t>
    </r>
    <r>
      <rPr>
        <b/>
        <sz val="10"/>
        <color theme="7" tint="-0.249977111117893"/>
        <rFont val="Calibri"/>
        <family val="2"/>
      </rPr>
      <t>Row End Range</t>
    </r>
    <r>
      <rPr>
        <b/>
        <sz val="10"/>
        <rFont val="Calibri"/>
        <family val="2"/>
      </rPr>
      <t>"</t>
    </r>
    <r>
      <rPr>
        <b/>
        <sz val="10"/>
        <color rgb="FF000000"/>
        <rFont val="Calibri"/>
        <family val="2"/>
      </rPr>
      <t xml:space="preserve"> cell include the last row # of the table above.
                  Also, make sure each line item in the source table above has an associate</t>
    </r>
    <r>
      <rPr>
        <b/>
        <sz val="10"/>
        <rFont val="Calibri"/>
        <family val="2"/>
      </rPr>
      <t>d "Model/PN</t>
    </r>
    <r>
      <rPr>
        <b/>
        <sz val="10"/>
        <color rgb="FF000000"/>
        <rFont val="Calibri"/>
        <family val="2"/>
      </rPr>
      <t>"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r>
  </si>
  <si>
    <t>Summary Table</t>
  </si>
  <si>
    <t>DPN</t>
  </si>
  <si>
    <t>SKU</t>
  </si>
  <si>
    <t>Item Model/PN</t>
  </si>
  <si>
    <t>Total</t>
  </si>
  <si>
    <t>32 spines, 4 racks x 8-plane</t>
  </si>
  <si>
    <t>4 spines, 1 racks x 8-plane</t>
  </si>
  <si>
    <t>750mm</t>
  </si>
  <si>
    <t>RU</t>
  </si>
  <si>
    <t>T1 E-W Rail1-2.A Plane1-4</t>
  </si>
  <si>
    <t>T1 E-W Rail1-2.B Plane5-8</t>
  </si>
  <si>
    <t>T1 E-W Rail3-4.A Plane1-4</t>
  </si>
  <si>
    <t>T1 E-W Rail3-4.B Plane5-8</t>
  </si>
  <si>
    <t>T2 E-W</t>
  </si>
  <si>
    <t>T1/T2 N-S</t>
  </si>
  <si>
    <t>T3 N-S</t>
  </si>
  <si>
    <t>N-S CTRL Spine+STORAGE LEAF SPINE</t>
  </si>
  <si>
    <t>IREN CONTROL POD</t>
  </si>
  <si>
    <t>4x12 vertical manager</t>
  </si>
  <si>
    <t>OOB ToR #1</t>
  </si>
  <si>
    <t>9 4x4Shuffle (3blade)</t>
  </si>
  <si>
    <t>Storage BE OOB ToR #1</t>
  </si>
  <si>
    <t>18 4x4Shuffle (3blade)</t>
  </si>
  <si>
    <t>Storage BE OOB ToR #2</t>
  </si>
  <si>
    <t>CTRL Leaf #1</t>
  </si>
  <si>
    <t>OOB ToR #2</t>
  </si>
  <si>
    <t>Storage BE OOB ToR #3</t>
  </si>
  <si>
    <t>IREN OOB ToR #3</t>
  </si>
  <si>
    <t>CSP OOB ToR #4</t>
  </si>
  <si>
    <t>Storage BE OOB ToR #4</t>
  </si>
  <si>
    <t>1RU POWER SHELF</t>
  </si>
  <si>
    <t>CTRL Leaf #2</t>
  </si>
  <si>
    <t>O-OOB # 5</t>
  </si>
  <si>
    <t>Backend STORAGE leaf  #2</t>
  </si>
  <si>
    <t>Dell IRC</t>
  </si>
  <si>
    <t>OOB AGG # 1</t>
  </si>
  <si>
    <t>Cross-Brace</t>
  </si>
  <si>
    <t>E-W Leaf #2.A SN6600-LD Plane4</t>
  </si>
  <si>
    <t>E-W Leaf #2.B SN6600-LD Plane8</t>
  </si>
  <si>
    <t>E-W Leaf #4.A SN6600-LD Plane4</t>
  </si>
  <si>
    <t>E-W Leaf #4.B SN6600-LD Plane8</t>
  </si>
  <si>
    <t>E-W Spine #8 SN6600-LD</t>
  </si>
  <si>
    <t>Backend STORAGE leaf  #1</t>
  </si>
  <si>
    <t>4x100G Breakout PP</t>
  </si>
  <si>
    <t>OOB CORE # 1</t>
  </si>
  <si>
    <t>E-W Leaf #2.A SN6600-LD Plane3</t>
  </si>
  <si>
    <t>E-W Leaf #2.B SN6600-LD Plane7</t>
  </si>
  <si>
    <t>E-W Leaf #4.A SN6600-LD Plane3</t>
  </si>
  <si>
    <t>E-W Leaf #4.B SN6600-LD Plane7</t>
  </si>
  <si>
    <t>E-W Spine #7 SN6600-LD</t>
  </si>
  <si>
    <t>STORAGE SPINE #4</t>
  </si>
  <si>
    <t>CTRL SPINE #1</t>
  </si>
  <si>
    <t>E-W Leaf #2.A SN6600-LD Plane2</t>
  </si>
  <si>
    <t>E-W Leaf #2.B SN6600-LD Plane6</t>
  </si>
  <si>
    <t>E-W Leaf #4.A SN6600-LD Plane2</t>
  </si>
  <si>
    <t>E-W Leaf #4.B SN6600-LD Plane6</t>
  </si>
  <si>
    <t>E-W Spine #6 SN6600-LD</t>
  </si>
  <si>
    <t>N-S Spine #3</t>
  </si>
  <si>
    <t>N-S Spine #4</t>
  </si>
  <si>
    <t>STORAGE SPINE #3</t>
  </si>
  <si>
    <t>E-W Leaf #2.A SN6600-LD Plane1</t>
  </si>
  <si>
    <t>E-W Leaf #2.B SN6600-LD Plane5</t>
  </si>
  <si>
    <t>E-W Leaf #4.A SN6600-LD Plane1</t>
  </si>
  <si>
    <t>E-W Leaf #4.B SN6600-LD Plane5</t>
  </si>
  <si>
    <t>E-W Spine #5 SN6600-LD</t>
  </si>
  <si>
    <t>N-S Spine #1</t>
  </si>
  <si>
    <t>N-S Spine #2</t>
  </si>
  <si>
    <t>N-S Core #6(Group 1)</t>
  </si>
  <si>
    <t>N-S Core #6(Group 2)</t>
  </si>
  <si>
    <t>N-S Core #6(Group 3)</t>
  </si>
  <si>
    <t>N-S Core #6(Group 4)</t>
  </si>
  <si>
    <t>STORAGE SPINE #2</t>
  </si>
  <si>
    <t>CTRL Leaf # 2</t>
  </si>
  <si>
    <t>N-S Core #5(Group 1)</t>
  </si>
  <si>
    <t>N-S Core #5(Group 2)</t>
  </si>
  <si>
    <t>N-S Core #5(Group 3)</t>
  </si>
  <si>
    <t>N-S Core #5(Group 4)</t>
  </si>
  <si>
    <t>STORAGE SPINE #1</t>
  </si>
  <si>
    <t>N-S Leaf #7</t>
  </si>
  <si>
    <t>N-S Leaf #8</t>
  </si>
  <si>
    <t>N-S Core #4(Group 1)</t>
  </si>
  <si>
    <t>N-S Core #4(Group 2)</t>
  </si>
  <si>
    <t>N-S Core #4(Group 3)</t>
  </si>
  <si>
    <t>N-S Core #4(Group 4)</t>
  </si>
  <si>
    <t>STORAGE LEAF #4</t>
  </si>
  <si>
    <t>E-W Leaf #1.A SN6600-LD Plane4</t>
  </si>
  <si>
    <t>E-W Leaf #1.B SN6600-LD Plane8</t>
  </si>
  <si>
    <t>E-W Leaf #3.A SN6600-LD Plane4</t>
  </si>
  <si>
    <t>E-W Leaf #3.B SN6600-LD Plane8</t>
  </si>
  <si>
    <t>E-W Spine #4 SN6600-LD</t>
  </si>
  <si>
    <t>N-S Leaf #5</t>
  </si>
  <si>
    <t>N-S Leaf #6</t>
  </si>
  <si>
    <t>N-S Core #3(Group 1)</t>
  </si>
  <si>
    <t>N-S Core #3(Group 2)</t>
  </si>
  <si>
    <t>N-S Core #3(Group 3)</t>
  </si>
  <si>
    <t>N-S Core #3(Group 4)</t>
  </si>
  <si>
    <t>STORAGE LEAF  #3</t>
  </si>
  <si>
    <t>Compute M9825 # 1</t>
  </si>
  <si>
    <t>E-W Leaf #1.A SN6600-LD Plane3</t>
  </si>
  <si>
    <t>E-W Leaf #1.B SN6600-LD Plane7</t>
  </si>
  <si>
    <t>E-W Leaf #3.A SN6600-LD Plane3</t>
  </si>
  <si>
    <t>E-W Leaf #3.B SN6600-LD Plane7</t>
  </si>
  <si>
    <t>E-W Spine #3 SN6600-LD</t>
  </si>
  <si>
    <t>Compute M9825 # 2</t>
  </si>
  <si>
    <t>Compute M9825 # 3</t>
  </si>
  <si>
    <t>N-S Leaf #3</t>
  </si>
  <si>
    <t>N-S Leaf #4</t>
  </si>
  <si>
    <t>N-S Core #2(Group 1)</t>
  </si>
  <si>
    <t>N-S Core #2(Group 2)</t>
  </si>
  <si>
    <t>N-S Core #2(Group 3)</t>
  </si>
  <si>
    <t>N-S Core #2(Group 4)</t>
  </si>
  <si>
    <t>STORAGE Leaf #2</t>
  </si>
  <si>
    <t>Compute M9825 # 4</t>
  </si>
  <si>
    <t>E-W Leaf #1.A SN6600-LD Plane2</t>
  </si>
  <si>
    <t>E-W Leaf #1.B SN6600-LD Plane6</t>
  </si>
  <si>
    <t>E-W Leaf #3.A SN6600-LD Plane2</t>
  </si>
  <si>
    <t>E-W Leaf #3.B SN6600-LD Plane6</t>
  </si>
  <si>
    <t>E-W Spine #2 SN6600-LD</t>
  </si>
  <si>
    <t>Compute M9825 # 5</t>
  </si>
  <si>
    <t>Compute M9825 # 6</t>
  </si>
  <si>
    <t>N-S Leaf #1</t>
  </si>
  <si>
    <t>N-S Leaf #2</t>
  </si>
  <si>
    <t>N-S Core #1(Group 1)</t>
  </si>
  <si>
    <t>N-S Core #1(Group 2)</t>
  </si>
  <si>
    <t>N-S Core #1(Group 3)</t>
  </si>
  <si>
    <t>N-S Core #1(Group 4)</t>
  </si>
  <si>
    <t>STORAGE Leaf #1</t>
  </si>
  <si>
    <t>Compute M9825 # 7</t>
  </si>
  <si>
    <t>E-W Leaf #1.A SN6600-LD Plane1</t>
  </si>
  <si>
    <t>E-W Leaf #1.B SN6600-LD Plane5</t>
  </si>
  <si>
    <t>E-W Leaf #3.A SN6600-LD Plane1</t>
  </si>
  <si>
    <t>E-W Leaf #3.B SN6600-LD Plane5</t>
  </si>
  <si>
    <t>E-W Spine #1 SN6600-LD</t>
  </si>
  <si>
    <t>Compute M9825 # 8</t>
  </si>
  <si>
    <t>Compute M9825 # 9</t>
  </si>
  <si>
    <t>Cross-Brace &amp; Drip Pan</t>
  </si>
  <si>
    <t>CMX Leaf #3</t>
  </si>
  <si>
    <t>CMX  Leaf #4</t>
  </si>
  <si>
    <t>Compute M9825 # 10</t>
  </si>
  <si>
    <t>Compute M9825 # 11</t>
  </si>
  <si>
    <t>Compute M9825 # 12</t>
  </si>
  <si>
    <t>CMX Leaf #1</t>
  </si>
  <si>
    <t>CMX Leaf #2</t>
  </si>
  <si>
    <t>Compute M9825 # 13</t>
  </si>
  <si>
    <t>Compute M9825 # 14</t>
  </si>
  <si>
    <t>Compute M9825 # 15</t>
  </si>
  <si>
    <t>Compute M9825 # 16</t>
  </si>
  <si>
    <t>Blank</t>
  </si>
  <si>
    <t>Andrew Elevations</t>
  </si>
  <si>
    <t>OOB AGG #1</t>
  </si>
  <si>
    <t>48U Rack</t>
  </si>
  <si>
    <t>DLC Rack Brakdown</t>
  </si>
  <si>
    <t xml:space="preserve">IR 9000 racks components - based on 48RU rack  - Dell MGX 144 rack </t>
  </si>
  <si>
    <t>Dell cost (per unit)</t>
  </si>
  <si>
    <t>TTL QTY</t>
  </si>
  <si>
    <t>Ext Cost</t>
  </si>
  <si>
    <t>Bus bar</t>
  </si>
  <si>
    <t>44OU/48RU DLC Bus Bar for Dell 5000A+ (landed)</t>
  </si>
  <si>
    <t>Drip tray</t>
  </si>
  <si>
    <t xml:space="preserve">Rack  </t>
  </si>
  <si>
    <t>Dell IR9000 48U Rack for XE9812 VR200 NVL144, 750mm x 1200mm (material only)(include 2 side panels, bolt down brackets aka. Stiffener)</t>
  </si>
  <si>
    <t>Manifolds</t>
  </si>
  <si>
    <t>Cooler Master 48RU Manifolds, 48RU Rack, UQOD08</t>
  </si>
  <si>
    <t>Filter</t>
  </si>
  <si>
    <t>SFN Filter Kit, 2", Includes Filter, Valve and Clamp (in row CDU only)</t>
  </si>
  <si>
    <t>Shock Pallet</t>
  </si>
  <si>
    <t>Shock Pallet with Strap Down Kit, APC - 440OU</t>
  </si>
  <si>
    <t>Rail kit</t>
  </si>
  <si>
    <t>ODM Mechanical Component Compute Tray Slide Rail Pair for MGX Rack V1.2
4 for PSUs + 2 for ToRs + 1 for IRC + 8 for SN6600LD</t>
  </si>
  <si>
    <t>Blanking panels</t>
  </si>
  <si>
    <t>ODM Mechanical Component 1RU Blank Panel with DGX ID</t>
  </si>
  <si>
    <t>Brush filler</t>
  </si>
  <si>
    <t>Brush Filler Shield for Dell 9812 Rack</t>
  </si>
  <si>
    <t>Warranty</t>
  </si>
  <si>
    <t>Basic Next Business Day 36 Months</t>
  </si>
  <si>
    <t xml:space="preserve">Shipping &amp; logistic </t>
  </si>
  <si>
    <t>Placeholder  - Unknowns</t>
  </si>
  <si>
    <t xml:space="preserve">Total per rack cost </t>
  </si>
  <si>
    <t>Power Shelves (Per rack standard qty: 2) - cost from Gaines 2.0 powershelves</t>
  </si>
  <si>
    <t>IR9048 Mounting Rail Kit for PowerShelf</t>
  </si>
  <si>
    <t>Dell Server XE9712 GB300 Powershelf, LiteOn</t>
  </si>
  <si>
    <t>Power Supply Kit for Single Power Shelf, 5.5KW, LiteOn</t>
  </si>
  <si>
    <t>Total per rack power shelf</t>
  </si>
  <si>
    <t>IRC (per rack qty: 1)</t>
  </si>
  <si>
    <t>NRE++</t>
  </si>
  <si>
    <t xml:space="preserve">IRC Preliminary NRE, Ops Adder,  SW, Firmware, and Warranty placeholder </t>
  </si>
  <si>
    <t>Appliance</t>
  </si>
  <si>
    <t>IRC Appliance, Power Satellite, LCD, leak detect rope (Mechanical Cost)</t>
  </si>
  <si>
    <t>Valve control</t>
  </si>
  <si>
    <t>Valve control cable, Valve + Hose Kit for IR9000 (For in Row only)</t>
  </si>
  <si>
    <t xml:space="preserve">PS1 CSP Warranty </t>
  </si>
  <si>
    <t>Total IRC per rack</t>
  </si>
  <si>
    <t>In Rack CDU (per rack qty:1)</t>
  </si>
  <si>
    <t>in -rack CDU</t>
  </si>
  <si>
    <t>Dell PowerCool RCDU R4R19010A</t>
  </si>
  <si>
    <t>PowerCool RCDU Rail kit for IR9000</t>
  </si>
  <si>
    <t>Dell PowerCool RCDU Facility to CDU Hose,1.5in Sanitary, 6ft</t>
  </si>
  <si>
    <t>IR9000 CDU to Manifold Hose Kit, 1.5in, for Dell PowerCool RCDU</t>
  </si>
  <si>
    <t>ProSupport One Data Center for CSP AI Plus Support Bundle with Designated Support and Onsite Engineer NBD Onsite Initial, 36 Month(s)</t>
  </si>
  <si>
    <t>Custom Rack Integration Dell SOW Required</t>
  </si>
  <si>
    <t>CDU Preventative Maintenance Service, 36 Month(s)</t>
  </si>
  <si>
    <t>Air Cooled Rack Breakdown</t>
  </si>
  <si>
    <t>IR 5000 racks components</t>
  </si>
  <si>
    <t>Reference Quote</t>
  </si>
  <si>
    <t>Unit Cost</t>
  </si>
  <si>
    <t>Units</t>
  </si>
  <si>
    <t>US-3000201328266/1</t>
  </si>
  <si>
    <t>APC NetShelter SX Server Rack Gen 2, 48U, 2258H x 750W x 1200D mm,</t>
  </si>
  <si>
    <t>NetShelter SX 750mm Wide x 1200mm Deep Networking Roof</t>
  </si>
  <si>
    <t>PDU11450ME - Power Distribution Unit - Rack-Mountable - Input Voltage: 415 V 3 phase - 34.6KW - I</t>
  </si>
  <si>
    <t>IR 9048 AC based racks components</t>
  </si>
  <si>
    <t>Option ID</t>
  </si>
  <si>
    <t>Qty</t>
  </si>
  <si>
    <t>Unit List</t>
  </si>
  <si>
    <t>Unit Selling</t>
  </si>
  <si>
    <t>LT</t>
  </si>
  <si>
    <t>G57VN1Q</t>
  </si>
  <si>
    <t>379-BFVJ</t>
  </si>
  <si>
    <t>[670] PowerEdge Platform - Dell Server XE9712</t>
  </si>
  <si>
    <t>GNMYWP8</t>
  </si>
  <si>
    <t>195-BBHZ</t>
  </si>
  <si>
    <t>[1] Base - IR9048 Mounting Rail Kit for PowerShelf</t>
  </si>
  <si>
    <t>210-BSYH</t>
  </si>
  <si>
    <t>[1] Base - Dell Server XE9712 GB300 Powershelf, LiteOn</t>
  </si>
  <si>
    <t>G9DXHT7</t>
  </si>
  <si>
    <t>450-BGFT</t>
  </si>
  <si>
    <t>[1620] Power Supply - Power Supply Kit for Single Power Shelf, 5.5KW, LiteOn</t>
  </si>
  <si>
    <t>GGNIC5E</t>
  </si>
  <si>
    <t>709-BJKM</t>
  </si>
  <si>
    <t>[29] Service - Basic Next Business Day 36 MonthsVI</t>
  </si>
  <si>
    <t>GKRMQ6C</t>
  </si>
  <si>
    <t>199-CGMN</t>
  </si>
  <si>
    <t>[30] Extended Service - ProSupport One for Data Center for CSP AI Support Bundle with Designated Support and Onsite Engineer NBD Onsite Initial, 36 Month(s)VP</t>
  </si>
  <si>
    <t>G1QD3ST</t>
  </si>
  <si>
    <t>883-BBLF</t>
  </si>
  <si>
    <t>[200735] Infrastructure Deployment Services - Custom Rack Integration Dell SOW RequiredVI</t>
  </si>
  <si>
    <t>GG31X7R</t>
  </si>
  <si>
    <t>450-BDYC</t>
  </si>
  <si>
    <t>[1628] Power Whips - Power Whip, Straight, 3.5M</t>
  </si>
  <si>
    <t>GJ65PIN</t>
  </si>
  <si>
    <t>450-BDYB</t>
  </si>
  <si>
    <t>[1628] Power Whips - Power Whip, Straight, 5M</t>
  </si>
  <si>
    <t>Cost per power shelf</t>
  </si>
  <si>
    <t>Networking</t>
  </si>
  <si>
    <t xml:space="preserve"> Unit Cost</t>
  </si>
  <si>
    <t>Unit Price</t>
  </si>
  <si>
    <t>Orders Margin</t>
  </si>
  <si>
    <t>Type</t>
  </si>
  <si>
    <t>Networking E-W</t>
  </si>
  <si>
    <t>L11-DLC</t>
  </si>
  <si>
    <t>SN6600-LD -  DLC, OSFP Pluggable, DC BusBar</t>
  </si>
  <si>
    <t>NVIDIA Spectrum-6 based 800GbE Ethernet switch with Cumulus Linux Authentication, 64 OSFP, 1 QSFP112, 48VDC Busbar, 8-Cores CPU, Secure-boot, Liquid-Cooling, Rail-Kit.D35</t>
  </si>
  <si>
    <t>Using estimated costs for PS1 CSP</t>
  </si>
  <si>
    <t>MMS4B10-XM-RHS</t>
  </si>
  <si>
    <t>Transceviers</t>
  </si>
  <si>
    <t>Networking N-S</t>
  </si>
  <si>
    <t>L11-AC</t>
  </si>
  <si>
    <t>SN5610 -  2U 64xOSFP112, C2P (I/P) Airflow</t>
  </si>
  <si>
    <t>SN5600D -  2U 64xOSFP112, DC BusBar, C2P (I/P) Airflow</t>
  </si>
  <si>
    <t>MMS1V00-WM</t>
  </si>
  <si>
    <t>OOB Network</t>
  </si>
  <si>
    <t>SN2201 AC C2P - MSN2201-CB2RC </t>
  </si>
  <si>
    <t xml:space="preserve">920-9N110-01R1-0C0 </t>
  </si>
  <si>
    <t>NVDA SN2201 48x1GBaseT, 1U, 2AC PSU, C2P (I/P) Airflow, w/ Cumulus[MSN2201-CB2RC]</t>
  </si>
  <si>
    <t>SN2201 DC Busbar - MSN2201-CSMRC  </t>
  </si>
  <si>
    <t>SN4700 AC C2P - MSN4700-WS2RC</t>
  </si>
  <si>
    <t>920-9N301-00RB-0C0</t>
  </si>
  <si>
    <t>NVDA SN4700 400GbE, 32xQSFPDD, 1U, 2AC PSU, C2P (I/P) Airflow, w/ Cumulus[MSN4700-WS2RC]</t>
  </si>
  <si>
    <t>MMS1V70-CM</t>
  </si>
  <si>
    <t>MMS4X00-NS400</t>
  </si>
  <si>
    <t>Networking Rack Infrastructure</t>
  </si>
  <si>
    <t>DLC Networking Racks - 48U</t>
  </si>
  <si>
    <t>Network rack (DLC)</t>
  </si>
  <si>
    <t>IR9148/750mmx1200mm/48U with 2x PowerShelves and IRC (no in-rack CDU)</t>
  </si>
  <si>
    <t>2U SHUFFLE PANEL</t>
  </si>
  <si>
    <t>2U Panel</t>
  </si>
  <si>
    <t>4x4 Shuffle Cassette - Commscope 760263036</t>
  </si>
  <si>
    <t>Fibre Shuffle Cassettes - E-W Leaf rack</t>
  </si>
  <si>
    <t>Cassette /SU for Leaf Rack GPU to Leaf [Hosted in Leaf rack] - - MPO-8 4x4 Shuffle Module, 4x8f MPO/APC pinned rear to 4X8f MPO/APC pinned front</t>
  </si>
  <si>
    <t>Fibre Shuffle Cassettes - E-W Spine Rack</t>
  </si>
  <si>
    <t>Cassette /SU for Leaf Rack to Spine Rack [Hosted in Spine Rack] - MPO-8 4x4 Shuffle Module, 4x8f MPO/APC pinned rear to 4X8f MPO/APC pinned front</t>
  </si>
  <si>
    <t>L11-DLC check with Maunish</t>
  </si>
  <si>
    <t>Rack cable jumper</t>
  </si>
  <si>
    <t>MPO12/APC-MMC/APC SMF Jumper - 3 to 5m</t>
  </si>
  <si>
    <t>Cable details to be provided later</t>
  </si>
  <si>
    <t>Air-Cooled Networking Racks - Clusters 48U</t>
  </si>
  <si>
    <t>Network rack (AC)</t>
  </si>
  <si>
    <t>IR5000 - Air Cooled Racks with 2x PDUs</t>
  </si>
  <si>
    <t>L11-AC check with RIT</t>
  </si>
  <si>
    <t>One Patch Panel to rack where SN4700 is installed since 4x100G cable length max size is 5m</t>
  </si>
  <si>
    <t>IR7000 - Air Cooled Racks with 2x PDUs</t>
  </si>
  <si>
    <t>Price can be collected form DSA</t>
  </si>
  <si>
    <t>One Patch Panel to rack where Switch is installed since 4x100G cable length max size is 5m</t>
  </si>
  <si>
    <t>GM</t>
  </si>
  <si>
    <t>Total Networking PnL</t>
  </si>
  <si>
    <t>Rack Integration - (Compute and Networking Racks)</t>
  </si>
  <si>
    <t>Field Deployment - (Compute and Networking Racks)</t>
  </si>
  <si>
    <t>Not Included in the Quote</t>
  </si>
  <si>
    <t>P2P</t>
  </si>
  <si>
    <t>MPO12/APC-MMC/APC SMF Jumper - 3m</t>
  </si>
  <si>
    <t>MPO12/APC SMF - 50m</t>
  </si>
  <si>
    <t>MPO12/APC-MMC/APC SMF - 50m</t>
  </si>
  <si>
    <t>MPO12/APC-4LC SMF - 10m</t>
  </si>
  <si>
    <t xml:space="preserve">CAT6 Thin </t>
  </si>
  <si>
    <t>CAT6 Thin 3M</t>
  </si>
  <si>
    <t>CAT6 Thin 10M</t>
  </si>
  <si>
    <t>Aircool AC Sidecar (VCM)</t>
  </si>
  <si>
    <t>DLC DC Sidecar (VCM)</t>
  </si>
  <si>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</si>
  <si>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</si>
  <si>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</si>
  <si>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</si>
  <si>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</si>
  <si>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</si>
  <si>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</si>
  <si>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</si>
  <si>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</si>
  <si>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</si>
  <si>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</si>
  <si>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</si>
  <si>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</si>
  <si>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Name</t>
  </si>
  <si>
    <t>Option List Price</t>
  </si>
  <si>
    <t>SKUs</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</si>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</sst>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0.00"/>
    <numFmt numFmtId="165" formatCode="&quot;$&quot;#,##0.00"/>
    <numFmt numFmtId="166" formatCode="0.0"/>
    <numFmt numFmtId="167" formatCode="_(* #,##0_);_(* \(#,##0\);_(* &quot;-&quot;??_);_(@_)"/>
  </numFmts>
  <fonts count="69" x14ac:knownFonts="1">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8"/>
      <name val="Aptos Narrow"/>
      <family val="2"/>
      <scheme val="minor"/>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name val="Aptos Narrow"/>
      <family val="2"/>
      <scheme val="minor"/>
    </font>
    <font>
      <sz val="9"/>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theme="9" tint="-0.249977111117893"/>
      <name val="Calibri"/>
      <family val="2"/>
    </font>
    <font>
      <b/>
      <sz val="10"/>
      <color theme="8"/>
      <name val="Calibri"/>
      <family val="2"/>
    </font>
    <font>
      <b/>
      <sz val="10"/>
      <color rgb="FF0070C0"/>
      <name val="Calibri"/>
      <family val="2"/>
    </font>
    <font>
      <b/>
      <sz val="10"/>
      <color theme="7" tint="-0.249977111117893"/>
      <name val="Calibri"/>
      <family val="2"/>
    </font>
    <font>
      <b/>
      <sz val="10"/>
      <color theme="1"/>
      <name val="Calibri"/>
      <family val="2"/>
    </font>
    <font>
      <sz val="11"/>
      <color rgb="FF0E0E0E"/>
      <name val="Calibri"/>
      <family val="2"/>
    </font>
    <font>
      <sz val="10"/>
      <color theme="1"/>
      <name val="Arial"/>
      <family val="2"/>
    </font>
    <font>
      <sz val="11"/>
      <color rgb="FF000000"/>
      <name val="Aptos"/>
      <family val="2"/>
    </font>
    <font>
      <sz val="9"/>
      <name val="Aptos Narrow"/>
      <family val="2"/>
      <scheme val="minor"/>
    </font>
    <font>
      <sz val="9"/>
      <color rgb="FF000000"/>
      <name val="Aptos Narrow"/>
      <family val="2"/>
      <scheme val="minor"/>
    </font>
    <font>
      <sz val="14"/>
      <color rgb="FF000000"/>
      <name val="Calibri"/>
      <family val="2"/>
    </font>
    <font>
      <sz val="9"/>
      <color rgb="FF000000"/>
      <name val="Arial"/>
      <family val="2"/>
    </font>
    <font>
      <sz val="10"/>
      <color theme="9" tint="0.39997558519241921"/>
      <name val="Calibri"/>
      <family val="2"/>
    </font>
    <font>
      <sz val="11"/>
      <color theme="9" tint="0.39997558519241921"/>
      <name val="Calibri"/>
      <family val="2"/>
    </font>
    <font>
      <sz val="9"/>
      <color rgb="FF000000"/>
      <name val="Aptos"/>
      <family val="2"/>
    </font>
    <font>
      <sz val="9"/>
      <name val="Calibri"/>
      <family val="2"/>
    </font>
    <font>
      <sz val="11"/>
      <color rgb="FFFF0000"/>
      <name val="Calibri"/>
      <family val="2"/>
    </font>
    <font>
      <sz val="9"/>
      <color theme="1"/>
      <name val="Calibri"/>
      <family val="2"/>
    </font>
    <font>
      <b/>
      <sz val="14"/>
      <color rgb="FFED7D31"/>
      <name val="Calibri"/>
      <family val="2"/>
    </font>
    <font>
      <sz val="10"/>
      <color rgb="FF000000"/>
      <name val="Aptos"/>
      <family val="2"/>
    </font>
    <font>
      <sz val="9"/>
      <name val="Aptos Narrow"/>
      <family val="2"/>
    </font>
    <font>
      <sz val="9"/>
      <color rgb="FF27251E"/>
      <name val="Aptos"/>
      <family val="2"/>
    </font>
    <font>
      <sz val="11"/>
      <color rgb="FFFF0000"/>
      <name val="Aptos Narrow"/>
      <family val="2"/>
      <scheme val="minor"/>
    </font>
    <font>
      <sz val="9"/>
      <color rgb="FFFF0000"/>
      <name val="Aptos Narrow"/>
      <family val="2"/>
      <scheme val="minor"/>
    </font>
    <font>
      <sz val="11"/>
      <color rgb="FF000000"/>
      <name val="Aptos Narrow"/>
      <family val="2"/>
      <scheme val="minor"/>
    </font>
    <font>
      <b/>
      <sz val="14"/>
      <color rgb="FFE97132"/>
      <name val="Aptos Narrow"/>
      <family val="2"/>
      <scheme val="minor"/>
    </font>
    <font>
      <sz val="14"/>
      <color rgb="FF000000"/>
      <name val="Aptos Narrow"/>
      <family val="2"/>
      <scheme val="minor"/>
    </font>
    <font>
      <b/>
      <sz val="11"/>
      <color rgb="FF000000"/>
      <name val="Aptos Narrow"/>
      <family val="2"/>
      <scheme val="minor"/>
    </font>
    <font>
      <sz val="11"/>
      <color rgb="FFFFFFFF"/>
      <name val="Calibri"/>
      <family val="2"/>
    </font>
    <font>
      <sz val="11"/>
      <color theme="1"/>
      <name val="Aptos Narrow"/>
      <family val="2"/>
      <scheme val="minor"/>
    </font>
    <font>
      <sz val="5"/>
      <color theme="1"/>
      <name val="Segoe UI"/>
      <family val="2"/>
    </font>
    <font>
      <b/>
      <sz val="11"/>
      <color rgb="FFFFFFFF"/>
      <name val="Aptos Narrow"/>
      <family val="2"/>
      <scheme val="minor"/>
    </font>
    <font>
      <sz val="11"/>
      <color rgb="FF000000"/>
      <name val="Aptos Narrow"/>
      <family val="2"/>
    </font>
    <font>
      <b/>
      <sz val="11"/>
      <color rgb="FFFF0000"/>
      <name val="Calibri"/>
      <family val="2"/>
    </font>
    <font>
      <sz val="10"/>
      <color theme="1"/>
      <name val="Aptos Narrow"/>
      <family val="2"/>
      <scheme val="minor"/>
    </font>
    <font>
      <b/>
      <sz val="10"/>
      <color rgb="FF000000"/>
      <name val="Aptos Narrow"/>
      <family val="2"/>
      <scheme val="minor"/>
    </font>
    <font>
      <sz val="10"/>
      <name val="Calibri"/>
    </font>
    <font>
      <b/>
      <u val="double"/>
      <sz val="11"/>
      <color theme="1"/>
      <name val="Aptos Narrow"/>
      <family val="2"/>
      <scheme val="minor"/>
    </font>
    <font>
      <b/>
      <sz val="11"/>
      <color rgb="FF0070C0"/>
      <name val="Aptos Narrow"/>
      <family val="2"/>
      <scheme val="minor"/>
    </font>
    <font>
      <b/>
      <sz val="11"/>
      <color rgb="FF0070C0"/>
      <name val="Aptos Narrow"/>
      <family val="2"/>
    </font>
    <font>
      <b/>
      <sz val="11"/>
      <color theme="3" tint="0.499984740745262"/>
      <name val="Aptos Narrow"/>
      <family val="2"/>
      <scheme val="minor"/>
    </font>
  </fonts>
  <fills count="40">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8" tint="0.59999389629810485"/>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DDEBF7"/>
        <bgColor rgb="FF000000"/>
      </patternFill>
    </fill>
    <fill>
      <patternFill patternType="solid">
        <fgColor theme="9" tint="0.39997558519241921"/>
        <bgColor rgb="FF000000"/>
      </patternFill>
    </fill>
    <fill>
      <patternFill patternType="solid">
        <fgColor rgb="FFFFC000"/>
        <bgColor rgb="FF000000"/>
      </patternFill>
    </fill>
    <fill>
      <patternFill patternType="solid">
        <fgColor rgb="FFDAF2D0"/>
        <bgColor rgb="FF000000"/>
      </patternFill>
    </fill>
    <fill>
      <patternFill patternType="solid">
        <fgColor rgb="FFB8D3EF"/>
        <bgColor rgb="FF000000"/>
      </patternFill>
    </fill>
    <fill>
      <patternFill patternType="solid">
        <fgColor rgb="FFFBE2D5"/>
        <bgColor rgb="FF000000"/>
      </patternFill>
    </fill>
    <fill>
      <patternFill patternType="solid">
        <fgColor rgb="FFFFFF00"/>
        <bgColor rgb="FF000000"/>
      </patternFill>
    </fill>
    <fill>
      <patternFill patternType="solid">
        <fgColor rgb="FFFFFFFF"/>
        <bgColor rgb="FF000000"/>
      </patternFill>
    </fill>
    <fill>
      <patternFill patternType="solid">
        <fgColor theme="3" tint="0.89999084444715716"/>
        <bgColor indexed="64"/>
      </patternFill>
    </fill>
    <fill>
      <patternFill patternType="solid">
        <fgColor theme="0" tint="-0.14999847407452621"/>
        <bgColor indexed="64"/>
      </patternFill>
    </fill>
    <fill>
      <patternFill patternType="solid">
        <fgColor rgb="FFE7E6E6"/>
        <bgColor indexed="64"/>
      </patternFill>
    </fill>
    <fill>
      <patternFill patternType="solid">
        <fgColor rgb="FF0E2841"/>
        <bgColor indexed="64"/>
      </patternFill>
    </fill>
    <fill>
      <patternFill patternType="solid">
        <fgColor rgb="FFD0D0D0"/>
        <bgColor rgb="FF000000"/>
      </patternFill>
    </fill>
    <fill>
      <patternFill patternType="solid">
        <fgColor theme="9" tint="0.79998168889431442"/>
        <bgColor rgb="FF000000"/>
      </patternFill>
    </fill>
    <fill>
      <patternFill patternType="solid">
        <fgColor rgb="FFD9D9D9"/>
        <bgColor rgb="FF000000"/>
      </patternFill>
    </fill>
    <fill>
      <patternFill patternType="solid">
        <fgColor theme="2" tint="-9.9978637043366805E-2"/>
        <bgColor indexed="64"/>
      </patternFill>
    </fill>
    <fill>
      <patternFill patternType="solid">
        <fgColor theme="2" tint="-9.9978637043366805E-2"/>
        <bgColor rgb="FF000000"/>
      </patternFill>
    </fill>
    <fill>
      <patternFill patternType="solid">
        <fgColor theme="6" tint="0.79998168889431442"/>
        <bgColor indexed="64"/>
      </patternFill>
    </fill>
  </fills>
  <borders count="6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thin">
        <color indexed="64"/>
      </left>
      <right style="thin">
        <color indexed="64"/>
      </right>
      <top/>
      <bottom/>
      <diagonal/>
    </border>
    <border>
      <left/>
      <right style="medium">
        <color indexed="64"/>
      </right>
      <top/>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medium">
        <color indexed="64"/>
      </left>
      <right/>
      <top style="thin">
        <color indexed="64"/>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style="thin">
        <color indexed="64"/>
      </top>
      <bottom style="thin">
        <color indexed="64"/>
      </bottom>
      <diagonal/>
    </border>
    <border>
      <left style="medium">
        <color indexed="64"/>
      </left>
      <right/>
      <top/>
      <bottom/>
      <diagonal/>
    </border>
    <border>
      <left style="thin">
        <color indexed="64"/>
      </left>
      <right style="medium">
        <color rgb="FF000000"/>
      </right>
      <top/>
      <bottom style="thin">
        <color indexed="64"/>
      </bottom>
      <diagonal/>
    </border>
    <border>
      <left style="medium">
        <color rgb="FF000000"/>
      </left>
      <right/>
      <top/>
      <bottom/>
      <diagonal/>
    </border>
    <border>
      <left style="thin">
        <color auto="1"/>
      </left>
      <right style="medium">
        <color auto="1"/>
      </right>
      <top/>
      <bottom style="thin">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bottom/>
      <diagonal/>
    </border>
    <border>
      <left/>
      <right style="thin">
        <color rgb="FF000000"/>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diagonal/>
    </border>
    <border>
      <left/>
      <right/>
      <top style="thin">
        <color auto="1"/>
      </top>
      <bottom/>
      <diagonal/>
    </border>
  </borders>
  <cellStyleXfs count="5">
    <xf numFmtId="0" fontId="0" fillId="0" borderId="0"/>
    <xf numFmtId="0" fontId="1" fillId="0" borderId="0" applyBorder="0"/>
    <xf numFmtId="43" fontId="57" fillId="0" borderId="0" applyFont="0" applyFill="0" applyBorder="0" applyAlignment="0" applyProtection="0"/>
    <xf numFmtId="44" fontId="57" fillId="0" borderId="0" applyFont="0" applyFill="0" applyBorder="0" applyAlignment="0" applyProtection="0"/>
    <xf numFmtId="9" fontId="57" fillId="0" borderId="0" applyFont="0" applyFill="0" applyBorder="0" applyAlignment="0" applyProtection="0"/>
  </cellStyleXfs>
  <cellXfs count="442">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3" xfId="0" applyFont="1" applyFill="1" applyBorder="1" applyAlignment="1">
      <alignment horizontal="center" vertical="center" wrapText="1" readingOrder="1"/>
    </xf>
    <xf numFmtId="0" fontId="3" fillId="0" borderId="3"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3" xfId="0" applyFont="1" applyBorder="1" applyAlignment="1">
      <alignment horizontal="left" vertical="center" readingOrder="1"/>
    </xf>
    <xf numFmtId="14" fontId="3" fillId="0" borderId="3"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3"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5" fillId="6" borderId="0" xfId="0" applyFont="1" applyFill="1" applyAlignment="1">
      <alignment horizontal="center"/>
    </xf>
    <xf numFmtId="0" fontId="2" fillId="6" borderId="0" xfId="0" applyFont="1" applyFill="1" applyAlignment="1">
      <alignment horizontal="center"/>
    </xf>
    <xf numFmtId="0" fontId="16" fillId="0" borderId="0" xfId="0" applyFont="1"/>
    <xf numFmtId="0" fontId="17" fillId="0" borderId="0" xfId="0" applyFont="1"/>
    <xf numFmtId="0" fontId="16" fillId="0" borderId="0" xfId="0" applyFont="1" applyAlignment="1">
      <alignment wrapText="1"/>
    </xf>
    <xf numFmtId="0" fontId="18" fillId="0" borderId="0" xfId="0" applyFont="1"/>
    <xf numFmtId="0" fontId="10" fillId="8" borderId="3" xfId="0" applyFont="1" applyFill="1" applyBorder="1"/>
    <xf numFmtId="0" fontId="10" fillId="8" borderId="4"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1" fillId="0" borderId="0" xfId="0" applyFont="1"/>
    <xf numFmtId="0" fontId="18" fillId="0" borderId="0" xfId="0" applyFont="1" applyAlignment="1">
      <alignment wrapText="1"/>
    </xf>
    <xf numFmtId="0" fontId="20" fillId="0" borderId="0" xfId="0" applyFont="1"/>
    <xf numFmtId="0" fontId="20" fillId="0" borderId="0" xfId="0" applyFont="1" applyAlignment="1">
      <alignment horizontal="left"/>
    </xf>
    <xf numFmtId="0" fontId="2" fillId="0" borderId="0" xfId="0" applyFont="1"/>
    <xf numFmtId="0" fontId="23" fillId="0" borderId="0" xfId="0" applyFont="1"/>
    <xf numFmtId="0" fontId="24" fillId="6" borderId="21" xfId="0" applyFont="1" applyFill="1" applyBorder="1" applyAlignment="1">
      <alignment horizontal="center"/>
    </xf>
    <xf numFmtId="0" fontId="25" fillId="6" borderId="21" xfId="0" applyFont="1" applyFill="1" applyBorder="1" applyAlignment="1">
      <alignment horizontal="center"/>
    </xf>
    <xf numFmtId="0" fontId="24" fillId="6" borderId="3" xfId="0" applyFont="1" applyFill="1" applyBorder="1" applyAlignment="1">
      <alignment horizontal="center"/>
    </xf>
    <xf numFmtId="0" fontId="26" fillId="14" borderId="3" xfId="0" applyFont="1" applyFill="1" applyBorder="1"/>
    <xf numFmtId="0" fontId="26" fillId="0" borderId="4" xfId="0" applyFont="1" applyBorder="1"/>
    <xf numFmtId="0" fontId="23" fillId="14" borderId="3" xfId="0" applyFont="1" applyFill="1" applyBorder="1"/>
    <xf numFmtId="0" fontId="26" fillId="0" borderId="0" xfId="0" applyFont="1"/>
    <xf numFmtId="0" fontId="25" fillId="6" borderId="0" xfId="0" applyFont="1" applyFill="1" applyAlignment="1">
      <alignment horizontal="center"/>
    </xf>
    <xf numFmtId="0" fontId="26" fillId="0" borderId="3" xfId="0" applyFont="1" applyBorder="1"/>
    <xf numFmtId="0" fontId="26" fillId="0" borderId="0" xfId="0" applyFont="1" applyAlignment="1">
      <alignment wrapText="1"/>
    </xf>
    <xf numFmtId="0" fontId="25" fillId="6" borderId="3" xfId="0" applyFont="1" applyFill="1" applyBorder="1" applyAlignment="1">
      <alignment horizontal="center"/>
    </xf>
    <xf numFmtId="0" fontId="23" fillId="0" borderId="3" xfId="0" applyFont="1" applyBorder="1" applyAlignment="1">
      <alignment wrapText="1"/>
    </xf>
    <xf numFmtId="0" fontId="23" fillId="0" borderId="3" xfId="0" applyFont="1" applyBorder="1"/>
    <xf numFmtId="0" fontId="26" fillId="0" borderId="3" xfId="0" applyFont="1" applyBorder="1" applyAlignment="1">
      <alignment wrapText="1"/>
    </xf>
    <xf numFmtId="1" fontId="23" fillId="0" borderId="3" xfId="0" applyNumberFormat="1" applyFont="1" applyBorder="1" applyAlignment="1">
      <alignment wrapText="1"/>
    </xf>
    <xf numFmtId="1" fontId="26" fillId="0" borderId="3" xfId="0" applyNumberFormat="1" applyFont="1" applyBorder="1"/>
    <xf numFmtId="1" fontId="26" fillId="0" borderId="6" xfId="0" applyNumberFormat="1" applyFont="1" applyBorder="1"/>
    <xf numFmtId="0" fontId="26" fillId="15" borderId="3" xfId="0" applyFont="1" applyFill="1" applyBorder="1"/>
    <xf numFmtId="3" fontId="26" fillId="0" borderId="3" xfId="0" applyNumberFormat="1" applyFont="1" applyBorder="1"/>
    <xf numFmtId="0" fontId="26" fillId="0" borderId="5" xfId="0" applyFont="1" applyBorder="1"/>
    <xf numFmtId="0" fontId="22" fillId="0" borderId="0" xfId="0" applyFont="1"/>
    <xf numFmtId="0" fontId="30" fillId="13" borderId="14" xfId="0" applyFont="1" applyFill="1" applyBorder="1" applyAlignment="1">
      <alignment horizontal="center" wrapText="1"/>
    </xf>
    <xf numFmtId="0" fontId="30" fillId="13" borderId="16" xfId="0" applyFont="1" applyFill="1" applyBorder="1" applyAlignment="1">
      <alignment horizontal="center" wrapText="1"/>
    </xf>
    <xf numFmtId="0" fontId="22" fillId="0" borderId="15" xfId="0" applyFont="1" applyBorder="1" applyAlignment="1">
      <alignment horizontal="center"/>
    </xf>
    <xf numFmtId="0" fontId="22" fillId="0" borderId="17" xfId="0" applyFont="1" applyBorder="1" applyAlignment="1">
      <alignment horizontal="center"/>
    </xf>
    <xf numFmtId="0" fontId="22" fillId="0" borderId="0" xfId="0" applyFont="1" applyAlignment="1">
      <alignment horizontal="center"/>
    </xf>
    <xf numFmtId="0" fontId="32" fillId="0" borderId="3" xfId="0" applyFont="1" applyBorder="1" applyAlignment="1">
      <alignment horizontal="center"/>
    </xf>
    <xf numFmtId="0" fontId="24" fillId="5" borderId="5" xfId="0" applyFont="1" applyFill="1" applyBorder="1" applyAlignment="1">
      <alignment horizontal="center"/>
    </xf>
    <xf numFmtId="0" fontId="24" fillId="5" borderId="5" xfId="0" applyFont="1" applyFill="1" applyBorder="1"/>
    <xf numFmtId="0" fontId="24" fillId="0" borderId="5" xfId="0" applyFont="1" applyBorder="1" applyAlignment="1">
      <alignment horizontal="center"/>
    </xf>
    <xf numFmtId="0" fontId="26" fillId="15" borderId="4" xfId="0" applyFont="1" applyFill="1" applyBorder="1"/>
    <xf numFmtId="1" fontId="26" fillId="14" borderId="3" xfId="0" applyNumberFormat="1" applyFont="1" applyFill="1" applyBorder="1"/>
    <xf numFmtId="0" fontId="33" fillId="7" borderId="0" xfId="0" applyFont="1" applyFill="1" applyAlignment="1">
      <alignment vertical="center" wrapText="1"/>
    </xf>
    <xf numFmtId="0" fontId="26" fillId="15" borderId="0" xfId="0" applyFont="1" applyFill="1"/>
    <xf numFmtId="3" fontId="26" fillId="14" borderId="3" xfId="0" applyNumberFormat="1" applyFont="1" applyFill="1" applyBorder="1"/>
    <xf numFmtId="0" fontId="26" fillId="14" borderId="1" xfId="0" applyFont="1" applyFill="1" applyBorder="1"/>
    <xf numFmtId="0" fontId="24" fillId="16" borderId="3" xfId="0" applyFont="1" applyFill="1" applyBorder="1" applyAlignment="1">
      <alignment horizontal="center"/>
    </xf>
    <xf numFmtId="0" fontId="26" fillId="14" borderId="22" xfId="0" applyFont="1" applyFill="1" applyBorder="1"/>
    <xf numFmtId="0" fontId="0" fillId="0" borderId="0" xfId="0" applyAlignment="1">
      <alignment vertical="center" wrapText="1"/>
    </xf>
    <xf numFmtId="0" fontId="0" fillId="0" borderId="3" xfId="0" applyBorder="1" applyAlignment="1">
      <alignment vertical="center" wrapText="1"/>
    </xf>
    <xf numFmtId="0" fontId="11" fillId="14" borderId="3" xfId="0" applyFont="1" applyFill="1" applyBorder="1" applyAlignment="1">
      <alignment horizontal="left" vertical="center" readingOrder="1"/>
    </xf>
    <xf numFmtId="0" fontId="20" fillId="0" borderId="3" xfId="0" applyFont="1" applyBorder="1"/>
    <xf numFmtId="0" fontId="27" fillId="17" borderId="3" xfId="0" applyFont="1" applyFill="1" applyBorder="1" applyAlignment="1">
      <alignment wrapText="1"/>
    </xf>
    <xf numFmtId="0" fontId="21" fillId="14" borderId="3" xfId="0" applyFont="1" applyFill="1" applyBorder="1"/>
    <xf numFmtId="0" fontId="38" fillId="0" borderId="0" xfId="0" applyFont="1"/>
    <xf numFmtId="0" fontId="2" fillId="0" borderId="0" xfId="0" applyFont="1" applyAlignment="1">
      <alignment horizontal="center"/>
    </xf>
    <xf numFmtId="0" fontId="0" fillId="0" borderId="3" xfId="0" applyBorder="1"/>
    <xf numFmtId="0" fontId="21" fillId="0" borderId="3" xfId="0" applyFont="1" applyBorder="1"/>
    <xf numFmtId="0" fontId="16" fillId="0" borderId="3" xfId="0" applyFont="1" applyBorder="1" applyAlignment="1">
      <alignment horizontal="left" vertical="top"/>
    </xf>
    <xf numFmtId="0" fontId="39" fillId="0" borderId="3" xfId="0" applyFont="1" applyBorder="1" applyAlignment="1">
      <alignment horizontal="left" vertical="top" readingOrder="1"/>
    </xf>
    <xf numFmtId="0" fontId="40" fillId="15" borderId="3" xfId="0" applyFont="1" applyFill="1" applyBorder="1"/>
    <xf numFmtId="0" fontId="41" fillId="0" borderId="0" xfId="0" applyFont="1"/>
    <xf numFmtId="0" fontId="35" fillId="7" borderId="0" xfId="0" applyFont="1" applyFill="1" applyAlignment="1">
      <alignment vertical="center" wrapText="1"/>
    </xf>
    <xf numFmtId="0" fontId="35" fillId="7" borderId="0" xfId="0" applyFont="1" applyFill="1" applyAlignment="1">
      <alignment horizontal="left" vertical="center" wrapText="1" indent="1"/>
    </xf>
    <xf numFmtId="0" fontId="26" fillId="14" borderId="21" xfId="0" applyFont="1" applyFill="1" applyBorder="1"/>
    <xf numFmtId="1" fontId="26" fillId="14" borderId="21" xfId="0" applyNumberFormat="1" applyFont="1" applyFill="1" applyBorder="1"/>
    <xf numFmtId="0" fontId="35" fillId="7" borderId="3" xfId="0" applyFont="1" applyFill="1" applyBorder="1" applyAlignment="1">
      <alignment horizontal="left" vertical="center" wrapText="1" indent="1"/>
    </xf>
    <xf numFmtId="0" fontId="36" fillId="0" borderId="3" xfId="0" applyFont="1" applyBorder="1"/>
    <xf numFmtId="1" fontId="26" fillId="14" borderId="6" xfId="0" applyNumberFormat="1" applyFont="1" applyFill="1" applyBorder="1"/>
    <xf numFmtId="0" fontId="21" fillId="0" borderId="3" xfId="0" applyFont="1" applyBorder="1" applyAlignment="1">
      <alignment horizontal="left" wrapText="1"/>
    </xf>
    <xf numFmtId="0" fontId="42" fillId="7" borderId="3" xfId="0" applyFont="1" applyFill="1" applyBorder="1" applyAlignment="1">
      <alignment vertical="center" wrapText="1"/>
    </xf>
    <xf numFmtId="0" fontId="27" fillId="0" borderId="0" xfId="0" applyFont="1"/>
    <xf numFmtId="0" fontId="44" fillId="0" borderId="0" xfId="0" applyFont="1"/>
    <xf numFmtId="0" fontId="20" fillId="0" borderId="0" xfId="0" applyFont="1" applyAlignment="1">
      <alignment wrapText="1"/>
    </xf>
    <xf numFmtId="0" fontId="0" fillId="0" borderId="0" xfId="0" applyAlignment="1">
      <alignment wrapText="1"/>
    </xf>
    <xf numFmtId="0" fontId="36" fillId="0" borderId="4" xfId="0" applyFont="1" applyBorder="1"/>
    <xf numFmtId="1" fontId="23" fillId="14" borderId="3" xfId="0" applyNumberFormat="1" applyFont="1" applyFill="1" applyBorder="1"/>
    <xf numFmtId="1" fontId="23" fillId="14" borderId="6" xfId="0" applyNumberFormat="1" applyFont="1" applyFill="1" applyBorder="1"/>
    <xf numFmtId="0" fontId="34" fillId="2" borderId="3" xfId="0" applyFont="1" applyFill="1" applyBorder="1" applyAlignment="1">
      <alignment horizontal="left" vertical="center" readingOrder="1"/>
    </xf>
    <xf numFmtId="3" fontId="23" fillId="14" borderId="0" xfId="0" applyNumberFormat="1" applyFont="1" applyFill="1" applyAlignment="1">
      <alignment readingOrder="1"/>
    </xf>
    <xf numFmtId="0" fontId="35" fillId="14" borderId="0" xfId="0" applyFont="1" applyFill="1" applyAlignment="1">
      <alignment vertical="center" wrapText="1"/>
    </xf>
    <xf numFmtId="0" fontId="35" fillId="14" borderId="0" xfId="0" applyFont="1" applyFill="1" applyAlignment="1">
      <alignment horizontal="left" vertical="center" wrapText="1" indent="1"/>
    </xf>
    <xf numFmtId="0" fontId="23" fillId="14" borderId="0" xfId="0" applyFont="1" applyFill="1"/>
    <xf numFmtId="1" fontId="23" fillId="14" borderId="0" xfId="0" applyNumberFormat="1" applyFont="1" applyFill="1"/>
    <xf numFmtId="0" fontId="21" fillId="0" borderId="0" xfId="0" applyFont="1" applyAlignment="1">
      <alignment horizontal="left" wrapText="1"/>
    </xf>
    <xf numFmtId="0" fontId="45" fillId="0" borderId="0" xfId="0" applyFont="1" applyAlignment="1">
      <alignment wrapText="1"/>
    </xf>
    <xf numFmtId="0" fontId="46" fillId="0" borderId="0" xfId="0" applyFont="1"/>
    <xf numFmtId="0" fontId="46" fillId="0" borderId="0" xfId="0" applyFont="1" applyAlignment="1">
      <alignment vertical="center"/>
    </xf>
    <xf numFmtId="0" fontId="1" fillId="18" borderId="3" xfId="0" applyFont="1" applyFill="1" applyBorder="1" applyAlignment="1">
      <alignment horizontal="center" vertical="center"/>
    </xf>
    <xf numFmtId="0" fontId="45" fillId="0" borderId="3" xfId="0" applyFont="1" applyBorder="1" applyAlignment="1">
      <alignment wrapText="1"/>
    </xf>
    <xf numFmtId="0" fontId="27" fillId="0" borderId="3" xfId="0" applyFont="1" applyBorder="1"/>
    <xf numFmtId="0" fontId="47" fillId="7" borderId="3" xfId="0" applyFont="1" applyFill="1" applyBorder="1" applyAlignment="1">
      <alignment vertical="center" wrapText="1"/>
    </xf>
    <xf numFmtId="0" fontId="25" fillId="6" borderId="6" xfId="0" applyFont="1" applyFill="1" applyBorder="1" applyAlignment="1">
      <alignment horizontal="center"/>
    </xf>
    <xf numFmtId="0" fontId="43" fillId="0" borderId="3" xfId="0" applyFont="1" applyBorder="1" applyAlignment="1">
      <alignment wrapText="1"/>
    </xf>
    <xf numFmtId="0" fontId="37" fillId="0" borderId="3" xfId="0" applyFont="1" applyBorder="1" applyAlignment="1">
      <alignment horizontal="left" vertical="center" readingOrder="1"/>
    </xf>
    <xf numFmtId="0" fontId="48" fillId="0" borderId="3" xfId="0" applyFont="1" applyBorder="1" applyAlignment="1">
      <alignment wrapText="1"/>
    </xf>
    <xf numFmtId="0" fontId="48" fillId="4" borderId="3" xfId="0" applyFont="1" applyFill="1" applyBorder="1"/>
    <xf numFmtId="0" fontId="26" fillId="14" borderId="28" xfId="0" applyFont="1" applyFill="1" applyBorder="1"/>
    <xf numFmtId="0" fontId="26" fillId="14" borderId="2" xfId="0" applyFont="1" applyFill="1" applyBorder="1"/>
    <xf numFmtId="0" fontId="26" fillId="14" borderId="29" xfId="0" applyFont="1" applyFill="1" applyBorder="1"/>
    <xf numFmtId="0" fontId="20" fillId="0" borderId="21" xfId="0" applyFont="1" applyBorder="1"/>
    <xf numFmtId="0" fontId="36" fillId="14" borderId="3" xfId="0" applyFont="1" applyFill="1" applyBorder="1"/>
    <xf numFmtId="0" fontId="49" fillId="14" borderId="0" xfId="0" applyFont="1" applyFill="1" applyAlignment="1">
      <alignment wrapText="1"/>
    </xf>
    <xf numFmtId="0" fontId="27" fillId="14" borderId="3" xfId="0" applyFont="1" applyFill="1" applyBorder="1"/>
    <xf numFmtId="0" fontId="0" fillId="0" borderId="0" xfId="0" applyAlignment="1">
      <alignment vertical="top" wrapText="1"/>
    </xf>
    <xf numFmtId="0" fontId="1" fillId="18" borderId="8" xfId="0" applyFont="1" applyFill="1" applyBorder="1" applyAlignment="1">
      <alignment horizontal="center" vertical="center"/>
    </xf>
    <xf numFmtId="0" fontId="1" fillId="18" borderId="34" xfId="0" applyFont="1" applyFill="1" applyBorder="1" applyAlignment="1">
      <alignment horizontal="center" vertical="center"/>
    </xf>
    <xf numFmtId="0" fontId="1" fillId="18" borderId="39" xfId="0" applyFont="1" applyFill="1" applyBorder="1" applyAlignment="1">
      <alignment horizontal="center" vertical="center"/>
    </xf>
    <xf numFmtId="0" fontId="1" fillId="18" borderId="11" xfId="0" applyFont="1" applyFill="1" applyBorder="1" applyAlignment="1">
      <alignment horizontal="center" vertical="center"/>
    </xf>
    <xf numFmtId="0" fontId="50" fillId="0" borderId="0" xfId="0" applyFont="1" applyAlignment="1">
      <alignment vertical="top" wrapText="1"/>
    </xf>
    <xf numFmtId="0" fontId="27" fillId="0" borderId="3" xfId="0" applyFont="1" applyBorder="1" applyAlignment="1">
      <alignment wrapText="1"/>
    </xf>
    <xf numFmtId="0" fontId="44" fillId="0" borderId="0" xfId="0" applyFont="1" applyAlignment="1">
      <alignment wrapText="1"/>
    </xf>
    <xf numFmtId="166" fontId="27" fillId="0" borderId="3" xfId="0" applyNumberFormat="1" applyFont="1" applyBorder="1" applyAlignment="1">
      <alignment wrapText="1"/>
    </xf>
    <xf numFmtId="0" fontId="27" fillId="0" borderId="1" xfId="0" applyFont="1" applyBorder="1"/>
    <xf numFmtId="0" fontId="27" fillId="0" borderId="1" xfId="0" applyFont="1" applyBorder="1" applyAlignment="1">
      <alignment wrapText="1"/>
    </xf>
    <xf numFmtId="3" fontId="27" fillId="0" borderId="1" xfId="0" applyNumberFormat="1" applyFont="1" applyBorder="1" applyAlignment="1">
      <alignment wrapText="1"/>
    </xf>
    <xf numFmtId="0" fontId="27" fillId="0" borderId="4" xfId="0" applyFont="1" applyBorder="1"/>
    <xf numFmtId="1" fontId="27" fillId="0" borderId="3" xfId="0" applyNumberFormat="1" applyFont="1" applyBorder="1"/>
    <xf numFmtId="1" fontId="27" fillId="14" borderId="6" xfId="0" applyNumberFormat="1" applyFont="1" applyFill="1" applyBorder="1"/>
    <xf numFmtId="0" fontId="27" fillId="15" borderId="3" xfId="0" applyFont="1" applyFill="1" applyBorder="1"/>
    <xf numFmtId="3" fontId="27" fillId="0" borderId="3" xfId="0" applyNumberFormat="1" applyFont="1" applyBorder="1"/>
    <xf numFmtId="1" fontId="27" fillId="0" borderId="5" xfId="0" applyNumberFormat="1" applyFont="1" applyBorder="1"/>
    <xf numFmtId="1" fontId="27" fillId="0" borderId="18" xfId="0" applyNumberFormat="1" applyFont="1" applyBorder="1"/>
    <xf numFmtId="0" fontId="51" fillId="0" borderId="3" xfId="0" applyFont="1" applyBorder="1"/>
    <xf numFmtId="0" fontId="27" fillId="0" borderId="20" xfId="0" applyFont="1" applyBorder="1"/>
    <xf numFmtId="1" fontId="23" fillId="0" borderId="3" xfId="0" applyNumberFormat="1" applyFont="1" applyBorder="1"/>
    <xf numFmtId="0" fontId="23" fillId="0" borderId="20" xfId="0" applyFont="1" applyBorder="1"/>
    <xf numFmtId="1" fontId="27" fillId="14" borderId="3" xfId="0" applyNumberFormat="1" applyFont="1" applyFill="1" applyBorder="1"/>
    <xf numFmtId="0" fontId="52" fillId="0" borderId="0" xfId="0" applyFont="1"/>
    <xf numFmtId="0" fontId="53" fillId="0" borderId="0" xfId="0" applyFont="1"/>
    <xf numFmtId="0" fontId="38" fillId="0" borderId="0" xfId="0" applyFont="1" applyAlignment="1">
      <alignment horizontal="center"/>
    </xf>
    <xf numFmtId="0" fontId="53" fillId="0" borderId="0" xfId="0" applyFont="1" applyAlignment="1">
      <alignment vertical="center"/>
    </xf>
    <xf numFmtId="0" fontId="54" fillId="24" borderId="0" xfId="0" applyFont="1" applyFill="1"/>
    <xf numFmtId="0" fontId="52" fillId="0" borderId="0" xfId="0" applyFont="1" applyAlignment="1">
      <alignment horizontal="center"/>
    </xf>
    <xf numFmtId="0" fontId="55" fillId="0" borderId="0" xfId="0" applyFont="1"/>
    <xf numFmtId="0" fontId="1" fillId="0" borderId="0" xfId="0" applyFont="1" applyAlignment="1">
      <alignment horizontal="center"/>
    </xf>
    <xf numFmtId="0" fontId="15" fillId="0" borderId="0" xfId="0" applyFont="1" applyAlignment="1">
      <alignment horizontal="center"/>
    </xf>
    <xf numFmtId="0" fontId="1" fillId="0" borderId="0" xfId="0" applyFont="1" applyAlignment="1">
      <alignment vertical="center"/>
    </xf>
    <xf numFmtId="0" fontId="1" fillId="0" borderId="27" xfId="0" applyFont="1" applyBorder="1" applyAlignment="1">
      <alignment vertical="center"/>
    </xf>
    <xf numFmtId="0" fontId="1" fillId="0" borderId="33"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Alignment="1">
      <alignment horizontal="center" vertical="center" textRotation="180"/>
    </xf>
    <xf numFmtId="0" fontId="1" fillId="18" borderId="9" xfId="0" applyFont="1" applyFill="1" applyBorder="1" applyAlignment="1">
      <alignment horizontal="center" vertical="center"/>
    </xf>
    <xf numFmtId="0" fontId="1" fillId="0" borderId="9" xfId="0" applyFont="1" applyBorder="1" applyAlignment="1">
      <alignment horizontal="center" vertical="center"/>
    </xf>
    <xf numFmtId="0" fontId="1" fillId="0" borderId="41" xfId="0" applyFont="1" applyBorder="1" applyAlignment="1">
      <alignment horizontal="center" vertical="center" textRotation="180"/>
    </xf>
    <xf numFmtId="0" fontId="1" fillId="0" borderId="30" xfId="0" applyFont="1" applyBorder="1" applyAlignment="1">
      <alignment horizontal="center" vertical="center" textRotation="180"/>
    </xf>
    <xf numFmtId="0" fontId="1" fillId="0" borderId="3" xfId="0" applyFont="1" applyBorder="1" applyAlignment="1">
      <alignment horizontal="center" vertical="center"/>
    </xf>
    <xf numFmtId="0" fontId="1" fillId="0" borderId="35" xfId="0" applyFont="1" applyBorder="1" applyAlignment="1">
      <alignment horizontal="center" vertical="center"/>
    </xf>
    <xf numFmtId="0" fontId="52" fillId="0" borderId="35" xfId="0" applyFont="1" applyBorder="1" applyAlignment="1">
      <alignment horizontal="center" vertical="center"/>
    </xf>
    <xf numFmtId="0" fontId="1" fillId="18" borderId="5" xfId="0" applyFont="1" applyFill="1" applyBorder="1" applyAlignment="1">
      <alignment horizontal="center" vertical="center"/>
    </xf>
    <xf numFmtId="0" fontId="1" fillId="19" borderId="3" xfId="0" applyFont="1" applyFill="1" applyBorder="1" applyAlignment="1">
      <alignment horizontal="center" vertical="center"/>
    </xf>
    <xf numFmtId="0" fontId="1" fillId="0" borderId="31" xfId="0" applyFont="1" applyBorder="1" applyAlignment="1">
      <alignment horizontal="center" vertical="center" textRotation="180"/>
    </xf>
    <xf numFmtId="0" fontId="1" fillId="25" borderId="3" xfId="0" applyFont="1" applyFill="1" applyBorder="1" applyAlignment="1">
      <alignment horizontal="center" vertical="center"/>
    </xf>
    <xf numFmtId="0" fontId="1" fillId="25" borderId="35" xfId="0" applyFont="1" applyFill="1" applyBorder="1" applyAlignment="1">
      <alignment horizontal="center" vertical="center"/>
    </xf>
    <xf numFmtId="0" fontId="1" fillId="20" borderId="2" xfId="0" applyFont="1" applyFill="1" applyBorder="1" applyAlignment="1">
      <alignment horizontal="center"/>
    </xf>
    <xf numFmtId="0" fontId="1" fillId="20" borderId="38" xfId="0" applyFont="1" applyFill="1" applyBorder="1" applyAlignment="1">
      <alignment horizontal="center"/>
    </xf>
    <xf numFmtId="0" fontId="56" fillId="21" borderId="1" xfId="0" applyFont="1" applyFill="1" applyBorder="1" applyAlignment="1">
      <alignment horizontal="center"/>
    </xf>
    <xf numFmtId="0" fontId="56" fillId="21" borderId="40" xfId="0" applyFont="1" applyFill="1" applyBorder="1" applyAlignment="1">
      <alignment horizontal="center"/>
    </xf>
    <xf numFmtId="0" fontId="1" fillId="26" borderId="5" xfId="0" applyFont="1" applyFill="1" applyBorder="1" applyAlignment="1">
      <alignment horizontal="center" vertical="center"/>
    </xf>
    <xf numFmtId="0" fontId="1" fillId="26" borderId="37" xfId="0" applyFont="1" applyFill="1" applyBorder="1" applyAlignment="1">
      <alignment horizontal="center" vertical="center"/>
    </xf>
    <xf numFmtId="0" fontId="52" fillId="0" borderId="3" xfId="0" applyFont="1" applyBorder="1" applyAlignment="1">
      <alignment horizontal="center" vertical="center"/>
    </xf>
    <xf numFmtId="0" fontId="52" fillId="0" borderId="3" xfId="0" applyFont="1" applyBorder="1"/>
    <xf numFmtId="0" fontId="52" fillId="24" borderId="3" xfId="0" applyFont="1" applyFill="1" applyBorder="1" applyAlignment="1">
      <alignment horizontal="center" vertical="center"/>
    </xf>
    <xf numFmtId="0" fontId="1" fillId="20" borderId="1" xfId="0" applyFont="1" applyFill="1" applyBorder="1" applyAlignment="1">
      <alignment horizontal="center"/>
    </xf>
    <xf numFmtId="0" fontId="1" fillId="20" borderId="40" xfId="0" applyFont="1" applyFill="1" applyBorder="1" applyAlignment="1">
      <alignment horizontal="center"/>
    </xf>
    <xf numFmtId="0" fontId="1" fillId="18" borderId="12" xfId="0" applyFont="1" applyFill="1" applyBorder="1" applyAlignment="1">
      <alignment horizontal="center" vertical="center"/>
    </xf>
    <xf numFmtId="0" fontId="1" fillId="0" borderId="12" xfId="0" applyFont="1" applyBorder="1" applyAlignment="1">
      <alignment horizontal="center" vertical="center"/>
    </xf>
    <xf numFmtId="0" fontId="1" fillId="0" borderId="27" xfId="0" applyFont="1" applyBorder="1" applyAlignment="1">
      <alignment horizontal="center" vertical="center" textRotation="180"/>
    </xf>
    <xf numFmtId="0" fontId="1" fillId="0" borderId="32" xfId="0" applyFont="1" applyBorder="1" applyAlignment="1">
      <alignment horizontal="center" vertical="center" textRotation="180"/>
    </xf>
    <xf numFmtId="0" fontId="52" fillId="28" borderId="0" xfId="0" applyFont="1" applyFill="1"/>
    <xf numFmtId="0" fontId="1" fillId="19" borderId="10" xfId="0" applyFont="1" applyFill="1" applyBorder="1" applyAlignment="1">
      <alignment horizontal="center" vertical="center"/>
    </xf>
    <xf numFmtId="0" fontId="1" fillId="19" borderId="35" xfId="0" applyFont="1" applyFill="1" applyBorder="1" applyAlignment="1">
      <alignment horizontal="center" vertical="center"/>
    </xf>
    <xf numFmtId="0" fontId="52" fillId="0" borderId="35" xfId="0" applyFont="1" applyBorder="1"/>
    <xf numFmtId="0" fontId="1" fillId="0" borderId="35" xfId="0" applyFont="1" applyBorder="1"/>
    <xf numFmtId="0" fontId="52" fillId="0" borderId="43" xfId="0" applyFont="1" applyBorder="1"/>
    <xf numFmtId="0" fontId="1" fillId="20" borderId="44" xfId="0" applyFont="1" applyFill="1" applyBorder="1" applyAlignment="1">
      <alignment horizontal="center"/>
    </xf>
    <xf numFmtId="0" fontId="1" fillId="20" borderId="35" xfId="0" applyFont="1" applyFill="1" applyBorder="1" applyAlignment="1">
      <alignment horizontal="center"/>
    </xf>
    <xf numFmtId="0" fontId="56" fillId="21" borderId="45" xfId="0" applyFont="1" applyFill="1" applyBorder="1" applyAlignment="1">
      <alignment horizontal="center"/>
    </xf>
    <xf numFmtId="0" fontId="56" fillId="21" borderId="35" xfId="0" applyFont="1" applyFill="1" applyBorder="1" applyAlignment="1">
      <alignment horizontal="center"/>
    </xf>
    <xf numFmtId="0" fontId="1" fillId="0" borderId="36" xfId="0" applyFont="1" applyBorder="1"/>
    <xf numFmtId="0" fontId="1" fillId="18" borderId="35" xfId="0" applyFont="1" applyFill="1" applyBorder="1" applyAlignment="1">
      <alignment horizontal="center" vertical="center"/>
    </xf>
    <xf numFmtId="0" fontId="1" fillId="26" borderId="35" xfId="0" applyFont="1" applyFill="1" applyBorder="1" applyAlignment="1">
      <alignment horizontal="center" vertical="center"/>
    </xf>
    <xf numFmtId="0" fontId="1" fillId="18" borderId="46" xfId="0" applyFont="1" applyFill="1" applyBorder="1" applyAlignment="1">
      <alignment horizontal="center" vertical="center"/>
    </xf>
    <xf numFmtId="0" fontId="1" fillId="0" borderId="49" xfId="0" applyFont="1" applyBorder="1" applyAlignment="1">
      <alignment horizontal="center" vertical="center"/>
    </xf>
    <xf numFmtId="0" fontId="52" fillId="0" borderId="37" xfId="0" applyFont="1" applyBorder="1" applyAlignment="1">
      <alignment horizontal="center" vertical="center"/>
    </xf>
    <xf numFmtId="0" fontId="52" fillId="24" borderId="35" xfId="0" applyFont="1" applyFill="1" applyBorder="1" applyAlignment="1">
      <alignment horizontal="center" vertical="center"/>
    </xf>
    <xf numFmtId="0" fontId="1" fillId="20" borderId="45" xfId="0" applyFont="1" applyFill="1" applyBorder="1" applyAlignment="1">
      <alignment horizontal="center"/>
    </xf>
    <xf numFmtId="0" fontId="1" fillId="0" borderId="43" xfId="0" applyFont="1" applyBorder="1"/>
    <xf numFmtId="0" fontId="1" fillId="0" borderId="13" xfId="0" applyFont="1" applyBorder="1" applyAlignment="1">
      <alignment horizontal="center" vertical="center"/>
    </xf>
    <xf numFmtId="0" fontId="37" fillId="0" borderId="0" xfId="0" applyFont="1" applyAlignment="1">
      <alignment vertical="center" wrapText="1"/>
    </xf>
    <xf numFmtId="0" fontId="36" fillId="0" borderId="3" xfId="0" applyFont="1" applyBorder="1" applyAlignment="1">
      <alignment wrapText="1"/>
    </xf>
    <xf numFmtId="0" fontId="37" fillId="0" borderId="3" xfId="0" applyFont="1" applyBorder="1"/>
    <xf numFmtId="0" fontId="22" fillId="0" borderId="3" xfId="0" applyFont="1" applyBorder="1"/>
    <xf numFmtId="0" fontId="37" fillId="25" borderId="3" xfId="0" applyFont="1" applyFill="1" applyBorder="1" applyAlignment="1">
      <alignment horizontal="left" vertical="center" readingOrder="1"/>
    </xf>
    <xf numFmtId="0" fontId="26" fillId="29" borderId="3" xfId="0" applyFont="1" applyFill="1" applyBorder="1"/>
    <xf numFmtId="3" fontId="26" fillId="29" borderId="3" xfId="0" applyNumberFormat="1" applyFont="1" applyFill="1" applyBorder="1"/>
    <xf numFmtId="0" fontId="22" fillId="29" borderId="3" xfId="0" applyFont="1" applyFill="1" applyBorder="1"/>
    <xf numFmtId="0" fontId="26" fillId="29" borderId="4" xfId="0" applyFont="1" applyFill="1" applyBorder="1"/>
    <xf numFmtId="0" fontId="52" fillId="0" borderId="0" xfId="0" applyFont="1" applyAlignment="1">
      <alignment wrapText="1"/>
    </xf>
    <xf numFmtId="0" fontId="42" fillId="29" borderId="3" xfId="0" applyFont="1" applyFill="1" applyBorder="1" applyAlignment="1">
      <alignment vertical="center" wrapText="1"/>
    </xf>
    <xf numFmtId="0" fontId="22" fillId="25" borderId="3" xfId="0" applyFont="1" applyFill="1" applyBorder="1" applyAlignment="1">
      <alignment readingOrder="1"/>
    </xf>
    <xf numFmtId="0" fontId="11" fillId="29" borderId="4" xfId="0" applyFont="1" applyFill="1" applyBorder="1" applyAlignment="1">
      <alignment horizontal="left" vertical="center" readingOrder="1"/>
    </xf>
    <xf numFmtId="0" fontId="58" fillId="0" borderId="0" xfId="0" applyFont="1"/>
    <xf numFmtId="0" fontId="0" fillId="0" borderId="54" xfId="0" applyBorder="1" applyAlignment="1">
      <alignment vertical="center" wrapText="1"/>
    </xf>
    <xf numFmtId="9" fontId="52" fillId="0" borderId="54" xfId="0" applyNumberFormat="1" applyFont="1" applyBorder="1" applyAlignment="1">
      <alignment horizontal="right" vertical="center"/>
    </xf>
    <xf numFmtId="6" fontId="52" fillId="0" borderId="54" xfId="0" applyNumberFormat="1" applyFont="1" applyBorder="1" applyAlignment="1">
      <alignment horizontal="right" vertical="center"/>
    </xf>
    <xf numFmtId="8" fontId="52" fillId="0" borderId="54" xfId="0" applyNumberFormat="1" applyFont="1" applyBorder="1" applyAlignment="1">
      <alignment horizontal="right" vertical="center"/>
    </xf>
    <xf numFmtId="167" fontId="52" fillId="0" borderId="54" xfId="2" applyNumberFormat="1" applyFont="1" applyBorder="1" applyAlignment="1">
      <alignment horizontal="right" vertical="center"/>
    </xf>
    <xf numFmtId="0" fontId="52" fillId="0" borderId="54" xfId="0" applyFont="1" applyBorder="1" applyAlignment="1">
      <alignment vertical="center" wrapText="1"/>
    </xf>
    <xf numFmtId="0" fontId="52" fillId="0" borderId="54" xfId="0" applyFont="1" applyBorder="1" applyAlignment="1">
      <alignment vertical="center"/>
    </xf>
    <xf numFmtId="0" fontId="52" fillId="0" borderId="55" xfId="0" applyFont="1" applyBorder="1" applyAlignment="1">
      <alignment vertical="center"/>
    </xf>
    <xf numFmtId="0" fontId="18" fillId="4" borderId="3" xfId="0" applyFont="1" applyFill="1" applyBorder="1"/>
    <xf numFmtId="0" fontId="0" fillId="4" borderId="3" xfId="0" applyFill="1" applyBorder="1"/>
    <xf numFmtId="0" fontId="17" fillId="4" borderId="3" xfId="0" applyFont="1" applyFill="1" applyBorder="1"/>
    <xf numFmtId="0" fontId="18" fillId="0" borderId="3" xfId="0" applyFont="1" applyBorder="1"/>
    <xf numFmtId="0" fontId="17" fillId="0" borderId="3" xfId="0" applyFont="1" applyBorder="1"/>
    <xf numFmtId="167" fontId="17" fillId="0" borderId="3" xfId="2" applyNumberFormat="1" applyFont="1" applyBorder="1"/>
    <xf numFmtId="0" fontId="55" fillId="4" borderId="7" xfId="0" applyFont="1" applyFill="1" applyBorder="1" applyAlignment="1">
      <alignment vertical="center"/>
    </xf>
    <xf numFmtId="0" fontId="55" fillId="4" borderId="4" xfId="0" applyFont="1" applyFill="1" applyBorder="1" applyAlignment="1">
      <alignment vertical="center"/>
    </xf>
    <xf numFmtId="0" fontId="55" fillId="4" borderId="6" xfId="0" applyFont="1" applyFill="1" applyBorder="1" applyAlignment="1">
      <alignment vertical="center"/>
    </xf>
    <xf numFmtId="0" fontId="58" fillId="0" borderId="0" xfId="0" applyFont="1" applyAlignment="1">
      <alignment vertical="center"/>
    </xf>
    <xf numFmtId="10" fontId="55" fillId="13" borderId="3" xfId="0" applyNumberFormat="1" applyFont="1" applyFill="1" applyBorder="1" applyAlignment="1">
      <alignment horizontal="right" vertical="center"/>
    </xf>
    <xf numFmtId="6" fontId="12" fillId="0" borderId="3" xfId="0" applyNumberFormat="1" applyFont="1" applyBorder="1"/>
    <xf numFmtId="0" fontId="12" fillId="0" borderId="3" xfId="0" applyFont="1" applyBorder="1"/>
    <xf numFmtId="0" fontId="55" fillId="0" borderId="3" xfId="0" applyFont="1" applyBorder="1" applyAlignment="1">
      <alignment vertical="center"/>
    </xf>
    <xf numFmtId="6" fontId="0" fillId="0" borderId="0" xfId="0" applyNumberFormat="1"/>
    <xf numFmtId="10" fontId="55" fillId="30" borderId="3" xfId="0" applyNumberFormat="1" applyFont="1" applyFill="1" applyBorder="1" applyAlignment="1">
      <alignment horizontal="right" vertical="center"/>
    </xf>
    <xf numFmtId="6" fontId="12" fillId="30" borderId="3" xfId="0" applyNumberFormat="1" applyFont="1" applyFill="1" applyBorder="1"/>
    <xf numFmtId="0" fontId="12" fillId="30" borderId="7" xfId="0" applyFont="1" applyFill="1" applyBorder="1"/>
    <xf numFmtId="0" fontId="12" fillId="30" borderId="4" xfId="0" applyFont="1" applyFill="1" applyBorder="1"/>
    <xf numFmtId="0" fontId="12" fillId="30" borderId="6" xfId="0" applyFont="1" applyFill="1" applyBorder="1"/>
    <xf numFmtId="10" fontId="55" fillId="0" borderId="3" xfId="0" applyNumberFormat="1" applyFont="1" applyBorder="1" applyAlignment="1">
      <alignment horizontal="right" vertical="center"/>
    </xf>
    <xf numFmtId="6" fontId="0" fillId="0" borderId="3" xfId="0" applyNumberFormat="1" applyBorder="1"/>
    <xf numFmtId="10" fontId="0" fillId="0" borderId="0" xfId="4" applyNumberFormat="1" applyFont="1"/>
    <xf numFmtId="44" fontId="0" fillId="0" borderId="0" xfId="0" applyNumberFormat="1"/>
    <xf numFmtId="0" fontId="12" fillId="31" borderId="3" xfId="0" applyFont="1" applyFill="1" applyBorder="1" applyAlignment="1">
      <alignment horizontal="center"/>
    </xf>
    <xf numFmtId="6" fontId="12" fillId="31" borderId="3" xfId="0" applyNumberFormat="1" applyFont="1" applyFill="1" applyBorder="1" applyAlignment="1">
      <alignment horizontal="center"/>
    </xf>
    <xf numFmtId="6" fontId="55" fillId="32" borderId="3" xfId="0" applyNumberFormat="1" applyFont="1" applyFill="1" applyBorder="1" applyAlignment="1">
      <alignment horizontal="right" vertical="center"/>
    </xf>
    <xf numFmtId="8" fontId="55" fillId="32" borderId="3" xfId="0" applyNumberFormat="1" applyFont="1" applyFill="1" applyBorder="1" applyAlignment="1">
      <alignment horizontal="right" vertical="center"/>
    </xf>
    <xf numFmtId="0" fontId="55" fillId="32" borderId="3" xfId="0" applyFont="1" applyFill="1" applyBorder="1" applyAlignment="1">
      <alignment horizontal="right" vertical="center"/>
    </xf>
    <xf numFmtId="0" fontId="55" fillId="32" borderId="3" xfId="0" applyFont="1" applyFill="1" applyBorder="1" applyAlignment="1">
      <alignment vertical="center"/>
    </xf>
    <xf numFmtId="10" fontId="52" fillId="0" borderId="54" xfId="0" applyNumberFormat="1" applyFont="1" applyBorder="1" applyAlignment="1">
      <alignment horizontal="right" vertical="center"/>
    </xf>
    <xf numFmtId="43" fontId="52" fillId="0" borderId="54" xfId="0" applyNumberFormat="1" applyFont="1" applyBorder="1" applyAlignment="1">
      <alignment horizontal="right" vertical="center"/>
    </xf>
    <xf numFmtId="0" fontId="52" fillId="0" borderId="54" xfId="0" applyFont="1" applyBorder="1" applyAlignment="1">
      <alignment horizontal="right" vertical="center"/>
    </xf>
    <xf numFmtId="0" fontId="0" fillId="0" borderId="0" xfId="0" applyAlignment="1">
      <alignment vertical="center"/>
    </xf>
    <xf numFmtId="8" fontId="0" fillId="0" borderId="0" xfId="0" applyNumberFormat="1"/>
    <xf numFmtId="0" fontId="0" fillId="13" borderId="54" xfId="0" applyFill="1" applyBorder="1" applyAlignment="1">
      <alignment vertical="center" wrapText="1"/>
    </xf>
    <xf numFmtId="10" fontId="55" fillId="13" borderId="54" xfId="0" applyNumberFormat="1" applyFont="1" applyFill="1" applyBorder="1" applyAlignment="1">
      <alignment horizontal="right" vertical="center"/>
    </xf>
    <xf numFmtId="6" fontId="55" fillId="13" borderId="54" xfId="0" applyNumberFormat="1" applyFont="1" applyFill="1" applyBorder="1" applyAlignment="1">
      <alignment horizontal="right" vertical="center"/>
    </xf>
    <xf numFmtId="8" fontId="52" fillId="13" borderId="54" xfId="0" applyNumberFormat="1" applyFont="1" applyFill="1" applyBorder="1" applyAlignment="1">
      <alignment horizontal="right" vertical="center"/>
    </xf>
    <xf numFmtId="0" fontId="52" fillId="13" borderId="54" xfId="0" applyFont="1" applyFill="1" applyBorder="1" applyAlignment="1">
      <alignment horizontal="right" vertical="center"/>
    </xf>
    <xf numFmtId="0" fontId="55" fillId="13" borderId="54" xfId="0" applyFont="1" applyFill="1" applyBorder="1" applyAlignment="1">
      <alignment vertical="center"/>
    </xf>
    <xf numFmtId="0" fontId="55" fillId="13" borderId="55" xfId="0" applyFont="1" applyFill="1" applyBorder="1" applyAlignment="1">
      <alignment vertical="center"/>
    </xf>
    <xf numFmtId="43" fontId="52" fillId="0" borderId="54" xfId="2" applyFont="1" applyBorder="1" applyAlignment="1">
      <alignment vertical="center" wrapText="1"/>
    </xf>
    <xf numFmtId="8" fontId="55" fillId="13" borderId="54" xfId="0" applyNumberFormat="1" applyFont="1" applyFill="1" applyBorder="1" applyAlignment="1">
      <alignment horizontal="right" vertical="center"/>
    </xf>
    <xf numFmtId="0" fontId="55" fillId="13" borderId="54" xfId="0" applyFont="1" applyFill="1" applyBorder="1" applyAlignment="1">
      <alignment horizontal="right" vertical="center"/>
    </xf>
    <xf numFmtId="0" fontId="12" fillId="13" borderId="54" xfId="0" applyFont="1" applyFill="1" applyBorder="1" applyAlignment="1">
      <alignment vertical="center" wrapText="1"/>
    </xf>
    <xf numFmtId="0" fontId="59" fillId="33" borderId="56" xfId="0" applyFont="1" applyFill="1" applyBorder="1" applyAlignment="1">
      <alignment horizontal="center" vertical="center"/>
    </xf>
    <xf numFmtId="0" fontId="59" fillId="33" borderId="56" xfId="0" applyFont="1" applyFill="1" applyBorder="1" applyAlignment="1">
      <alignment horizontal="right" vertical="center"/>
    </xf>
    <xf numFmtId="0" fontId="59" fillId="33" borderId="57" xfId="0" applyFont="1" applyFill="1" applyBorder="1" applyAlignment="1">
      <alignment vertical="center"/>
    </xf>
    <xf numFmtId="0" fontId="12" fillId="30" borderId="0" xfId="0" applyFont="1" applyFill="1"/>
    <xf numFmtId="8" fontId="2" fillId="30" borderId="2" xfId="0" applyNumberFormat="1" applyFont="1" applyFill="1" applyBorder="1" applyAlignment="1">
      <alignment horizontal="center" vertical="center"/>
    </xf>
    <xf numFmtId="0" fontId="55" fillId="34" borderId="2" xfId="0" applyFont="1" applyFill="1" applyBorder="1" applyAlignment="1">
      <alignment vertical="center"/>
    </xf>
    <xf numFmtId="0" fontId="52" fillId="34" borderId="2" xfId="0" applyFont="1" applyFill="1" applyBorder="1" applyAlignment="1">
      <alignment vertical="center"/>
    </xf>
    <xf numFmtId="0" fontId="55" fillId="0" borderId="2" xfId="0" applyFont="1" applyBorder="1" applyAlignment="1">
      <alignment vertical="center"/>
    </xf>
    <xf numFmtId="0" fontId="55" fillId="0" borderId="2" xfId="0" applyFont="1" applyBorder="1" applyAlignment="1">
      <alignment horizontal="center" vertical="center"/>
    </xf>
    <xf numFmtId="0" fontId="52" fillId="0" borderId="1" xfId="0" applyFont="1" applyBorder="1" applyAlignment="1">
      <alignment horizontal="center" vertical="center"/>
    </xf>
    <xf numFmtId="0" fontId="1" fillId="0" borderId="1" xfId="0" applyFont="1" applyBorder="1" applyAlignment="1">
      <alignment vertical="center" wrapText="1"/>
    </xf>
    <xf numFmtId="8" fontId="1" fillId="0" borderId="1" xfId="0" applyNumberFormat="1" applyFont="1" applyBorder="1" applyAlignment="1">
      <alignment horizontal="center" vertical="center"/>
    </xf>
    <xf numFmtId="0" fontId="52" fillId="0" borderId="1" xfId="0" applyFont="1" applyBorder="1" applyAlignment="1">
      <alignment vertical="center"/>
    </xf>
    <xf numFmtId="8" fontId="52" fillId="2" borderId="1" xfId="0" applyNumberFormat="1" applyFont="1" applyFill="1" applyBorder="1" applyAlignment="1">
      <alignment vertical="center"/>
    </xf>
    <xf numFmtId="0" fontId="52" fillId="0" borderId="2" xfId="0" applyFont="1" applyBorder="1" applyAlignment="1">
      <alignment horizontal="center" vertical="center"/>
    </xf>
    <xf numFmtId="0" fontId="1" fillId="0" borderId="2" xfId="0" applyFont="1" applyBorder="1" applyAlignment="1">
      <alignment vertical="center" wrapText="1"/>
    </xf>
    <xf numFmtId="8" fontId="1" fillId="0" borderId="2" xfId="0" applyNumberFormat="1" applyFont="1" applyBorder="1" applyAlignment="1">
      <alignment horizontal="center" vertical="center"/>
    </xf>
    <xf numFmtId="0" fontId="52" fillId="0" borderId="2" xfId="0" applyFont="1" applyBorder="1" applyAlignment="1">
      <alignment vertical="center"/>
    </xf>
    <xf numFmtId="8" fontId="20" fillId="2" borderId="1" xfId="0" applyNumberFormat="1" applyFont="1" applyFill="1" applyBorder="1" applyAlignment="1">
      <alignment vertical="center"/>
    </xf>
    <xf numFmtId="0" fontId="16" fillId="0" borderId="2" xfId="0" applyFont="1" applyBorder="1" applyAlignment="1">
      <alignment vertical="center" wrapText="1"/>
    </xf>
    <xf numFmtId="8" fontId="16" fillId="0" borderId="2" xfId="0" applyNumberFormat="1" applyFont="1" applyBorder="1" applyAlignment="1">
      <alignment horizontal="center" vertical="center"/>
    </xf>
    <xf numFmtId="0" fontId="20" fillId="0" borderId="2" xfId="0" applyFont="1" applyBorder="1" applyAlignment="1">
      <alignment vertical="center"/>
    </xf>
    <xf numFmtId="0" fontId="16" fillId="0" borderId="1" xfId="0" applyFont="1" applyBorder="1" applyAlignment="1">
      <alignment vertical="center" wrapText="1"/>
    </xf>
    <xf numFmtId="8" fontId="16" fillId="0" borderId="1" xfId="0" applyNumberFormat="1" applyFont="1" applyBorder="1" applyAlignment="1">
      <alignment horizontal="center" vertical="center"/>
    </xf>
    <xf numFmtId="0" fontId="20" fillId="0" borderId="1" xfId="0" applyFont="1" applyBorder="1" applyAlignment="1">
      <alignment vertical="center"/>
    </xf>
    <xf numFmtId="0" fontId="0" fillId="0" borderId="58" xfId="0" applyBorder="1" applyAlignment="1">
      <alignment horizontal="center" vertical="center"/>
    </xf>
    <xf numFmtId="0" fontId="60" fillId="0" borderId="58" xfId="0" applyFont="1" applyBorder="1"/>
    <xf numFmtId="0" fontId="20" fillId="0" borderId="1" xfId="0" applyFont="1" applyBorder="1" applyAlignment="1">
      <alignment horizontal="left" vertical="center" wrapText="1"/>
    </xf>
    <xf numFmtId="0" fontId="20" fillId="0" borderId="1" xfId="0" applyFont="1" applyBorder="1" applyAlignment="1">
      <alignment vertical="center" wrapText="1"/>
    </xf>
    <xf numFmtId="0" fontId="52" fillId="0" borderId="0" xfId="0" applyFont="1" applyAlignment="1">
      <alignment horizontal="center" vertical="center"/>
    </xf>
    <xf numFmtId="0" fontId="2" fillId="29" borderId="0" xfId="0" applyFont="1" applyFill="1" applyAlignment="1">
      <alignment vertical="center" wrapText="1"/>
    </xf>
    <xf numFmtId="0" fontId="1" fillId="0" borderId="0" xfId="0" applyFont="1" applyAlignment="1">
      <alignment horizontal="center" vertical="center"/>
    </xf>
    <xf numFmtId="0" fontId="52" fillId="0" borderId="0" xfId="0" applyFont="1" applyAlignment="1">
      <alignment vertical="center"/>
    </xf>
    <xf numFmtId="8" fontId="55" fillId="35" borderId="0" xfId="0" applyNumberFormat="1" applyFont="1" applyFill="1" applyAlignment="1">
      <alignment vertical="center"/>
    </xf>
    <xf numFmtId="9" fontId="0" fillId="0" borderId="0" xfId="0" applyNumberFormat="1"/>
    <xf numFmtId="8" fontId="12" fillId="0" borderId="0" xfId="0" applyNumberFormat="1" applyFont="1"/>
    <xf numFmtId="0" fontId="61" fillId="29" borderId="0" xfId="0" applyFont="1" applyFill="1" applyAlignment="1">
      <alignment vertical="center" wrapText="1"/>
    </xf>
    <xf numFmtId="0" fontId="62" fillId="0" borderId="3" xfId="0" applyFont="1" applyBorder="1" applyAlignment="1">
      <alignment wrapText="1"/>
    </xf>
    <xf numFmtId="0" fontId="52" fillId="0" borderId="60" xfId="0" applyFont="1" applyBorder="1" applyAlignment="1">
      <alignment vertical="center"/>
    </xf>
    <xf numFmtId="8" fontId="52" fillId="35" borderId="2" xfId="0" applyNumberFormat="1" applyFont="1" applyFill="1" applyBorder="1" applyAlignment="1">
      <alignment vertical="center"/>
    </xf>
    <xf numFmtId="0" fontId="52" fillId="0" borderId="61" xfId="0" applyFont="1" applyBorder="1" applyAlignment="1">
      <alignment vertical="center"/>
    </xf>
    <xf numFmtId="0" fontId="52" fillId="0" borderId="28" xfId="0" applyFont="1" applyBorder="1" applyAlignment="1">
      <alignment vertical="center"/>
    </xf>
    <xf numFmtId="0" fontId="55" fillId="29" borderId="0" xfId="0" applyFont="1" applyFill="1" applyAlignment="1">
      <alignment horizontal="left" vertical="center"/>
    </xf>
    <xf numFmtId="8" fontId="55" fillId="35" borderId="2" xfId="0" applyNumberFormat="1" applyFont="1" applyFill="1" applyBorder="1" applyAlignment="1">
      <alignment vertical="center"/>
    </xf>
    <xf numFmtId="0" fontId="2" fillId="36" borderId="62" xfId="0" applyFont="1" applyFill="1" applyBorder="1" applyAlignment="1">
      <alignment horizontal="center" vertical="center" wrapText="1"/>
    </xf>
    <xf numFmtId="0" fontId="2" fillId="36" borderId="62" xfId="0" applyFont="1" applyFill="1" applyBorder="1" applyAlignment="1">
      <alignment vertical="center" wrapText="1"/>
    </xf>
    <xf numFmtId="0" fontId="52" fillId="0" borderId="22" xfId="0" applyFont="1" applyBorder="1" applyAlignment="1">
      <alignment horizontal="center" vertical="center"/>
    </xf>
    <xf numFmtId="0" fontId="1" fillId="29" borderId="3" xfId="0" applyFont="1" applyFill="1" applyBorder="1" applyAlignment="1">
      <alignment vertical="center" wrapText="1"/>
    </xf>
    <xf numFmtId="6" fontId="52" fillId="0" borderId="3" xfId="0" applyNumberFormat="1" applyFont="1" applyBorder="1" applyAlignment="1">
      <alignment horizontal="center" vertical="center"/>
    </xf>
    <xf numFmtId="6" fontId="52" fillId="2" borderId="1" xfId="0" applyNumberFormat="1" applyFont="1" applyFill="1" applyBorder="1" applyAlignment="1">
      <alignment vertical="center"/>
    </xf>
    <xf numFmtId="0" fontId="1" fillId="0" borderId="3" xfId="0" applyFont="1" applyBorder="1" applyAlignment="1">
      <alignment vertical="center" wrapText="1"/>
    </xf>
    <xf numFmtId="6" fontId="1" fillId="0" borderId="3" xfId="0" applyNumberFormat="1" applyFont="1" applyBorder="1" applyAlignment="1">
      <alignment horizontal="center" vertical="center"/>
    </xf>
    <xf numFmtId="0" fontId="0" fillId="0" borderId="0" xfId="1" applyFont="1" applyAlignment="1">
      <alignment wrapText="1"/>
    </xf>
    <xf numFmtId="0" fontId="52" fillId="0" borderId="22" xfId="0" applyFont="1" applyBorder="1" applyAlignment="1">
      <alignment vertical="center"/>
    </xf>
    <xf numFmtId="0" fontId="52" fillId="0" borderId="3" xfId="0" applyFont="1" applyBorder="1" applyAlignment="1">
      <alignment vertical="center"/>
    </xf>
    <xf numFmtId="0" fontId="55" fillId="0" borderId="0" xfId="0" applyFont="1" applyAlignment="1">
      <alignment vertical="center"/>
    </xf>
    <xf numFmtId="6" fontId="55" fillId="35" borderId="0" xfId="0" applyNumberFormat="1" applyFont="1" applyFill="1" applyAlignment="1">
      <alignment vertical="center"/>
    </xf>
    <xf numFmtId="44" fontId="0" fillId="0" borderId="0" xfId="3" applyFont="1" applyAlignment="1">
      <alignment vertical="center"/>
    </xf>
    <xf numFmtId="0" fontId="0" fillId="37" borderId="0" xfId="0" applyFill="1" applyAlignment="1">
      <alignment vertical="center"/>
    </xf>
    <xf numFmtId="0" fontId="63" fillId="38" borderId="2" xfId="0" applyFont="1" applyFill="1" applyBorder="1" applyAlignment="1">
      <alignment vertical="center" wrapText="1"/>
    </xf>
    <xf numFmtId="8" fontId="62" fillId="0" borderId="3" xfId="0" applyNumberFormat="1" applyFont="1" applyBorder="1" applyAlignment="1">
      <alignment wrapText="1"/>
    </xf>
    <xf numFmtId="44" fontId="52" fillId="2" borderId="3" xfId="3" applyFont="1" applyFill="1" applyBorder="1" applyAlignment="1">
      <alignment vertical="center"/>
    </xf>
    <xf numFmtId="44" fontId="12" fillId="0" borderId="0" xfId="0" applyNumberFormat="1" applyFont="1" applyAlignment="1">
      <alignment vertical="center"/>
    </xf>
    <xf numFmtId="0" fontId="0" fillId="30" borderId="0" xfId="0" applyFill="1"/>
    <xf numFmtId="0" fontId="2" fillId="0" borderId="3" xfId="0" applyFont="1" applyBorder="1"/>
    <xf numFmtId="0" fontId="1" fillId="0" borderId="3" xfId="0" applyFont="1" applyBorder="1"/>
    <xf numFmtId="0" fontId="1" fillId="0" borderId="3" xfId="0" applyFont="1" applyBorder="1" applyAlignment="1">
      <alignment wrapText="1"/>
    </xf>
    <xf numFmtId="4" fontId="1" fillId="0" borderId="0" xfId="0" applyNumberFormat="1" applyFont="1"/>
    <xf numFmtId="10" fontId="1" fillId="0" borderId="0" xfId="0" applyNumberFormat="1" applyFont="1"/>
    <xf numFmtId="0" fontId="64" fillId="0" borderId="3" xfId="0" applyFont="1" applyBorder="1"/>
    <xf numFmtId="0" fontId="12" fillId="39" borderId="3" xfId="0" applyFont="1" applyFill="1" applyBorder="1"/>
    <xf numFmtId="0" fontId="12" fillId="39" borderId="3" xfId="0" applyFont="1" applyFill="1" applyBorder="1" applyAlignment="1">
      <alignment horizontal="center"/>
    </xf>
    <xf numFmtId="0" fontId="0" fillId="0" borderId="3" xfId="0" applyBorder="1" applyAlignment="1">
      <alignment horizontal="center"/>
    </xf>
    <xf numFmtId="8" fontId="0" fillId="0" borderId="3" xfId="0" applyNumberFormat="1" applyBorder="1" applyAlignment="1">
      <alignment horizontal="center"/>
    </xf>
    <xf numFmtId="8" fontId="50" fillId="0" borderId="3" xfId="0" applyNumberFormat="1" applyFont="1" applyBorder="1" applyAlignment="1">
      <alignment horizontal="center"/>
    </xf>
    <xf numFmtId="0" fontId="65" fillId="39" borderId="0" xfId="0" applyFont="1" applyFill="1" applyAlignment="1">
      <alignment horizontal="center"/>
    </xf>
    <xf numFmtId="8" fontId="65" fillId="39" borderId="0" xfId="0" applyNumberFormat="1" applyFont="1" applyFill="1" applyAlignment="1">
      <alignment horizontal="center"/>
    </xf>
    <xf numFmtId="0" fontId="66" fillId="0" borderId="54" xfId="0" applyFont="1" applyBorder="1" applyAlignment="1">
      <alignment horizontal="right" vertical="center"/>
    </xf>
    <xf numFmtId="165" fontId="67" fillId="0" borderId="3" xfId="2" applyNumberFormat="1" applyFont="1" applyBorder="1" applyAlignment="1">
      <alignment horizontal="center" vertical="center"/>
    </xf>
    <xf numFmtId="8" fontId="66" fillId="0" borderId="54" xfId="0" applyNumberFormat="1" applyFont="1" applyBorder="1" applyAlignment="1">
      <alignment horizontal="center" vertical="center"/>
    </xf>
    <xf numFmtId="0" fontId="20" fillId="4" borderId="1" xfId="0" applyFont="1" applyFill="1" applyBorder="1" applyAlignment="1">
      <alignment vertical="center"/>
    </xf>
    <xf numFmtId="8" fontId="68" fillId="0" borderId="54" xfId="0" applyNumberFormat="1" applyFont="1" applyBorder="1" applyAlignment="1">
      <alignment horizontal="right" vertical="center"/>
    </xf>
    <xf numFmtId="0" fontId="6" fillId="0" borderId="0" xfId="0" applyFont="1" applyAlignment="1">
      <alignment horizontal="right" vertical="center" indent="1" readingOrder="1"/>
    </xf>
    <xf numFmtId="0" fontId="6" fillId="0" borderId="0" xfId="0" applyFont="1" applyAlignment="1">
      <alignment horizontal="right" indent="1"/>
    </xf>
    <xf numFmtId="0" fontId="24" fillId="12" borderId="3" xfId="0" applyFont="1" applyFill="1" applyBorder="1" applyAlignment="1">
      <alignment horizontal="center"/>
    </xf>
    <xf numFmtId="0" fontId="24" fillId="10" borderId="6" xfId="0" applyFont="1" applyFill="1" applyBorder="1" applyAlignment="1">
      <alignment horizontal="center"/>
    </xf>
    <xf numFmtId="0" fontId="24" fillId="10" borderId="7" xfId="0" applyFont="1" applyFill="1" applyBorder="1" applyAlignment="1">
      <alignment horizontal="center"/>
    </xf>
    <xf numFmtId="0" fontId="24" fillId="10" borderId="4" xfId="0" applyFont="1" applyFill="1" applyBorder="1" applyAlignment="1">
      <alignment horizontal="center"/>
    </xf>
    <xf numFmtId="0" fontId="24" fillId="10" borderId="3" xfId="0" applyFont="1" applyFill="1" applyBorder="1" applyAlignment="1">
      <alignment horizontal="center"/>
    </xf>
    <xf numFmtId="0" fontId="25" fillId="0" borderId="0" xfId="0" applyFont="1" applyAlignment="1">
      <alignment horizontal="left" wrapText="1"/>
    </xf>
    <xf numFmtId="0" fontId="25" fillId="0" borderId="0" xfId="0" applyFont="1" applyAlignment="1">
      <alignment horizontal="left"/>
    </xf>
    <xf numFmtId="0" fontId="24" fillId="11" borderId="5" xfId="0" applyFont="1" applyFill="1" applyBorder="1" applyAlignment="1">
      <alignment horizontal="center"/>
    </xf>
    <xf numFmtId="0" fontId="24" fillId="11" borderId="3" xfId="0" applyFont="1" applyFill="1" applyBorder="1" applyAlignment="1">
      <alignment horizontal="center"/>
    </xf>
    <xf numFmtId="0" fontId="24" fillId="11" borderId="6" xfId="0" applyFont="1" applyFill="1" applyBorder="1" applyAlignment="1">
      <alignment horizontal="center"/>
    </xf>
    <xf numFmtId="0" fontId="24" fillId="11" borderId="7" xfId="0" applyFont="1" applyFill="1" applyBorder="1" applyAlignment="1">
      <alignment horizontal="center"/>
    </xf>
    <xf numFmtId="0" fontId="24" fillId="11" borderId="4" xfId="0" applyFont="1" applyFill="1" applyBorder="1" applyAlignment="1">
      <alignment horizontal="center"/>
    </xf>
    <xf numFmtId="0" fontId="24" fillId="11" borderId="18" xfId="0" applyFont="1" applyFill="1" applyBorder="1" applyAlignment="1">
      <alignment horizontal="center"/>
    </xf>
    <xf numFmtId="0" fontId="24" fillId="11" borderId="19" xfId="0" applyFont="1" applyFill="1" applyBorder="1" applyAlignment="1">
      <alignment horizontal="center"/>
    </xf>
    <xf numFmtId="0" fontId="24" fillId="11" borderId="20" xfId="0" applyFont="1" applyFill="1" applyBorder="1" applyAlignment="1">
      <alignment horizontal="center"/>
    </xf>
    <xf numFmtId="0" fontId="24" fillId="10" borderId="18" xfId="0" applyFont="1" applyFill="1" applyBorder="1" applyAlignment="1">
      <alignment horizontal="center"/>
    </xf>
    <xf numFmtId="0" fontId="24" fillId="10" borderId="19" xfId="0" applyFont="1" applyFill="1" applyBorder="1" applyAlignment="1">
      <alignment horizontal="center"/>
    </xf>
    <xf numFmtId="0" fontId="30" fillId="13" borderId="8" xfId="0" applyFont="1" applyFill="1" applyBorder="1" applyAlignment="1">
      <alignment horizontal="center" wrapText="1"/>
    </xf>
    <xf numFmtId="0" fontId="30" fillId="13" borderId="9" xfId="0" applyFont="1" applyFill="1" applyBorder="1" applyAlignment="1">
      <alignment horizontal="center" wrapText="1"/>
    </xf>
    <xf numFmtId="0" fontId="30" fillId="13" borderId="10" xfId="0" applyFont="1" applyFill="1" applyBorder="1" applyAlignment="1">
      <alignment horizontal="center" wrapText="1"/>
    </xf>
    <xf numFmtId="0" fontId="22"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4" fillId="23" borderId="6" xfId="0" applyFont="1" applyFill="1" applyBorder="1" applyAlignment="1">
      <alignment horizontal="center"/>
    </xf>
    <xf numFmtId="0" fontId="24" fillId="23" borderId="19" xfId="0" applyFont="1" applyFill="1" applyBorder="1" applyAlignment="1">
      <alignment horizontal="center"/>
    </xf>
    <xf numFmtId="0" fontId="24" fillId="23" borderId="4" xfId="0" applyFont="1" applyFill="1" applyBorder="1" applyAlignment="1">
      <alignment horizontal="center"/>
    </xf>
    <xf numFmtId="0" fontId="1" fillId="0" borderId="0" xfId="0" applyFont="1"/>
    <xf numFmtId="0" fontId="38" fillId="0" borderId="0" xfId="0" applyFont="1"/>
    <xf numFmtId="0" fontId="1" fillId="0" borderId="27" xfId="0" applyFont="1" applyBorder="1" applyAlignment="1">
      <alignment vertical="center"/>
    </xf>
    <xf numFmtId="0" fontId="1" fillId="22" borderId="21" xfId="0" applyFont="1" applyFill="1" applyBorder="1" applyAlignment="1">
      <alignment horizontal="center" vertical="center"/>
    </xf>
    <xf numFmtId="0" fontId="1" fillId="22" borderId="5" xfId="0" applyFont="1" applyFill="1" applyBorder="1" applyAlignment="1">
      <alignment horizontal="center" vertical="center"/>
    </xf>
    <xf numFmtId="0" fontId="1" fillId="0" borderId="23" xfId="0" applyFont="1" applyBorder="1" applyAlignment="1">
      <alignment horizontal="center" vertical="center" textRotation="180"/>
    </xf>
    <xf numFmtId="0" fontId="1" fillId="0" borderId="25" xfId="0" applyFont="1" applyBorder="1" applyAlignment="1">
      <alignment horizontal="center" vertical="center" textRotation="180"/>
    </xf>
    <xf numFmtId="0" fontId="1" fillId="0" borderId="24" xfId="0" applyFont="1" applyBorder="1" applyAlignment="1">
      <alignment horizontal="center" vertical="center" textRotation="180"/>
    </xf>
    <xf numFmtId="0" fontId="1" fillId="0" borderId="26" xfId="0" applyFont="1" applyBorder="1" applyAlignment="1">
      <alignment horizontal="center" vertical="center" textRotation="180"/>
    </xf>
    <xf numFmtId="0" fontId="1" fillId="27" borderId="21" xfId="0" applyFont="1" applyFill="1" applyBorder="1" applyAlignment="1">
      <alignment horizontal="center" vertical="center"/>
    </xf>
    <xf numFmtId="0" fontId="1" fillId="27" borderId="42" xfId="0" applyFont="1" applyFill="1" applyBorder="1" applyAlignment="1">
      <alignment horizontal="center" vertical="center"/>
    </xf>
    <xf numFmtId="0" fontId="1" fillId="22" borderId="42" xfId="0" applyFont="1" applyFill="1" applyBorder="1" applyAlignment="1">
      <alignment horizontal="center" vertical="center"/>
    </xf>
    <xf numFmtId="0" fontId="1" fillId="24" borderId="21" xfId="0" applyFont="1" applyFill="1" applyBorder="1" applyAlignment="1">
      <alignment horizontal="center" vertical="center"/>
    </xf>
    <xf numFmtId="0" fontId="1" fillId="24" borderId="5" xfId="0" applyFont="1" applyFill="1" applyBorder="1" applyAlignment="1">
      <alignment horizontal="center" vertical="center"/>
    </xf>
    <xf numFmtId="0" fontId="1" fillId="22" borderId="36" xfId="0" applyFont="1" applyFill="1" applyBorder="1" applyAlignment="1">
      <alignment horizontal="center" vertical="center"/>
    </xf>
    <xf numFmtId="0" fontId="1" fillId="22" borderId="37" xfId="0" applyFont="1" applyFill="1" applyBorder="1" applyAlignment="1">
      <alignment horizontal="center" vertical="center"/>
    </xf>
    <xf numFmtId="0" fontId="1" fillId="22" borderId="26" xfId="0" applyFont="1" applyFill="1" applyBorder="1" applyAlignment="1">
      <alignment horizontal="center" vertical="center"/>
    </xf>
    <xf numFmtId="0" fontId="1" fillId="27" borderId="5" xfId="0" applyFont="1" applyFill="1" applyBorder="1" applyAlignment="1">
      <alignment horizontal="center" vertical="center"/>
    </xf>
    <xf numFmtId="0" fontId="1" fillId="0" borderId="27" xfId="0" applyFont="1" applyBorder="1"/>
    <xf numFmtId="0" fontId="1" fillId="0" borderId="50" xfId="0" applyFont="1" applyBorder="1"/>
    <xf numFmtId="0" fontId="1" fillId="0" borderId="43" xfId="0" applyFont="1" applyBorder="1"/>
    <xf numFmtId="0" fontId="1" fillId="0" borderId="52" xfId="0" applyFont="1" applyBorder="1"/>
    <xf numFmtId="0" fontId="1" fillId="22" borderId="38" xfId="0" applyFont="1" applyFill="1" applyBorder="1" applyAlignment="1">
      <alignment horizontal="center" vertical="center"/>
    </xf>
    <xf numFmtId="0" fontId="1" fillId="24" borderId="47" xfId="0" applyFont="1" applyFill="1" applyBorder="1" applyAlignment="1">
      <alignment horizontal="center" vertical="center"/>
    </xf>
    <xf numFmtId="0" fontId="1" fillId="24" borderId="51" xfId="0" applyFont="1" applyFill="1" applyBorder="1" applyAlignment="1">
      <alignment horizontal="center" vertical="center"/>
    </xf>
    <xf numFmtId="0" fontId="1" fillId="27" borderId="47" xfId="0" applyFont="1" applyFill="1" applyBorder="1" applyAlignment="1">
      <alignment horizontal="center" vertical="center"/>
    </xf>
    <xf numFmtId="0" fontId="1" fillId="27" borderId="48" xfId="0" applyFont="1" applyFill="1" applyBorder="1" applyAlignment="1">
      <alignment horizontal="center" vertical="center"/>
    </xf>
    <xf numFmtId="0" fontId="1" fillId="27" borderId="36" xfId="0" applyFont="1" applyFill="1" applyBorder="1" applyAlignment="1">
      <alignment horizontal="center" vertical="center"/>
    </xf>
    <xf numFmtId="0" fontId="1" fillId="27" borderId="37" xfId="0" applyFont="1" applyFill="1" applyBorder="1" applyAlignment="1">
      <alignment horizontal="center" vertical="center"/>
    </xf>
    <xf numFmtId="0" fontId="1" fillId="27" borderId="51" xfId="0" applyFont="1" applyFill="1" applyBorder="1" applyAlignment="1">
      <alignment horizontal="center" vertical="center"/>
    </xf>
    <xf numFmtId="0" fontId="1" fillId="22" borderId="53" xfId="0" applyFont="1" applyFill="1" applyBorder="1" applyAlignment="1">
      <alignment horizontal="center" vertical="center"/>
    </xf>
    <xf numFmtId="0" fontId="0" fillId="0" borderId="0" xfId="0" applyAlignment="1">
      <alignment horizontal="center"/>
    </xf>
    <xf numFmtId="0" fontId="2" fillId="36" borderId="59" xfId="0" applyFont="1" applyFill="1" applyBorder="1" applyAlignment="1">
      <alignment horizontal="left" vertical="center" wrapText="1"/>
    </xf>
    <xf numFmtId="0" fontId="2" fillId="36" borderId="0" xfId="0" applyFont="1" applyFill="1" applyAlignment="1">
      <alignment horizontal="left" vertical="center" wrapText="1"/>
    </xf>
    <xf numFmtId="0" fontId="0" fillId="0" borderId="63" xfId="0" applyBorder="1" applyAlignment="1">
      <alignment horizontal="center" vertical="center"/>
    </xf>
    <xf numFmtId="0" fontId="0" fillId="0" borderId="0" xfId="0" applyAlignment="1">
      <alignment horizontal="center" vertical="center"/>
    </xf>
  </cellXfs>
  <cellStyles count="5">
    <cellStyle name="Comma" xfId="2" builtinId="3"/>
    <cellStyle name="Currency" xfId="3" builtinId="4"/>
    <cellStyle name="Normal" xfId="0" builtinId="0"/>
    <cellStyle name="Normal 2" xfId="1" xr:uid="{7EB298B3-B501-4096-B7D1-BD9F5733902D}"/>
    <cellStyle name="Percent" xfId="4" builtinId="5"/>
  </cellStyles>
  <dxfs count="0"/>
  <tableStyles count="0" defaultTableStyle="TableStyleMedium2" defaultPivotStyle="PivotStyleLight16"/>
  <colors>
    <mruColors>
      <color rgb="FFE2E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bankofamerica.com/Personal/Lotus123/Alternate%20Officing%20-%20Charlotte/Discovery%20File/Discovery%20File.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ell-my.sharepoint.com/personal/paul_klinger_dell_com/Documents/SDSS/Customer/Coreweave/Coreweave_Gaines%201.5%20GB200_PS1%20CSP%20Pricing%20Model_v1.6_11262024.xlsx" TargetMode="External"/><Relationship Id="rId1" Type="http://schemas.openxmlformats.org/officeDocument/2006/relationships/externalLinkPath" Target="https://dell.sharepoint.com/personal/paul_klinger_dell_com/Documents/SDSS/Customer/Coreweave/Coreweave_Gaines%201.5%20GB200_PS1%20CSP%20Pricing%20Model_v1.6_1126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jardinetechh-my.sharepoint.com/Users/yuank1/Desktop/Common%20Use/SEA/SEA%20Quote%20Processor%20v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ell.sharepoint.com/sites/XCorporationRackIntegrationProject/Shared%20Documents/General/2%20-%20Project%20Management/02%20-%20Governance%20Plan/X%20Corp%20GenAI%20Program%20Workbook.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ell.sharepoint.com/personal/jennifer_wilder_dell_com/Documents/Cummins/EUC1%202023%20Schedule/Cummins%20EUC1%20Schedule%20-%2010-24-22%20-%20JW.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dell-my.sharepoint.com/personal/abdullah_abuzaid_dell_com/Documents/Desktop/IREN/P&amp;L%20-%20BOM%20-%20NETWORK%20-%202026-08-27-%20IREN%20-%2050MW%20252%20Racks%20-%20Sweetwater%20VR%20NVL72_SN6600-LD_DH.xlsx" TargetMode="External"/><Relationship Id="rId1" Type="http://schemas.openxmlformats.org/officeDocument/2006/relationships/externalLinkPath" Target="P&amp;L%20-%20BOM%20-%20NETWORK%20-%202026-08-27-%20IREN%20-%2050MW%20252%20Racks%20-%20Sweetwater%20VR%20NVL72_SN6600-LD_DH.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vamshidhar_doma_dell_com/Documents/AI-ML/Customer%20Opportunities/NScale/NScale%20WVA%20VR%20144k%204x36k%202026.8.20%20%20V3%20PnL.xlsx" TargetMode="External"/><Relationship Id="rId2" Type="http://schemas.openxmlformats.org/officeDocument/2006/relationships/externalLinkPath" Target="https://dell-my.sharepoint.com/personal/vamshidhar_doma_dell_com/Documents/AI-ML/Customer%20Opportunities/NScale/NScale%20WVA%20VR%20144k%204x36k%202026.8.20%20%20V3%20PnL.xlsx" TargetMode="External"/><Relationship Id="rId1" Type="http://schemas.openxmlformats.org/officeDocument/2006/relationships/externalLinkPath" Target="/personal/vamshidhar_doma_dell_com/Documents/AI-ML/Customer%20Opportunities/NScale/NScale%20WVA%20VR%20144k%204x36k%202026.8.20%20%20V3%20Pn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da"/>
      <sheetName val="TARs"/>
      <sheetName val="Issues"/>
      <sheetName val="Key Decisions"/>
      <sheetName val="Risks"/>
      <sheetName val="Change Controls"/>
      <sheetName val="Contacts"/>
      <sheetName val="Data"/>
      <sheetName val="Base Summary"/>
      <sheetName val="Phases"/>
      <sheetName val="Milestones"/>
      <sheetName val="KeyTask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ing Model"/>
      <sheetName val="Sample Template"/>
      <sheetName val="Reference Data"/>
      <sheetName val="Cost"/>
      <sheetName val="LOIS Summary"/>
      <sheetName val="GB200 Parts"/>
      <sheetName val="XE9785L OLD"/>
      <sheetName val="XE9680L BOM"/>
      <sheetName val="XE9785L BOM"/>
      <sheetName val="XE9680L_SKU_BOM"/>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or"/>
      <sheetName val="Info"/>
      <sheetName val="Template"/>
      <sheetName val="IQR"/>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amp; Status"/>
      <sheetName val="Key Info"/>
      <sheetName val="Quotes and Orders"/>
      <sheetName val="Reports"/>
      <sheetName val="% Complete"/>
      <sheetName val="Status Trend"/>
      <sheetName val="Stakeholders"/>
      <sheetName val="Communication Plan"/>
      <sheetName val="Comms Plan (Meeting Cadence)"/>
      <sheetName val="Risks &amp; Issues"/>
      <sheetName val="RAID Dashboard"/>
      <sheetName val="Action Items"/>
      <sheetName val=" Decisions"/>
      <sheetName val="Interview Schedule"/>
      <sheetName val="Updated Dashboard"/>
      <sheetName val="Progress Dashboard"/>
      <sheetName val="ARB"/>
      <sheetName val="Open Action Log (AMD &amp; Nvidia)"/>
      <sheetName val="Actions &amp; Open Items"/>
      <sheetName val="Closed Action Log"/>
      <sheetName val="EBC Action Items and Notes"/>
      <sheetName val="Assumptions"/>
      <sheetName val="Dependencies"/>
      <sheetName val="Exit Criteria"/>
      <sheetName val="Changes"/>
      <sheetName val="Inventory List"/>
      <sheetName val="Email Text"/>
      <sheetName val="Data"/>
      <sheetName val="Tools"/>
      <sheetName val="Lessons Learned"/>
      <sheetName val="WBS"/>
      <sheetName val="US T-Minus"/>
      <sheetName val="Escalation P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UC1 Schedule"/>
      <sheetName val="Change Log"/>
      <sheetName val="EUC1 Home"/>
      <sheetName val="Order Schedule - JW"/>
      <sheetName val="Lead Times"/>
      <sheetName val="LookUp"/>
      <sheetName val="Site details V2"/>
      <sheetName val="Lead Time Detail"/>
      <sheetName val="EUC1_Schedule"/>
      <sheetName val="Change_Log"/>
      <sheetName val="EUC1_Home"/>
      <sheetName val="Order_Schedule_-_JW"/>
      <sheetName val="Lead_Times"/>
      <sheetName val="Site_details_V2"/>
      <sheetName val="Lead_Time_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GOAL Export"/>
      <sheetName val="Version"/>
      <sheetName val="L11 BOM Ntwk"/>
      <sheetName val="Rack-Elevations"/>
      <sheetName val="Rack BOM"/>
      <sheetName val="Services Summary"/>
      <sheetName val="DW2000P_1"/>
      <sheetName val="Compute_Management"/>
    </sheetNames>
    <sheetDataSet>
      <sheetData sheetId="0"/>
      <sheetData sheetId="1"/>
      <sheetData sheetId="2"/>
      <sheetData sheetId="3"/>
      <sheetData sheetId="4"/>
      <sheetData sheetId="5">
        <row r="2">
          <cell r="E2">
            <v>47480.51</v>
          </cell>
          <cell r="G2">
            <v>60269.480303030308</v>
          </cell>
        </row>
        <row r="44">
          <cell r="E44">
            <v>10882</v>
          </cell>
          <cell r="G44">
            <v>12365.90909090909</v>
          </cell>
        </row>
      </sheetData>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nL SN6810"/>
      <sheetName val="Rack BOM"/>
      <sheetName val="PnL SN6600-LD"/>
    </sheetNames>
    <sheetDataSet>
      <sheetData sheetId="0"/>
      <sheetData sheetId="1">
        <row r="42">
          <cell r="G42">
            <v>81513.166666666672</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2E10-625C-4894-BD65-526C14B90219}">
  <dimension ref="A1:K23"/>
  <sheetViews>
    <sheetView workbookViewId="0">
      <selection activeCell="D30" sqref="D30"/>
    </sheetView>
  </sheetViews>
  <sheetFormatPr defaultRowHeight="14.4" x14ac:dyDescent="0.3"/>
  <cols>
    <col min="1" max="1" width="28" bestFit="1" customWidth="1"/>
    <col min="2" max="2" width="12" bestFit="1" customWidth="1"/>
    <col min="3" max="4" width="11.44140625" bestFit="1" customWidth="1"/>
    <col min="5" max="5" width="12.6640625" bestFit="1" customWidth="1"/>
    <col min="6" max="6" width="11.33203125" customWidth="1"/>
    <col min="7" max="7" width="16" bestFit="1" customWidth="1"/>
    <col min="8" max="8" width="12" bestFit="1" customWidth="1"/>
    <col min="9" max="9" width="10.5546875" customWidth="1"/>
    <col min="10" max="10" width="16" bestFit="1" customWidth="1"/>
    <col min="11" max="11" width="11" bestFit="1" customWidth="1"/>
  </cols>
  <sheetData>
    <row r="1" spans="1:11" x14ac:dyDescent="0.3">
      <c r="A1" s="35" t="s">
        <v>0</v>
      </c>
      <c r="B1" s="35" t="s">
        <v>1</v>
      </c>
      <c r="C1" s="35" t="s">
        <v>2</v>
      </c>
      <c r="D1" s="35" t="s">
        <v>3</v>
      </c>
      <c r="E1" s="35" t="s">
        <v>4</v>
      </c>
      <c r="F1" s="35" t="s">
        <v>5</v>
      </c>
      <c r="G1" s="35" t="s">
        <v>6</v>
      </c>
      <c r="H1" s="35" t="s">
        <v>7</v>
      </c>
      <c r="I1" s="35" t="s">
        <v>8</v>
      </c>
      <c r="J1" s="35" t="s">
        <v>9</v>
      </c>
      <c r="K1" s="35" t="s">
        <v>10</v>
      </c>
    </row>
    <row r="2" spans="1:11" x14ac:dyDescent="0.3">
      <c r="A2" s="36" t="s">
        <v>11</v>
      </c>
      <c r="B2" s="37">
        <f>'GOAL Export'!G9</f>
        <v>285251.93</v>
      </c>
      <c r="C2" s="37">
        <f>2430*2</f>
        <v>4860</v>
      </c>
      <c r="D2" s="37">
        <v>8600</v>
      </c>
      <c r="E2" s="37">
        <f>B2-C2-D2</f>
        <v>271791.93</v>
      </c>
      <c r="F2" s="36">
        <v>1664</v>
      </c>
      <c r="G2" s="37">
        <f>F2*E2</f>
        <v>452261771.51999998</v>
      </c>
      <c r="H2" s="37">
        <v>267000</v>
      </c>
      <c r="I2" s="38">
        <f>(H2-E2)/H2</f>
        <v>-1.794730337078649E-2</v>
      </c>
      <c r="J2" s="37">
        <f>H2*F2</f>
        <v>444288000</v>
      </c>
      <c r="K2" s="36"/>
    </row>
    <row r="23" spans="1:1" x14ac:dyDescent="0.3">
      <c r="A23" s="39"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0AB-99A8-4C32-ACFD-9E5DD3C33ABF}">
  <dimension ref="A1:G9"/>
  <sheetViews>
    <sheetView workbookViewId="0">
      <selection activeCell="B24" sqref="B24"/>
    </sheetView>
  </sheetViews>
  <sheetFormatPr defaultRowHeight="14.4" x14ac:dyDescent="0.3"/>
  <cols>
    <col min="1" max="1" width="19.5546875" bestFit="1" customWidth="1"/>
    <col min="2" max="2" width="75.109375" bestFit="1" customWidth="1"/>
    <col min="4" max="4" width="21.44140625" bestFit="1" customWidth="1"/>
    <col min="5" max="5" width="25.109375" bestFit="1" customWidth="1"/>
    <col min="7" max="7" width="10.44140625" bestFit="1" customWidth="1"/>
  </cols>
  <sheetData>
    <row r="1" spans="1:7" ht="15.6" x14ac:dyDescent="0.3">
      <c r="A1" s="30" t="s">
        <v>13</v>
      </c>
      <c r="B1" s="31" t="s">
        <v>14</v>
      </c>
      <c r="C1" s="31" t="s">
        <v>15</v>
      </c>
      <c r="D1" s="31" t="s">
        <v>16</v>
      </c>
      <c r="E1" s="31" t="s">
        <v>17</v>
      </c>
      <c r="F1" s="31" t="s">
        <v>18</v>
      </c>
      <c r="G1" s="31" t="s">
        <v>1</v>
      </c>
    </row>
    <row r="2" spans="1:7" x14ac:dyDescent="0.3">
      <c r="A2" s="32" t="s">
        <v>19</v>
      </c>
      <c r="B2" s="32" t="s">
        <v>20</v>
      </c>
      <c r="C2" s="32">
        <v>634</v>
      </c>
      <c r="D2" s="33">
        <f>G2/0.8</f>
        <v>32099.309999999998</v>
      </c>
      <c r="E2" s="33">
        <f>D2*C2</f>
        <v>20350962.539999999</v>
      </c>
      <c r="F2" s="34">
        <f>(D2-G2)/D2</f>
        <v>0.19999999999999993</v>
      </c>
      <c r="G2" s="33">
        <v>25679.448</v>
      </c>
    </row>
    <row r="3" spans="1:7" x14ac:dyDescent="0.3">
      <c r="A3" s="32" t="s">
        <v>19</v>
      </c>
      <c r="B3" s="32" t="s">
        <v>21</v>
      </c>
      <c r="C3" s="32">
        <v>2</v>
      </c>
      <c r="D3" s="33">
        <f t="shared" ref="D3:D8" si="0">G3/0.8</f>
        <v>16908.856249999997</v>
      </c>
      <c r="E3" s="33">
        <f t="shared" ref="E3:E9" si="1">D3*C3</f>
        <v>33817.712499999994</v>
      </c>
      <c r="F3" s="34">
        <f t="shared" ref="F3:F9" si="2">(D3-G3)/D3</f>
        <v>0.1999999999999999</v>
      </c>
      <c r="G3" s="33">
        <v>13527.084999999999</v>
      </c>
    </row>
    <row r="4" spans="1:7" x14ac:dyDescent="0.3">
      <c r="A4" s="32" t="s">
        <v>19</v>
      </c>
      <c r="B4" s="32" t="s">
        <v>22</v>
      </c>
      <c r="C4" s="32">
        <v>79</v>
      </c>
      <c r="D4" s="33">
        <f t="shared" si="0"/>
        <v>2967.4468749999996</v>
      </c>
      <c r="E4" s="33">
        <f t="shared" si="1"/>
        <v>234428.30312499998</v>
      </c>
      <c r="F4" s="34">
        <f t="shared" si="2"/>
        <v>0.1999999999999999</v>
      </c>
      <c r="G4" s="33">
        <v>2373.9575</v>
      </c>
    </row>
    <row r="5" spans="1:7" x14ac:dyDescent="0.3">
      <c r="A5" s="32" t="s">
        <v>19</v>
      </c>
      <c r="B5" s="32" t="s">
        <v>20</v>
      </c>
      <c r="C5" s="32">
        <v>208</v>
      </c>
      <c r="D5" s="33">
        <f t="shared" si="0"/>
        <v>35899.859999999993</v>
      </c>
      <c r="E5" s="33">
        <f t="shared" si="1"/>
        <v>7467170.879999999</v>
      </c>
      <c r="F5" s="34">
        <f t="shared" si="2"/>
        <v>0.19999999999999987</v>
      </c>
      <c r="G5" s="33">
        <v>28719.887999999999</v>
      </c>
    </row>
    <row r="6" spans="1:7" x14ac:dyDescent="0.3">
      <c r="A6" s="32" t="s">
        <v>23</v>
      </c>
      <c r="B6" s="32" t="s">
        <v>20</v>
      </c>
      <c r="C6" s="32">
        <v>840</v>
      </c>
      <c r="D6" s="33">
        <f t="shared" si="0"/>
        <v>35644.097499999996</v>
      </c>
      <c r="E6" s="33">
        <f t="shared" si="1"/>
        <v>29941041.899999999</v>
      </c>
      <c r="F6" s="34">
        <f t="shared" si="2"/>
        <v>0.19999999999999996</v>
      </c>
      <c r="G6" s="33">
        <v>28515.277999999998</v>
      </c>
    </row>
    <row r="7" spans="1:7" x14ac:dyDescent="0.3">
      <c r="A7" s="32" t="s">
        <v>23</v>
      </c>
      <c r="B7" s="32" t="s">
        <v>21</v>
      </c>
      <c r="C7" s="32">
        <v>2</v>
      </c>
      <c r="D7" s="33">
        <f t="shared" si="0"/>
        <v>17248.393749999999</v>
      </c>
      <c r="E7" s="33">
        <f t="shared" si="1"/>
        <v>34496.787499999999</v>
      </c>
      <c r="F7" s="34">
        <f t="shared" si="2"/>
        <v>0.19999999999999996</v>
      </c>
      <c r="G7" s="33">
        <v>13798.715</v>
      </c>
    </row>
    <row r="8" spans="1:7" x14ac:dyDescent="0.3">
      <c r="A8" s="32" t="s">
        <v>23</v>
      </c>
      <c r="B8" s="32" t="s">
        <v>22</v>
      </c>
      <c r="C8" s="32">
        <v>79</v>
      </c>
      <c r="D8" s="33">
        <f t="shared" si="0"/>
        <v>3727.3968749999999</v>
      </c>
      <c r="E8" s="33">
        <f t="shared" si="1"/>
        <v>294464.35312499997</v>
      </c>
      <c r="F8" s="34">
        <f t="shared" si="2"/>
        <v>0.19999999999999998</v>
      </c>
      <c r="G8" s="33">
        <v>2981.9175</v>
      </c>
    </row>
    <row r="9" spans="1:7" x14ac:dyDescent="0.3">
      <c r="A9" s="32" t="s">
        <v>24</v>
      </c>
      <c r="B9" s="32" t="s">
        <v>25</v>
      </c>
      <c r="C9" s="32">
        <v>1664</v>
      </c>
      <c r="D9" s="33">
        <v>267000</v>
      </c>
      <c r="E9" s="33">
        <f t="shared" si="1"/>
        <v>444288000</v>
      </c>
      <c r="F9" s="34">
        <f t="shared" si="2"/>
        <v>-6.8359288389513079E-2</v>
      </c>
      <c r="G9" s="33">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03C2-0706-419A-8AEA-54BF63B79A35}">
  <sheetPr>
    <tabColor theme="0" tint="-0.249977111117893"/>
  </sheetPr>
  <dimension ref="A1:F49"/>
  <sheetViews>
    <sheetView zoomScale="110" zoomScaleNormal="110" workbookViewId="0">
      <selection activeCell="D3" sqref="D3"/>
    </sheetView>
  </sheetViews>
  <sheetFormatPr defaultColWidth="9.109375" defaultRowHeight="13.8" x14ac:dyDescent="0.25"/>
  <cols>
    <col min="1" max="1" width="12.109375" style="5" customWidth="1"/>
    <col min="2" max="2" width="12" style="8" customWidth="1"/>
    <col min="3" max="3" width="12" style="5" customWidth="1"/>
    <col min="4" max="5" width="30.6640625" style="9" customWidth="1"/>
    <col min="6" max="6" width="193" style="5" customWidth="1"/>
    <col min="7" max="16384" width="9.109375" style="5"/>
  </cols>
  <sheetData>
    <row r="1" spans="1:6" s="11" customFormat="1" ht="17.399999999999999" x14ac:dyDescent="0.3">
      <c r="A1" s="375" t="s">
        <v>26</v>
      </c>
      <c r="B1" s="375"/>
      <c r="C1" s="375"/>
      <c r="D1" s="22" t="s">
        <v>27</v>
      </c>
      <c r="E1" s="20"/>
    </row>
    <row r="2" spans="1:6" s="11" customFormat="1" ht="17.399999999999999" x14ac:dyDescent="0.3">
      <c r="A2" s="15"/>
      <c r="B2" s="15"/>
      <c r="C2" s="15" t="s">
        <v>28</v>
      </c>
      <c r="D2" s="22"/>
      <c r="E2" s="20"/>
    </row>
    <row r="3" spans="1:6" s="11" customFormat="1" ht="17.399999999999999" x14ac:dyDescent="0.3">
      <c r="A3" s="375" t="s">
        <v>29</v>
      </c>
      <c r="B3" s="375"/>
      <c r="C3" s="375"/>
      <c r="D3" s="23" t="s">
        <v>30</v>
      </c>
      <c r="E3" s="20"/>
    </row>
    <row r="4" spans="1:6" s="11" customFormat="1" ht="17.399999999999999" x14ac:dyDescent="0.3">
      <c r="A4" s="15"/>
      <c r="B4" s="15"/>
      <c r="C4" s="15" t="s">
        <v>31</v>
      </c>
      <c r="D4" s="22" t="s">
        <v>32</v>
      </c>
      <c r="E4" s="20"/>
    </row>
    <row r="5" spans="1:6" s="11" customFormat="1" ht="17.399999999999999" x14ac:dyDescent="0.3">
      <c r="A5" s="376" t="s">
        <v>33</v>
      </c>
      <c r="B5" s="376"/>
      <c r="C5" s="376"/>
      <c r="D5" s="21"/>
      <c r="E5" s="20"/>
    </row>
    <row r="6" spans="1:6" s="11" customFormat="1" ht="17.399999999999999" x14ac:dyDescent="0.3">
      <c r="A6" s="12"/>
      <c r="B6" s="12"/>
      <c r="C6" s="12" t="s">
        <v>34</v>
      </c>
      <c r="D6" s="21"/>
      <c r="E6" s="20"/>
    </row>
    <row r="7" spans="1:6" s="11" customFormat="1" ht="17.399999999999999" x14ac:dyDescent="0.3">
      <c r="A7" s="12"/>
      <c r="B7" s="12"/>
      <c r="C7" s="12" t="s">
        <v>35</v>
      </c>
      <c r="D7" s="21"/>
      <c r="E7" s="20"/>
    </row>
    <row r="8" spans="1:6" s="11" customFormat="1" ht="17.399999999999999" x14ac:dyDescent="0.3">
      <c r="A8" s="12"/>
      <c r="B8" s="12"/>
      <c r="C8" s="12" t="s">
        <v>36</v>
      </c>
      <c r="D8" s="21"/>
      <c r="E8" s="20"/>
    </row>
    <row r="9" spans="1:6" s="11" customFormat="1" ht="17.399999999999999" x14ac:dyDescent="0.3">
      <c r="A9" s="12"/>
      <c r="B9" s="12"/>
      <c r="C9" s="12" t="s">
        <v>37</v>
      </c>
      <c r="D9" s="21"/>
      <c r="E9" s="20"/>
    </row>
    <row r="10" spans="1:6" s="11" customFormat="1" ht="17.399999999999999" x14ac:dyDescent="0.3">
      <c r="A10" s="12"/>
      <c r="B10" s="12"/>
      <c r="C10" s="12"/>
      <c r="D10" s="21"/>
      <c r="E10" s="20"/>
    </row>
    <row r="11" spans="1:6" ht="15.75" customHeight="1" x14ac:dyDescent="0.25">
      <c r="B11" s="6" t="s">
        <v>38</v>
      </c>
      <c r="C11" s="6" t="s">
        <v>39</v>
      </c>
      <c r="D11" s="6" t="s">
        <v>40</v>
      </c>
      <c r="E11" s="6" t="s">
        <v>41</v>
      </c>
      <c r="F11" s="17" t="s">
        <v>42</v>
      </c>
    </row>
    <row r="12" spans="1:6" x14ac:dyDescent="0.25">
      <c r="B12" s="7">
        <v>1</v>
      </c>
      <c r="C12" s="14">
        <v>46111</v>
      </c>
      <c r="D12" s="7" t="s">
        <v>43</v>
      </c>
      <c r="E12" s="7" t="s">
        <v>44</v>
      </c>
      <c r="F12" s="13" t="s">
        <v>45</v>
      </c>
    </row>
    <row r="13" spans="1:6" x14ac:dyDescent="0.25">
      <c r="B13" s="7"/>
      <c r="C13" s="14"/>
      <c r="D13" s="7"/>
      <c r="E13" s="7"/>
      <c r="F13" s="13"/>
    </row>
    <row r="14" spans="1:6" x14ac:dyDescent="0.25">
      <c r="B14" s="7"/>
      <c r="C14" s="14"/>
      <c r="D14" s="7"/>
      <c r="E14" s="7"/>
      <c r="F14" s="13"/>
    </row>
    <row r="15" spans="1:6" x14ac:dyDescent="0.25">
      <c r="B15" s="7"/>
      <c r="C15" s="14"/>
      <c r="D15" s="7"/>
      <c r="E15" s="7"/>
      <c r="F15" s="13"/>
    </row>
    <row r="16" spans="1:6" x14ac:dyDescent="0.25">
      <c r="B16" s="7"/>
      <c r="C16" s="14"/>
      <c r="D16" s="7"/>
      <c r="E16" s="7"/>
      <c r="F16" s="13"/>
    </row>
    <row r="17" spans="1:6" x14ac:dyDescent="0.25">
      <c r="B17" s="7"/>
      <c r="C17" s="7"/>
      <c r="D17" s="7"/>
      <c r="E17" s="7"/>
      <c r="F17" s="7"/>
    </row>
    <row r="18" spans="1:6" x14ac:dyDescent="0.25">
      <c r="A18" s="9"/>
      <c r="B18" s="10"/>
    </row>
    <row r="19" spans="1:6" x14ac:dyDescent="0.25">
      <c r="A19" s="9"/>
      <c r="B19" s="10"/>
    </row>
    <row r="20" spans="1:6" x14ac:dyDescent="0.25">
      <c r="A20" s="9"/>
      <c r="B20" s="10"/>
    </row>
    <row r="21" spans="1:6" ht="17.399999999999999" x14ac:dyDescent="0.3">
      <c r="A21" s="9"/>
      <c r="B21" s="16" t="s">
        <v>46</v>
      </c>
    </row>
    <row r="22" spans="1:6" ht="15.75" customHeight="1" x14ac:dyDescent="0.25">
      <c r="A22" s="9"/>
      <c r="B22" s="9"/>
      <c r="C22" s="6" t="s">
        <v>39</v>
      </c>
      <c r="D22" s="6" t="s">
        <v>47</v>
      </c>
      <c r="E22" s="6" t="s">
        <v>48</v>
      </c>
      <c r="F22" s="17" t="s">
        <v>49</v>
      </c>
    </row>
    <row r="23" spans="1:6" ht="15" customHeight="1" x14ac:dyDescent="0.25">
      <c r="A23" s="9"/>
      <c r="B23" s="9"/>
      <c r="C23" s="14"/>
      <c r="D23" s="7"/>
      <c r="E23" s="7"/>
      <c r="F23" s="13"/>
    </row>
    <row r="24" spans="1:6" x14ac:dyDescent="0.25">
      <c r="A24" s="9"/>
      <c r="B24" s="9"/>
      <c r="C24" s="14"/>
      <c r="D24" s="7"/>
      <c r="E24" s="7"/>
      <c r="F24" s="7"/>
    </row>
    <row r="25" spans="1:6" x14ac:dyDescent="0.25">
      <c r="A25" s="9"/>
      <c r="B25" s="9"/>
      <c r="C25" s="14"/>
      <c r="D25" s="7"/>
      <c r="E25" s="7"/>
      <c r="F25" s="7"/>
    </row>
    <row r="26" spans="1:6" x14ac:dyDescent="0.25">
      <c r="A26" s="9"/>
      <c r="B26" s="9"/>
      <c r="C26" s="14"/>
      <c r="D26" s="7"/>
      <c r="E26" s="7"/>
      <c r="F26" s="7"/>
    </row>
    <row r="27" spans="1:6" x14ac:dyDescent="0.25">
      <c r="A27" s="9"/>
      <c r="B27" s="9"/>
      <c r="C27" s="14"/>
      <c r="D27" s="7"/>
      <c r="E27" s="7"/>
      <c r="F27" s="7"/>
    </row>
    <row r="28" spans="1:6" x14ac:dyDescent="0.25">
      <c r="A28" s="9"/>
      <c r="B28" s="9"/>
      <c r="C28" s="7"/>
      <c r="D28" s="7"/>
      <c r="E28" s="7"/>
      <c r="F28" s="7"/>
    </row>
    <row r="29" spans="1:6" x14ac:dyDescent="0.25">
      <c r="A29" s="9"/>
      <c r="B29" s="10"/>
    </row>
    <row r="30" spans="1:6" x14ac:dyDescent="0.25">
      <c r="A30" s="9"/>
      <c r="B30" s="10"/>
    </row>
    <row r="31" spans="1:6" x14ac:dyDescent="0.25">
      <c r="A31" s="9"/>
      <c r="B31" s="10"/>
    </row>
    <row r="32" spans="1:6" x14ac:dyDescent="0.25">
      <c r="A32" s="9"/>
      <c r="B32" s="19"/>
    </row>
    <row r="33" spans="1:2" x14ac:dyDescent="0.25">
      <c r="A33" s="9"/>
      <c r="B33" s="19"/>
    </row>
    <row r="34" spans="1:2" x14ac:dyDescent="0.25">
      <c r="A34" s="9"/>
      <c r="B34" s="19"/>
    </row>
    <row r="35" spans="1:2" x14ac:dyDescent="0.25">
      <c r="A35" s="9"/>
      <c r="B35" s="19"/>
    </row>
    <row r="36" spans="1:2" x14ac:dyDescent="0.25">
      <c r="A36" s="9"/>
      <c r="B36" s="19"/>
    </row>
    <row r="37" spans="1:2" x14ac:dyDescent="0.25">
      <c r="A37" s="9"/>
      <c r="B37" s="18"/>
    </row>
    <row r="38" spans="1:2" x14ac:dyDescent="0.25">
      <c r="A38" s="9"/>
      <c r="B38" s="18"/>
    </row>
    <row r="39" spans="1:2" x14ac:dyDescent="0.25">
      <c r="B39" s="18"/>
    </row>
    <row r="40" spans="1:2" x14ac:dyDescent="0.25">
      <c r="B40" s="18"/>
    </row>
    <row r="41" spans="1:2" x14ac:dyDescent="0.25">
      <c r="B41" s="18"/>
    </row>
    <row r="42" spans="1:2" x14ac:dyDescent="0.25">
      <c r="B42" s="18"/>
    </row>
    <row r="43" spans="1:2" x14ac:dyDescent="0.25">
      <c r="B43" s="18"/>
    </row>
    <row r="44" spans="1:2" x14ac:dyDescent="0.25">
      <c r="B44" s="18"/>
    </row>
    <row r="45" spans="1:2" x14ac:dyDescent="0.25">
      <c r="B45" s="18"/>
    </row>
    <row r="46" spans="1:2" x14ac:dyDescent="0.25">
      <c r="B46" s="18"/>
    </row>
    <row r="47" spans="1:2" x14ac:dyDescent="0.25">
      <c r="B47" s="18"/>
    </row>
    <row r="48" spans="1:2" x14ac:dyDescent="0.25">
      <c r="B48" s="18"/>
    </row>
    <row r="49" spans="2:2" x14ac:dyDescent="0.25">
      <c r="B49" s="18"/>
    </row>
  </sheetData>
  <mergeCells count="3">
    <mergeCell ref="A1:C1"/>
    <mergeCell ref="A3:C3"/>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4C5C-B730-4EBC-BCEA-AB91220F2B8E}">
  <sheetPr>
    <tabColor theme="9"/>
  </sheetPr>
  <dimension ref="A1:U212"/>
  <sheetViews>
    <sheetView topLeftCell="A50" zoomScale="160" zoomScaleNormal="160" workbookViewId="0">
      <selection activeCell="E64" sqref="E64"/>
    </sheetView>
  </sheetViews>
  <sheetFormatPr defaultRowHeight="14.4" x14ac:dyDescent="0.3"/>
  <cols>
    <col min="1" max="1" width="54.109375" bestFit="1" customWidth="1"/>
    <col min="4" max="4" width="9.44140625" bestFit="1" customWidth="1"/>
    <col min="5" max="5" width="41.44140625" bestFit="1" customWidth="1"/>
    <col min="6" max="6" width="95.88671875" customWidth="1"/>
    <col min="7" max="7" width="91.88671875" customWidth="1"/>
    <col min="11" max="11" width="15" customWidth="1"/>
  </cols>
  <sheetData>
    <row r="1" spans="1:19" x14ac:dyDescent="0.3">
      <c r="A1" s="378" t="s">
        <v>50</v>
      </c>
      <c r="B1" s="379"/>
      <c r="C1" s="379"/>
      <c r="D1" s="379"/>
      <c r="E1" s="379"/>
      <c r="F1" s="379"/>
      <c r="G1" s="380"/>
    </row>
    <row r="2" spans="1:19" s="25" customFormat="1" x14ac:dyDescent="0.3">
      <c r="A2" s="46" t="s">
        <v>0</v>
      </c>
      <c r="B2" s="46" t="s">
        <v>51</v>
      </c>
      <c r="C2" s="46" t="s">
        <v>52</v>
      </c>
      <c r="D2" s="47" t="s">
        <v>53</v>
      </c>
      <c r="E2" s="46" t="s">
        <v>54</v>
      </c>
      <c r="F2" s="46" t="s">
        <v>55</v>
      </c>
      <c r="G2" s="48" t="s">
        <v>56</v>
      </c>
      <c r="H2" s="24"/>
      <c r="I2" s="24"/>
      <c r="J2" s="24"/>
      <c r="K2" s="24"/>
      <c r="L2" s="24"/>
      <c r="M2" s="24"/>
      <c r="N2" s="24"/>
      <c r="O2" s="24"/>
    </row>
    <row r="3" spans="1:19" s="108" customFormat="1" ht="28.8" x14ac:dyDescent="0.3">
      <c r="A3" s="139" t="s">
        <v>57</v>
      </c>
      <c r="B3" s="139">
        <v>576</v>
      </c>
      <c r="C3" s="139">
        <v>0</v>
      </c>
      <c r="D3" s="139">
        <f>SUM(B3:C3)</f>
        <v>576</v>
      </c>
      <c r="E3" s="145" t="s">
        <v>58</v>
      </c>
      <c r="F3" s="145" t="s">
        <v>59</v>
      </c>
      <c r="G3" s="126"/>
    </row>
    <row r="4" spans="1:19" s="108" customFormat="1" ht="28.8" x14ac:dyDescent="0.3">
      <c r="A4" s="139" t="s">
        <v>60</v>
      </c>
      <c r="B4" s="139">
        <v>288</v>
      </c>
      <c r="C4" s="139">
        <v>0</v>
      </c>
      <c r="D4" s="139">
        <f t="shared" ref="D4:D5" si="0">SUM(B4:C4)</f>
        <v>288</v>
      </c>
      <c r="E4" s="145" t="s">
        <v>58</v>
      </c>
      <c r="F4" s="145" t="s">
        <v>59</v>
      </c>
      <c r="G4" s="126"/>
    </row>
    <row r="5" spans="1:19" s="27" customFormat="1" x14ac:dyDescent="0.3">
      <c r="A5" s="49" t="s">
        <v>61</v>
      </c>
      <c r="B5" s="49">
        <v>0</v>
      </c>
      <c r="C5" s="49">
        <v>0</v>
      </c>
      <c r="D5" s="49">
        <f t="shared" si="0"/>
        <v>0</v>
      </c>
      <c r="E5" s="89"/>
      <c r="F5" s="130" t="s">
        <v>62</v>
      </c>
      <c r="G5" s="54"/>
      <c r="H5" s="26"/>
      <c r="I5" s="26"/>
      <c r="J5" s="26"/>
      <c r="K5" s="26"/>
      <c r="L5" s="26"/>
      <c r="M5" s="26"/>
      <c r="N5" s="26"/>
      <c r="O5" s="26"/>
    </row>
    <row r="7" spans="1:19" s="27" customFormat="1" x14ac:dyDescent="0.3">
      <c r="A7" s="52"/>
      <c r="B7" s="52"/>
      <c r="C7" s="52"/>
      <c r="D7" s="52"/>
      <c r="E7" s="45"/>
      <c r="F7" s="52"/>
      <c r="G7" s="52"/>
      <c r="H7" s="26"/>
      <c r="I7" s="26"/>
      <c r="J7" s="26"/>
      <c r="K7" s="26"/>
      <c r="L7" s="26"/>
      <c r="M7" s="26"/>
      <c r="N7" s="26"/>
      <c r="O7" s="26"/>
    </row>
    <row r="8" spans="1:19" s="27" customFormat="1" x14ac:dyDescent="0.3">
      <c r="A8" s="381" t="s">
        <v>63</v>
      </c>
      <c r="B8" s="381"/>
      <c r="C8" s="381"/>
      <c r="D8" s="381"/>
      <c r="E8" s="381"/>
      <c r="F8" s="381"/>
      <c r="G8" s="381"/>
      <c r="H8" s="26"/>
      <c r="I8" s="26"/>
      <c r="J8" s="26"/>
      <c r="K8" s="26"/>
      <c r="L8" s="26"/>
      <c r="M8" s="26"/>
      <c r="N8" s="26"/>
      <c r="O8" s="26"/>
    </row>
    <row r="9" spans="1:19" s="27" customFormat="1" x14ac:dyDescent="0.3">
      <c r="A9" s="46" t="s">
        <v>0</v>
      </c>
      <c r="B9" s="46" t="s">
        <v>51</v>
      </c>
      <c r="C9" s="46" t="s">
        <v>52</v>
      </c>
      <c r="D9" s="53" t="s">
        <v>53</v>
      </c>
      <c r="E9" s="46" t="s">
        <v>54</v>
      </c>
      <c r="F9" s="46" t="s">
        <v>55</v>
      </c>
      <c r="G9" s="48" t="s">
        <v>56</v>
      </c>
      <c r="H9" s="26"/>
      <c r="I9" s="26"/>
      <c r="J9" s="26"/>
      <c r="K9" s="26"/>
      <c r="L9" s="26"/>
      <c r="M9" s="26"/>
      <c r="N9" s="26"/>
      <c r="O9" s="26"/>
    </row>
    <row r="10" spans="1:19" s="27" customFormat="1" x14ac:dyDescent="0.3">
      <c r="A10" s="54" t="s">
        <v>64</v>
      </c>
      <c r="B10" s="54">
        <v>144</v>
      </c>
      <c r="C10" s="54">
        <v>0</v>
      </c>
      <c r="D10" s="54">
        <f t="shared" ref="D10:D77" si="1">B10+C10</f>
        <v>144</v>
      </c>
      <c r="E10" s="93" t="s">
        <v>65</v>
      </c>
      <c r="F10" s="93" t="s">
        <v>66</v>
      </c>
      <c r="G10" s="50"/>
      <c r="H10" s="26"/>
      <c r="I10" s="26"/>
      <c r="J10" s="26"/>
      <c r="K10" s="26"/>
      <c r="L10" s="26"/>
      <c r="M10" s="26"/>
      <c r="N10" s="26"/>
      <c r="O10" s="26"/>
    </row>
    <row r="11" spans="1:19" s="27" customFormat="1" x14ac:dyDescent="0.3">
      <c r="A11" s="54" t="s">
        <v>67</v>
      </c>
      <c r="B11" s="54">
        <v>72</v>
      </c>
      <c r="C11" s="54">
        <v>0</v>
      </c>
      <c r="D11" s="54">
        <f t="shared" si="1"/>
        <v>72</v>
      </c>
      <c r="E11" s="93" t="s">
        <v>65</v>
      </c>
      <c r="F11" s="93" t="s">
        <v>66</v>
      </c>
      <c r="G11" s="50"/>
      <c r="H11" s="26"/>
      <c r="I11" s="26" t="s">
        <v>62</v>
      </c>
      <c r="J11" s="26"/>
      <c r="K11" s="26" t="s">
        <v>62</v>
      </c>
      <c r="L11" s="26"/>
      <c r="M11" s="26"/>
      <c r="N11" s="26"/>
      <c r="O11" s="26"/>
      <c r="S11" s="26"/>
    </row>
    <row r="12" spans="1:19" s="27" customFormat="1" x14ac:dyDescent="0.3">
      <c r="A12" s="54" t="s">
        <v>68</v>
      </c>
      <c r="B12" s="54">
        <v>0</v>
      </c>
      <c r="C12" s="54">
        <v>0</v>
      </c>
      <c r="D12" s="54">
        <f t="shared" si="1"/>
        <v>0</v>
      </c>
      <c r="E12" s="93" t="s">
        <v>65</v>
      </c>
      <c r="F12" s="93" t="s">
        <v>66</v>
      </c>
      <c r="G12" s="50"/>
      <c r="H12" s="26"/>
      <c r="I12" s="26"/>
      <c r="J12" s="26"/>
      <c r="K12" s="26"/>
      <c r="L12" s="26"/>
      <c r="M12" s="26"/>
      <c r="N12" s="26"/>
      <c r="O12" s="26"/>
      <c r="S12" s="26"/>
    </row>
    <row r="13" spans="1:19" s="27" customFormat="1" x14ac:dyDescent="0.3">
      <c r="A13" s="54" t="s">
        <v>69</v>
      </c>
      <c r="B13" s="54">
        <v>0</v>
      </c>
      <c r="C13" s="54">
        <v>0</v>
      </c>
      <c r="D13" s="54">
        <f t="shared" si="1"/>
        <v>0</v>
      </c>
      <c r="E13" s="93" t="s">
        <v>65</v>
      </c>
      <c r="F13" s="93" t="s">
        <v>66</v>
      </c>
      <c r="G13" s="50"/>
      <c r="H13" s="26"/>
      <c r="I13" s="26"/>
      <c r="J13" s="26"/>
      <c r="K13" s="26"/>
      <c r="L13" s="26"/>
      <c r="M13" s="26"/>
      <c r="N13" s="26"/>
      <c r="O13" s="26"/>
      <c r="S13" s="26"/>
    </row>
    <row r="14" spans="1:19" s="27" customFormat="1" x14ac:dyDescent="0.3">
      <c r="A14" s="54" t="s">
        <v>70</v>
      </c>
      <c r="B14" s="54">
        <v>36</v>
      </c>
      <c r="C14" s="54">
        <v>0</v>
      </c>
      <c r="D14" s="54">
        <f t="shared" si="1"/>
        <v>36</v>
      </c>
      <c r="E14" s="93" t="s">
        <v>65</v>
      </c>
      <c r="F14" s="93" t="s">
        <v>66</v>
      </c>
      <c r="G14" s="50"/>
      <c r="H14" s="26"/>
      <c r="I14" s="26"/>
      <c r="J14" s="26"/>
      <c r="K14" s="26"/>
      <c r="L14" s="26"/>
      <c r="M14" s="26"/>
      <c r="N14" s="26"/>
      <c r="O14" s="26"/>
      <c r="S14" s="26"/>
    </row>
    <row r="15" spans="1:19" s="27" customFormat="1" x14ac:dyDescent="0.3">
      <c r="A15" s="54" t="s">
        <v>71</v>
      </c>
      <c r="B15" s="54">
        <v>4</v>
      </c>
      <c r="C15" s="54">
        <v>0</v>
      </c>
      <c r="D15" s="54">
        <f t="shared" si="1"/>
        <v>4</v>
      </c>
      <c r="E15" s="93" t="s">
        <v>65</v>
      </c>
      <c r="F15" s="93" t="s">
        <v>66</v>
      </c>
      <c r="G15" s="50"/>
      <c r="H15" s="26"/>
      <c r="I15" s="26"/>
      <c r="J15" s="26"/>
      <c r="K15" s="26"/>
      <c r="L15" s="26"/>
      <c r="M15" s="26"/>
      <c r="N15" s="26"/>
      <c r="O15" s="26"/>
      <c r="S15" s="26"/>
    </row>
    <row r="16" spans="1:19" s="27" customFormat="1" x14ac:dyDescent="0.3">
      <c r="A16" s="54" t="s">
        <v>72</v>
      </c>
      <c r="B16" s="54">
        <v>0</v>
      </c>
      <c r="C16" s="54">
        <v>0</v>
      </c>
      <c r="D16" s="54">
        <f t="shared" si="1"/>
        <v>0</v>
      </c>
      <c r="E16" s="93" t="s">
        <v>65</v>
      </c>
      <c r="F16" s="93" t="s">
        <v>66</v>
      </c>
      <c r="G16" s="50"/>
      <c r="H16" s="26"/>
      <c r="I16" s="26"/>
      <c r="J16" s="26"/>
      <c r="K16" s="26"/>
      <c r="L16" s="26"/>
      <c r="M16" s="26"/>
      <c r="N16" s="26"/>
      <c r="O16" s="26"/>
      <c r="S16" s="26"/>
    </row>
    <row r="17" spans="1:19" s="27" customFormat="1" x14ac:dyDescent="0.3">
      <c r="A17" s="54" t="s">
        <v>73</v>
      </c>
      <c r="B17" s="54">
        <v>72</v>
      </c>
      <c r="C17" s="54">
        <v>0</v>
      </c>
      <c r="D17" s="54">
        <f t="shared" si="1"/>
        <v>72</v>
      </c>
      <c r="E17" s="93" t="s">
        <v>65</v>
      </c>
      <c r="F17" s="93" t="s">
        <v>66</v>
      </c>
      <c r="G17" s="50"/>
      <c r="H17" s="26"/>
      <c r="I17" s="26"/>
      <c r="J17" s="26"/>
      <c r="K17" s="26"/>
      <c r="L17" s="26"/>
      <c r="M17" s="26"/>
      <c r="N17" s="26"/>
      <c r="O17" s="26"/>
      <c r="S17" s="26"/>
    </row>
    <row r="18" spans="1:19" s="27" customFormat="1" x14ac:dyDescent="0.3">
      <c r="A18" s="54" t="s">
        <v>74</v>
      </c>
      <c r="B18" s="54">
        <v>0</v>
      </c>
      <c r="C18" s="54">
        <v>0</v>
      </c>
      <c r="D18" s="54">
        <f t="shared" si="1"/>
        <v>0</v>
      </c>
      <c r="E18" s="93" t="s">
        <v>65</v>
      </c>
      <c r="F18" s="93" t="s">
        <v>66</v>
      </c>
      <c r="G18" s="50"/>
      <c r="H18" s="26"/>
      <c r="I18" s="26"/>
      <c r="J18" s="26"/>
      <c r="K18" s="26"/>
      <c r="L18" s="26"/>
      <c r="M18" s="26"/>
      <c r="N18" s="26"/>
      <c r="O18" s="26"/>
      <c r="S18" s="26"/>
    </row>
    <row r="19" spans="1:19" s="26" customFormat="1" x14ac:dyDescent="0.3">
      <c r="A19" s="392" t="s">
        <v>75</v>
      </c>
      <c r="B19" s="393"/>
      <c r="C19" s="393"/>
      <c r="D19" s="393"/>
      <c r="E19" s="393"/>
      <c r="F19" s="393"/>
      <c r="G19" s="380"/>
      <c r="P19" s="27"/>
      <c r="Q19" s="27"/>
      <c r="R19" s="27"/>
      <c r="S19" s="27"/>
    </row>
    <row r="20" spans="1:19" s="26" customFormat="1" x14ac:dyDescent="0.3">
      <c r="A20" s="48" t="s">
        <v>0</v>
      </c>
      <c r="B20" s="48" t="s">
        <v>51</v>
      </c>
      <c r="C20" s="48" t="s">
        <v>52</v>
      </c>
      <c r="D20" s="56" t="s">
        <v>53</v>
      </c>
      <c r="E20" s="48" t="s">
        <v>54</v>
      </c>
      <c r="F20" s="48" t="s">
        <v>55</v>
      </c>
      <c r="G20" s="48" t="s">
        <v>56</v>
      </c>
      <c r="P20" s="27"/>
      <c r="Q20" s="27"/>
      <c r="R20" s="27"/>
      <c r="S20" s="27"/>
    </row>
    <row r="21" spans="1:19" s="27" customFormat="1" x14ac:dyDescent="0.3">
      <c r="A21" s="54" t="s">
        <v>76</v>
      </c>
      <c r="B21" s="54">
        <v>180</v>
      </c>
      <c r="C21" s="54">
        <v>0</v>
      </c>
      <c r="D21" s="54">
        <v>180</v>
      </c>
      <c r="E21" s="225" t="s">
        <v>77</v>
      </c>
      <c r="F21" s="226" t="s">
        <v>78</v>
      </c>
      <c r="G21" s="78" t="s">
        <v>79</v>
      </c>
    </row>
    <row r="22" spans="1:19" s="27" customFormat="1" x14ac:dyDescent="0.3">
      <c r="A22" s="54" t="s">
        <v>80</v>
      </c>
      <c r="B22" s="54">
        <v>8</v>
      </c>
      <c r="C22" s="54">
        <v>0</v>
      </c>
      <c r="D22" s="54">
        <v>8</v>
      </c>
      <c r="E22" s="227" t="s">
        <v>65</v>
      </c>
      <c r="F22" s="227" t="s">
        <v>66</v>
      </c>
      <c r="G22" s="94" t="s">
        <v>81</v>
      </c>
    </row>
    <row r="23" spans="1:19" s="27" customFormat="1" x14ac:dyDescent="0.3">
      <c r="A23" s="54" t="s">
        <v>82</v>
      </c>
      <c r="B23" s="54">
        <v>2</v>
      </c>
      <c r="C23" s="54">
        <v>0</v>
      </c>
      <c r="D23" s="54">
        <v>2</v>
      </c>
      <c r="E23" s="227" t="s">
        <v>65</v>
      </c>
      <c r="F23" s="227" t="s">
        <v>66</v>
      </c>
      <c r="G23" s="94" t="s">
        <v>81</v>
      </c>
    </row>
    <row r="24" spans="1:19" s="27" customFormat="1" x14ac:dyDescent="0.3">
      <c r="A24" s="228" t="s">
        <v>83</v>
      </c>
      <c r="B24" s="54">
        <v>0</v>
      </c>
      <c r="C24" s="54">
        <v>0</v>
      </c>
      <c r="D24" s="54">
        <v>0</v>
      </c>
      <c r="E24" s="229" t="s">
        <v>84</v>
      </c>
      <c r="F24" s="227"/>
      <c r="G24" s="50"/>
    </row>
    <row r="25" spans="1:19" s="28" customFormat="1" ht="14.1" customHeight="1" x14ac:dyDescent="0.3">
      <c r="A25" s="54" t="s">
        <v>62</v>
      </c>
      <c r="B25" s="59">
        <v>0</v>
      </c>
      <c r="C25" s="59">
        <v>0</v>
      </c>
      <c r="D25" s="54">
        <f t="shared" ref="D25" si="2">C25+B25</f>
        <v>0</v>
      </c>
      <c r="E25" s="132" t="s">
        <v>62</v>
      </c>
      <c r="F25" s="131" t="s">
        <v>62</v>
      </c>
      <c r="G25" s="52"/>
      <c r="S25" s="27"/>
    </row>
    <row r="26" spans="1:19" s="28" customFormat="1" ht="14.1" customHeight="1" x14ac:dyDescent="0.3">
      <c r="A26" s="54"/>
      <c r="B26" s="59"/>
      <c r="C26" s="59"/>
      <c r="D26" s="54"/>
      <c r="E26" s="54"/>
      <c r="F26" s="95" t="s">
        <v>62</v>
      </c>
      <c r="G26" s="52"/>
      <c r="S26" s="27"/>
    </row>
    <row r="27" spans="1:19" s="28" customFormat="1" ht="14.1" customHeight="1" x14ac:dyDescent="0.3">
      <c r="A27" s="377" t="s">
        <v>85</v>
      </c>
      <c r="B27" s="377"/>
      <c r="C27" s="377"/>
      <c r="D27" s="377"/>
      <c r="E27" s="377"/>
      <c r="F27" s="377"/>
      <c r="G27" s="377"/>
      <c r="S27" s="27"/>
    </row>
    <row r="28" spans="1:19" s="28" customFormat="1" ht="14.1" customHeight="1" x14ac:dyDescent="0.3">
      <c r="A28" s="48" t="s">
        <v>0</v>
      </c>
      <c r="B28" s="48" t="s">
        <v>51</v>
      </c>
      <c r="C28" s="48" t="s">
        <v>52</v>
      </c>
      <c r="D28" s="53" t="s">
        <v>53</v>
      </c>
      <c r="E28" s="48" t="s">
        <v>54</v>
      </c>
      <c r="F28" s="48" t="s">
        <v>55</v>
      </c>
      <c r="G28" s="48" t="s">
        <v>56</v>
      </c>
      <c r="S28" s="27"/>
    </row>
    <row r="29" spans="1:19" s="27" customFormat="1" x14ac:dyDescent="0.3">
      <c r="A29" s="49" t="s">
        <v>86</v>
      </c>
      <c r="B29" s="49">
        <v>252</v>
      </c>
      <c r="C29" s="49">
        <v>0</v>
      </c>
      <c r="D29" s="49">
        <f>SUM(B29:C29)</f>
        <v>252</v>
      </c>
      <c r="E29" s="89" t="s">
        <v>87</v>
      </c>
      <c r="F29" s="130" t="s">
        <v>88</v>
      </c>
      <c r="G29" s="54"/>
      <c r="H29" s="26"/>
      <c r="I29" s="26"/>
      <c r="J29" s="26"/>
      <c r="K29" s="26"/>
      <c r="L29" s="26"/>
      <c r="M29" s="26"/>
      <c r="N29" s="26"/>
      <c r="O29" s="26"/>
    </row>
    <row r="30" spans="1:19" s="147" customFormat="1" ht="14.1" customHeight="1" x14ac:dyDescent="0.3">
      <c r="A30" s="146" t="s">
        <v>89</v>
      </c>
      <c r="B30" s="146">
        <f>B3/8</f>
        <v>72</v>
      </c>
      <c r="C30" s="146">
        <v>0</v>
      </c>
      <c r="D30" s="126">
        <f t="shared" si="1"/>
        <v>72</v>
      </c>
      <c r="E30" s="126">
        <v>9148</v>
      </c>
      <c r="F30" s="146" t="s">
        <v>90</v>
      </c>
      <c r="G30" s="146"/>
      <c r="S30" s="108"/>
    </row>
    <row r="31" spans="1:19" s="147" customFormat="1" ht="14.1" customHeight="1" x14ac:dyDescent="0.3">
      <c r="A31" s="146" t="s">
        <v>91</v>
      </c>
      <c r="B31" s="148">
        <v>40</v>
      </c>
      <c r="C31" s="146">
        <v>0</v>
      </c>
      <c r="D31" s="126">
        <f t="shared" si="1"/>
        <v>40</v>
      </c>
      <c r="E31" s="126">
        <v>9148</v>
      </c>
      <c r="F31" s="146" t="s">
        <v>90</v>
      </c>
      <c r="G31" s="108" t="s">
        <v>92</v>
      </c>
      <c r="S31" s="108"/>
    </row>
    <row r="32" spans="1:19" s="28" customFormat="1" ht="14.1" customHeight="1" x14ac:dyDescent="0.3">
      <c r="A32" s="57" t="s">
        <v>93</v>
      </c>
      <c r="B32" s="57">
        <v>36</v>
      </c>
      <c r="C32" s="57">
        <v>0</v>
      </c>
      <c r="D32" s="58">
        <f t="shared" si="1"/>
        <v>36</v>
      </c>
      <c r="E32" s="58">
        <v>9048</v>
      </c>
      <c r="F32" s="57" t="s">
        <v>90</v>
      </c>
      <c r="G32" s="362" t="s">
        <v>94</v>
      </c>
      <c r="H32" s="41"/>
      <c r="I32" s="41"/>
      <c r="J32" s="41"/>
      <c r="K32" s="41"/>
      <c r="L32" s="41"/>
      <c r="M32" s="41"/>
      <c r="N32" s="41"/>
      <c r="O32" s="41"/>
      <c r="P32" s="41"/>
      <c r="Q32" s="41"/>
      <c r="R32" s="41"/>
      <c r="S32" s="27"/>
    </row>
    <row r="33" spans="1:19" s="28" customFormat="1" ht="14.1" customHeight="1" x14ac:dyDescent="0.3">
      <c r="A33" s="57" t="s">
        <v>95</v>
      </c>
      <c r="B33" s="57">
        <v>0</v>
      </c>
      <c r="C33" s="57">
        <v>0</v>
      </c>
      <c r="D33" s="58">
        <v>0</v>
      </c>
      <c r="E33" s="58"/>
      <c r="F33" s="57" t="s">
        <v>90</v>
      </c>
      <c r="G33" s="59"/>
      <c r="H33" s="41"/>
      <c r="I33" s="41"/>
      <c r="J33" s="41"/>
      <c r="K33" s="41"/>
      <c r="L33" s="41"/>
      <c r="M33" s="41"/>
      <c r="N33" s="41"/>
      <c r="O33" s="41"/>
      <c r="P33" s="41"/>
      <c r="Q33" s="41"/>
      <c r="R33" s="41"/>
      <c r="S33" s="27"/>
    </row>
    <row r="34" spans="1:19" s="28" customFormat="1" ht="14.1" customHeight="1" x14ac:dyDescent="0.3">
      <c r="A34" s="57" t="s">
        <v>96</v>
      </c>
      <c r="B34" s="57">
        <v>0</v>
      </c>
      <c r="C34" s="57">
        <v>0</v>
      </c>
      <c r="D34" s="58">
        <f t="shared" si="1"/>
        <v>0</v>
      </c>
      <c r="E34" s="58">
        <v>9048</v>
      </c>
      <c r="F34" s="57" t="s">
        <v>90</v>
      </c>
      <c r="G34" s="54" t="s">
        <v>94</v>
      </c>
      <c r="H34" s="41"/>
      <c r="I34" s="41"/>
      <c r="J34" s="41"/>
      <c r="K34" s="41"/>
      <c r="L34" s="41"/>
      <c r="M34" s="41"/>
      <c r="N34" s="41"/>
      <c r="O34" s="41"/>
      <c r="P34" s="41"/>
      <c r="Q34" s="41"/>
      <c r="R34" s="41"/>
      <c r="S34" s="27"/>
    </row>
    <row r="35" spans="1:19" s="28" customFormat="1" ht="14.1" customHeight="1" x14ac:dyDescent="0.3">
      <c r="A35" s="57" t="s">
        <v>97</v>
      </c>
      <c r="B35" s="57">
        <f>(B12+B13)/8</f>
        <v>0</v>
      </c>
      <c r="C35" s="57">
        <v>0</v>
      </c>
      <c r="D35" s="58">
        <f t="shared" si="1"/>
        <v>0</v>
      </c>
      <c r="E35" s="58"/>
      <c r="F35" s="57" t="s">
        <v>90</v>
      </c>
      <c r="G35" s="54"/>
      <c r="H35" s="41"/>
      <c r="I35" s="41"/>
      <c r="J35" s="41"/>
      <c r="K35" s="41"/>
      <c r="L35" s="41"/>
      <c r="M35" s="41"/>
      <c r="N35" s="41"/>
      <c r="O35" s="41"/>
      <c r="P35" s="41"/>
      <c r="Q35" s="41"/>
      <c r="R35" s="41"/>
      <c r="S35" s="27"/>
    </row>
    <row r="36" spans="1:19" s="28" customFormat="1" ht="14.1" customHeight="1" x14ac:dyDescent="0.3">
      <c r="A36" s="57" t="s">
        <v>98</v>
      </c>
      <c r="B36" s="57">
        <v>0</v>
      </c>
      <c r="C36" s="57">
        <v>0</v>
      </c>
      <c r="D36" s="58">
        <f t="shared" si="1"/>
        <v>0</v>
      </c>
      <c r="E36" s="58"/>
      <c r="F36" s="57" t="s">
        <v>90</v>
      </c>
      <c r="G36" s="54"/>
      <c r="H36" s="41"/>
      <c r="I36" s="41"/>
      <c r="J36" s="41"/>
      <c r="K36" s="41"/>
      <c r="L36" s="41"/>
      <c r="M36" s="41"/>
      <c r="N36" s="41"/>
      <c r="O36" s="41"/>
      <c r="P36" s="41"/>
      <c r="Q36" s="41"/>
      <c r="R36" s="41"/>
      <c r="S36" s="27"/>
    </row>
    <row r="37" spans="1:19" s="28" customFormat="1" ht="14.1" customHeight="1" x14ac:dyDescent="0.3">
      <c r="A37" s="57" t="s">
        <v>99</v>
      </c>
      <c r="B37" s="57">
        <v>0</v>
      </c>
      <c r="C37" s="57">
        <v>0</v>
      </c>
      <c r="D37" s="58">
        <f t="shared" si="1"/>
        <v>0</v>
      </c>
      <c r="E37" s="58"/>
      <c r="F37" s="57" t="s">
        <v>90</v>
      </c>
      <c r="G37" s="54"/>
      <c r="H37" s="41"/>
      <c r="I37" s="41"/>
      <c r="J37" s="41"/>
      <c r="K37" s="41"/>
      <c r="L37" s="41"/>
      <c r="M37" s="41"/>
      <c r="N37" s="41"/>
      <c r="O37" s="41"/>
      <c r="P37" s="41"/>
      <c r="Q37" s="41"/>
      <c r="R37" s="41"/>
      <c r="S37" s="27"/>
    </row>
    <row r="38" spans="1:19" s="28" customFormat="1" ht="14.1" customHeight="1" x14ac:dyDescent="0.3">
      <c r="A38" s="57" t="s">
        <v>100</v>
      </c>
      <c r="B38" s="60">
        <v>0</v>
      </c>
      <c r="C38" s="57">
        <v>0</v>
      </c>
      <c r="D38" s="58">
        <f t="shared" si="1"/>
        <v>0</v>
      </c>
      <c r="E38" s="58"/>
      <c r="F38" s="57" t="s">
        <v>90</v>
      </c>
      <c r="G38" s="54"/>
      <c r="H38" s="41"/>
      <c r="I38" s="41"/>
      <c r="J38" s="41"/>
      <c r="K38" s="41"/>
      <c r="L38" s="41"/>
      <c r="M38" s="41"/>
      <c r="N38" s="41"/>
      <c r="O38" s="41"/>
      <c r="P38" s="41"/>
      <c r="Q38" s="41"/>
      <c r="R38" s="41"/>
      <c r="S38" s="27"/>
    </row>
    <row r="39" spans="1:19" s="28" customFormat="1" ht="14.1" customHeight="1" x14ac:dyDescent="0.3">
      <c r="A39" s="88" t="s">
        <v>101</v>
      </c>
      <c r="B39" s="57">
        <v>0</v>
      </c>
      <c r="C39" s="57">
        <v>0</v>
      </c>
      <c r="D39" s="58">
        <f t="shared" si="1"/>
        <v>0</v>
      </c>
      <c r="E39" s="58"/>
      <c r="F39" t="s">
        <v>102</v>
      </c>
      <c r="G39" s="54"/>
      <c r="H39" s="41"/>
      <c r="I39" s="41"/>
      <c r="J39" s="41"/>
      <c r="K39" s="41"/>
      <c r="L39" s="41"/>
      <c r="M39" s="41"/>
      <c r="N39" s="41"/>
      <c r="O39" s="41"/>
      <c r="P39" s="41"/>
      <c r="Q39" s="41"/>
      <c r="R39" s="41"/>
      <c r="S39" s="27"/>
    </row>
    <row r="40" spans="1:19" s="28" customFormat="1" ht="14.1" customHeight="1" x14ac:dyDescent="0.3">
      <c r="A40" s="57" t="s">
        <v>103</v>
      </c>
      <c r="B40" s="57">
        <v>0</v>
      </c>
      <c r="C40" s="57">
        <v>0</v>
      </c>
      <c r="D40" s="58">
        <f t="shared" si="1"/>
        <v>0</v>
      </c>
      <c r="E40" s="58"/>
      <c r="F40" s="57"/>
      <c r="G40" s="54"/>
      <c r="H40" s="41"/>
      <c r="I40" s="41"/>
      <c r="J40" s="41"/>
      <c r="K40" s="41"/>
      <c r="L40" s="41"/>
      <c r="M40" s="41"/>
      <c r="N40" s="41"/>
      <c r="O40" s="41"/>
      <c r="P40" s="41"/>
      <c r="Q40" s="41"/>
      <c r="R40" s="41"/>
      <c r="S40" s="27"/>
    </row>
    <row r="41" spans="1:19" s="26" customFormat="1" x14ac:dyDescent="0.3">
      <c r="A41" s="52"/>
      <c r="B41" s="52"/>
      <c r="C41" s="52"/>
      <c r="D41" s="52"/>
      <c r="E41" s="52"/>
      <c r="F41" s="52"/>
      <c r="G41" s="52"/>
      <c r="H41" s="29"/>
      <c r="I41" s="41"/>
      <c r="J41" s="41"/>
      <c r="K41" s="41"/>
      <c r="L41" s="41"/>
      <c r="M41" s="41"/>
      <c r="N41" s="41"/>
      <c r="O41" s="41"/>
      <c r="P41" s="41"/>
      <c r="Q41" s="41"/>
      <c r="R41" s="41"/>
      <c r="S41" s="27"/>
    </row>
    <row r="42" spans="1:19" s="26" customFormat="1" x14ac:dyDescent="0.3">
      <c r="A42" s="55"/>
      <c r="B42" s="55"/>
      <c r="C42" s="55"/>
      <c r="D42" s="52"/>
      <c r="E42" s="52"/>
      <c r="F42" s="52"/>
      <c r="G42" s="55"/>
      <c r="H42" s="28"/>
      <c r="I42" s="28"/>
      <c r="J42" s="28"/>
      <c r="K42" s="28"/>
      <c r="L42" s="28"/>
      <c r="M42" s="28"/>
      <c r="N42" s="28"/>
      <c r="O42" s="28"/>
      <c r="P42" s="28"/>
      <c r="Q42" s="28"/>
      <c r="R42" s="28"/>
      <c r="S42" s="27"/>
    </row>
    <row r="43" spans="1:19" s="26" customFormat="1" x14ac:dyDescent="0.3">
      <c r="A43" s="377" t="s">
        <v>104</v>
      </c>
      <c r="B43" s="377"/>
      <c r="C43" s="377"/>
      <c r="D43" s="377"/>
      <c r="E43" s="377"/>
      <c r="F43" s="377"/>
      <c r="G43" s="377"/>
      <c r="H43" s="28"/>
      <c r="I43" s="28"/>
      <c r="J43" s="28"/>
      <c r="K43" s="28"/>
      <c r="L43" s="28"/>
      <c r="M43" s="28"/>
      <c r="N43" s="28"/>
      <c r="O43" s="28"/>
      <c r="P43" s="28"/>
      <c r="Q43" s="28"/>
      <c r="R43" s="28"/>
      <c r="S43" s="27"/>
    </row>
    <row r="44" spans="1:19" s="26" customFormat="1" x14ac:dyDescent="0.3">
      <c r="A44" s="46" t="s">
        <v>0</v>
      </c>
      <c r="B44" s="46" t="s">
        <v>51</v>
      </c>
      <c r="C44" s="46" t="s">
        <v>52</v>
      </c>
      <c r="D44" s="53" t="s">
        <v>53</v>
      </c>
      <c r="E44" s="46" t="s">
        <v>54</v>
      </c>
      <c r="F44" s="46" t="s">
        <v>55</v>
      </c>
      <c r="G44" s="48" t="s">
        <v>56</v>
      </c>
      <c r="S44" s="27"/>
    </row>
    <row r="45" spans="1:19" s="147" customFormat="1" ht="14.1" customHeight="1" x14ac:dyDescent="0.3">
      <c r="A45" s="149" t="s">
        <v>105</v>
      </c>
      <c r="B45" s="150">
        <v>9072</v>
      </c>
      <c r="C45" s="150">
        <v>0</v>
      </c>
      <c r="D45" s="149">
        <f t="shared" si="1"/>
        <v>9072</v>
      </c>
      <c r="E45" s="149" t="s">
        <v>106</v>
      </c>
      <c r="F45" s="149"/>
      <c r="G45" s="152"/>
      <c r="S45" s="108"/>
    </row>
    <row r="46" spans="1:19" s="147" customFormat="1" ht="14.1" customHeight="1" x14ac:dyDescent="0.3">
      <c r="A46" s="149" t="s">
        <v>107</v>
      </c>
      <c r="B46" s="150">
        <v>3888</v>
      </c>
      <c r="C46" s="150">
        <v>0</v>
      </c>
      <c r="D46" s="149">
        <f t="shared" si="1"/>
        <v>3888</v>
      </c>
      <c r="E46" s="149" t="s">
        <v>108</v>
      </c>
      <c r="F46" s="149"/>
      <c r="G46" s="152"/>
      <c r="S46" s="108"/>
    </row>
    <row r="47" spans="1:19" s="147" customFormat="1" ht="14.1" customHeight="1" x14ac:dyDescent="0.3">
      <c r="A47" s="149" t="s">
        <v>109</v>
      </c>
      <c r="B47" s="150">
        <v>800</v>
      </c>
      <c r="C47" s="150">
        <v>0</v>
      </c>
      <c r="D47" s="149">
        <f t="shared" si="1"/>
        <v>800</v>
      </c>
      <c r="E47" s="149"/>
      <c r="F47" s="149"/>
      <c r="G47" s="152"/>
      <c r="S47" s="108"/>
    </row>
    <row r="48" spans="1:19" s="147" customFormat="1" ht="14.1" customHeight="1" x14ac:dyDescent="0.3">
      <c r="A48" s="149" t="s">
        <v>110</v>
      </c>
      <c r="B48" s="151">
        <v>0</v>
      </c>
      <c r="C48" s="150">
        <v>0</v>
      </c>
      <c r="D48" s="149">
        <f t="shared" si="1"/>
        <v>0</v>
      </c>
      <c r="E48" s="149"/>
      <c r="F48" s="149"/>
      <c r="G48" s="152"/>
      <c r="S48" s="108"/>
    </row>
    <row r="49" spans="1:19" s="147" customFormat="1" ht="14.1" customHeight="1" x14ac:dyDescent="0.3">
      <c r="A49" s="149" t="s">
        <v>111</v>
      </c>
      <c r="B49" s="151">
        <v>0</v>
      </c>
      <c r="C49" s="150">
        <v>0</v>
      </c>
      <c r="D49" s="149">
        <f t="shared" si="1"/>
        <v>0</v>
      </c>
      <c r="E49" s="149"/>
      <c r="F49" s="149" t="s">
        <v>62</v>
      </c>
      <c r="G49" s="152"/>
      <c r="S49" s="108"/>
    </row>
    <row r="50" spans="1:19" s="147" customFormat="1" ht="14.1" customHeight="1" x14ac:dyDescent="0.3">
      <c r="A50" s="149" t="s">
        <v>112</v>
      </c>
      <c r="B50" s="150">
        <v>0</v>
      </c>
      <c r="C50" s="150">
        <v>0</v>
      </c>
      <c r="D50" s="149">
        <f t="shared" si="1"/>
        <v>0</v>
      </c>
      <c r="E50" s="149"/>
      <c r="F50" s="149" t="s">
        <v>62</v>
      </c>
      <c r="G50" s="152"/>
      <c r="S50" s="108"/>
    </row>
    <row r="51" spans="1:19" s="147" customFormat="1" ht="14.1" customHeight="1" x14ac:dyDescent="0.3">
      <c r="A51" s="149" t="s">
        <v>113</v>
      </c>
      <c r="B51" s="151">
        <v>36288</v>
      </c>
      <c r="C51" s="150"/>
      <c r="D51" s="149">
        <f t="shared" si="1"/>
        <v>36288</v>
      </c>
      <c r="E51" s="149"/>
      <c r="F51" s="149"/>
      <c r="G51" s="107"/>
      <c r="S51" s="108"/>
    </row>
    <row r="52" spans="1:19" s="147" customFormat="1" ht="14.1" customHeight="1" x14ac:dyDescent="0.3">
      <c r="A52" s="149" t="s">
        <v>114</v>
      </c>
      <c r="B52" s="151">
        <v>36288</v>
      </c>
      <c r="C52" s="150"/>
      <c r="D52" s="149">
        <f t="shared" si="1"/>
        <v>36288</v>
      </c>
      <c r="E52" s="149"/>
      <c r="F52" s="149"/>
      <c r="G52" s="107"/>
      <c r="S52" s="108"/>
    </row>
    <row r="53" spans="1:19" s="26" customFormat="1" x14ac:dyDescent="0.3">
      <c r="A53" s="384" t="s">
        <v>115</v>
      </c>
      <c r="B53" s="384"/>
      <c r="C53" s="384"/>
      <c r="D53" s="384"/>
      <c r="E53" s="384"/>
      <c r="F53" s="384"/>
      <c r="G53" s="385"/>
      <c r="S53" s="27"/>
    </row>
    <row r="54" spans="1:19" s="26" customFormat="1" x14ac:dyDescent="0.3">
      <c r="A54" s="48" t="s">
        <v>0</v>
      </c>
      <c r="B54" s="48" t="s">
        <v>51</v>
      </c>
      <c r="C54" s="48" t="s">
        <v>52</v>
      </c>
      <c r="D54" s="53" t="s">
        <v>53</v>
      </c>
      <c r="E54" s="46" t="s">
        <v>54</v>
      </c>
      <c r="F54" s="46" t="s">
        <v>55</v>
      </c>
      <c r="G54" s="48" t="s">
        <v>56</v>
      </c>
      <c r="S54" s="27"/>
    </row>
    <row r="55" spans="1:19" s="97" customFormat="1" ht="28.8" x14ac:dyDescent="0.3">
      <c r="A55" s="51" t="s">
        <v>116</v>
      </c>
      <c r="B55" s="115">
        <f>B29*72</f>
        <v>18144</v>
      </c>
      <c r="C55" s="112">
        <v>0</v>
      </c>
      <c r="D55" s="113">
        <f t="shared" si="1"/>
        <v>18144</v>
      </c>
      <c r="E55" s="140" t="s">
        <v>117</v>
      </c>
      <c r="F55" s="140" t="s">
        <v>118</v>
      </c>
      <c r="G55" s="96" t="s">
        <v>62</v>
      </c>
    </row>
    <row r="56" spans="1:19" s="27" customFormat="1" x14ac:dyDescent="0.3">
      <c r="A56" s="54" t="s">
        <v>119</v>
      </c>
      <c r="B56" s="64">
        <f>B55*2</f>
        <v>36288</v>
      </c>
      <c r="C56" s="61">
        <v>0</v>
      </c>
      <c r="D56" s="62">
        <f t="shared" si="1"/>
        <v>36288</v>
      </c>
      <c r="E56" s="103" t="s">
        <v>120</v>
      </c>
      <c r="F56" s="103" t="s">
        <v>121</v>
      </c>
      <c r="G56" s="63" t="s">
        <v>62</v>
      </c>
      <c r="H56" s="26"/>
      <c r="I56" s="26"/>
      <c r="J56" s="26"/>
      <c r="K56" s="26"/>
      <c r="L56" s="26"/>
      <c r="M56" s="26"/>
      <c r="N56" s="26"/>
      <c r="O56" s="26"/>
    </row>
    <row r="57" spans="1:19" s="26" customFormat="1" ht="28.8" x14ac:dyDescent="0.3">
      <c r="A57" s="54" t="s">
        <v>122</v>
      </c>
      <c r="B57" s="54">
        <f>B3*64/2</f>
        <v>18432</v>
      </c>
      <c r="C57" s="61">
        <v>0</v>
      </c>
      <c r="D57" s="113">
        <v>18144</v>
      </c>
      <c r="E57" s="140" t="s">
        <v>117</v>
      </c>
      <c r="F57" s="140" t="s">
        <v>118</v>
      </c>
      <c r="G57" s="54" t="s">
        <v>62</v>
      </c>
      <c r="S57" s="27"/>
    </row>
    <row r="58" spans="1:19" s="26" customFormat="1" x14ac:dyDescent="0.3">
      <c r="A58" s="52"/>
      <c r="B58" s="52"/>
      <c r="C58" s="52"/>
      <c r="D58" s="52"/>
      <c r="E58" s="140" t="s">
        <v>62</v>
      </c>
      <c r="F58" s="52"/>
      <c r="G58" s="52"/>
    </row>
    <row r="59" spans="1:19" s="26" customFormat="1" x14ac:dyDescent="0.3">
      <c r="A59" s="52"/>
      <c r="B59" s="52"/>
      <c r="C59" s="52"/>
      <c r="D59" s="52"/>
      <c r="E59" s="52"/>
      <c r="F59" s="52"/>
      <c r="G59" s="52"/>
    </row>
    <row r="60" spans="1:19" s="26" customFormat="1" x14ac:dyDescent="0.3">
      <c r="A60" s="386" t="s">
        <v>123</v>
      </c>
      <c r="B60" s="387"/>
      <c r="C60" s="387"/>
      <c r="D60" s="387"/>
      <c r="E60" s="387"/>
      <c r="F60" s="387"/>
      <c r="G60" s="388"/>
    </row>
    <row r="61" spans="1:19" s="26" customFormat="1" x14ac:dyDescent="0.3">
      <c r="A61" s="48" t="s">
        <v>0</v>
      </c>
      <c r="B61" s="48" t="s">
        <v>51</v>
      </c>
      <c r="C61" s="48" t="s">
        <v>52</v>
      </c>
      <c r="D61" s="56" t="s">
        <v>53</v>
      </c>
      <c r="E61" s="46" t="s">
        <v>54</v>
      </c>
      <c r="F61" s="46" t="s">
        <v>55</v>
      </c>
      <c r="G61" s="46" t="s">
        <v>56</v>
      </c>
    </row>
    <row r="62" spans="1:19" s="27" customFormat="1" ht="28.8" x14ac:dyDescent="0.3">
      <c r="A62" s="65" t="s">
        <v>124</v>
      </c>
      <c r="B62" s="54">
        <v>18432</v>
      </c>
      <c r="C62" s="61">
        <v>0</v>
      </c>
      <c r="D62" s="113">
        <v>18144</v>
      </c>
      <c r="E62" s="140" t="s">
        <v>117</v>
      </c>
      <c r="F62" s="140" t="s">
        <v>118</v>
      </c>
      <c r="G62" s="54">
        <v>0</v>
      </c>
      <c r="H62" s="26"/>
      <c r="I62" s="26"/>
      <c r="J62" s="26"/>
      <c r="K62" s="26"/>
      <c r="L62" s="26"/>
      <c r="M62" s="26"/>
      <c r="N62" s="26"/>
      <c r="O62" s="26"/>
    </row>
    <row r="63" spans="1:19" s="108" customFormat="1" x14ac:dyDescent="0.3">
      <c r="A63" s="126" t="s">
        <v>125</v>
      </c>
      <c r="B63" s="156">
        <f>B62*2</f>
        <v>36864</v>
      </c>
      <c r="C63" s="157">
        <v>0</v>
      </c>
      <c r="D63" s="158">
        <f t="shared" ref="D63" si="3">SUM(B63:C63)</f>
        <v>36864</v>
      </c>
      <c r="E63" s="159" t="s">
        <v>120</v>
      </c>
      <c r="F63" s="159" t="s">
        <v>121</v>
      </c>
      <c r="G63" s="126" t="s">
        <v>126</v>
      </c>
    </row>
    <row r="64" spans="1:19" s="108" customFormat="1" ht="28.8" x14ac:dyDescent="0.3">
      <c r="A64" s="126" t="s">
        <v>127</v>
      </c>
      <c r="B64" s="126">
        <v>18432</v>
      </c>
      <c r="C64" s="153">
        <v>0</v>
      </c>
      <c r="D64" s="154">
        <v>18144</v>
      </c>
      <c r="E64" s="145" t="s">
        <v>117</v>
      </c>
      <c r="F64" s="145" t="s">
        <v>118</v>
      </c>
      <c r="G64" s="155" t="s">
        <v>128</v>
      </c>
    </row>
    <row r="65" spans="1:19" s="27" customFormat="1" x14ac:dyDescent="0.3">
      <c r="A65" s="52"/>
      <c r="B65" s="52"/>
      <c r="C65" s="52"/>
      <c r="D65" s="52"/>
      <c r="E65" s="52"/>
      <c r="F65" s="52"/>
      <c r="G65" s="52"/>
      <c r="H65" s="26"/>
      <c r="I65" s="26"/>
      <c r="J65" s="26"/>
      <c r="K65" s="26"/>
      <c r="L65" s="26"/>
      <c r="M65" s="26"/>
      <c r="N65" s="26"/>
      <c r="O65" s="26"/>
    </row>
    <row r="66" spans="1:19" s="27" customFormat="1" x14ac:dyDescent="0.3">
      <c r="A66" s="386" t="s">
        <v>129</v>
      </c>
      <c r="B66" s="387"/>
      <c r="C66" s="387"/>
      <c r="D66" s="387"/>
      <c r="E66" s="387"/>
      <c r="F66" s="387"/>
      <c r="G66" s="388"/>
      <c r="H66" s="26"/>
      <c r="I66" s="26"/>
      <c r="J66" s="26"/>
      <c r="K66" s="26"/>
      <c r="L66" s="26"/>
      <c r="M66" s="26"/>
      <c r="N66" s="26"/>
      <c r="O66" s="26"/>
    </row>
    <row r="67" spans="1:19" s="27" customFormat="1" x14ac:dyDescent="0.3">
      <c r="A67" s="46" t="s">
        <v>0</v>
      </c>
      <c r="B67" s="46" t="s">
        <v>51</v>
      </c>
      <c r="C67" s="46" t="s">
        <v>52</v>
      </c>
      <c r="D67" s="47" t="s">
        <v>53</v>
      </c>
      <c r="E67" s="46" t="s">
        <v>54</v>
      </c>
      <c r="F67" s="46" t="s">
        <v>55</v>
      </c>
      <c r="G67" s="48" t="s">
        <v>56</v>
      </c>
      <c r="H67" s="26"/>
      <c r="I67" s="26"/>
      <c r="J67" s="26"/>
      <c r="K67" s="26"/>
      <c r="L67" s="26"/>
      <c r="M67" s="26"/>
      <c r="N67" s="26"/>
      <c r="O67" s="26"/>
    </row>
    <row r="68" spans="1:19" s="27" customFormat="1" x14ac:dyDescent="0.3">
      <c r="A68" s="58" t="s">
        <v>130</v>
      </c>
      <c r="B68" s="58">
        <f>B29*18*2</f>
        <v>9072</v>
      </c>
      <c r="C68" s="161">
        <v>0</v>
      </c>
      <c r="D68" s="161">
        <f>SUM(B68:C68)</f>
        <v>9072</v>
      </c>
      <c r="E68" s="93" t="s">
        <v>131</v>
      </c>
      <c r="F68" s="93" t="s">
        <v>132</v>
      </c>
      <c r="G68" s="162"/>
    </row>
    <row r="69" spans="1:19" s="27" customFormat="1" x14ac:dyDescent="0.3">
      <c r="A69" s="58" t="s">
        <v>133</v>
      </c>
      <c r="B69" s="58">
        <f>B10*36</f>
        <v>5184</v>
      </c>
      <c r="C69" s="161">
        <v>0</v>
      </c>
      <c r="D69" s="161">
        <f t="shared" ref="D69:D71" si="4">SUM(B69:C69)</f>
        <v>5184</v>
      </c>
      <c r="E69" s="93" t="s">
        <v>134</v>
      </c>
      <c r="F69" s="93" t="s">
        <v>135</v>
      </c>
      <c r="G69" s="58"/>
    </row>
    <row r="70" spans="1:19" s="27" customFormat="1" x14ac:dyDescent="0.3">
      <c r="A70" s="58" t="s">
        <v>136</v>
      </c>
      <c r="B70" s="58">
        <f>B69*2</f>
        <v>10368</v>
      </c>
      <c r="C70" s="161">
        <v>0</v>
      </c>
      <c r="D70" s="161">
        <f t="shared" si="4"/>
        <v>10368</v>
      </c>
      <c r="E70" s="93" t="s">
        <v>120</v>
      </c>
      <c r="F70" s="93" t="s">
        <v>121</v>
      </c>
      <c r="G70" s="85" t="s">
        <v>62</v>
      </c>
    </row>
    <row r="71" spans="1:19" s="26" customFormat="1" x14ac:dyDescent="0.3">
      <c r="A71" s="54"/>
      <c r="B71" s="54">
        <v>0</v>
      </c>
      <c r="C71" s="61">
        <f t="shared" ref="C71" si="5">B71*0.01</f>
        <v>0</v>
      </c>
      <c r="D71" s="61">
        <f t="shared" si="4"/>
        <v>0</v>
      </c>
      <c r="E71" s="54"/>
      <c r="F71" s="54"/>
      <c r="G71" s="54"/>
      <c r="P71" s="27"/>
      <c r="Q71" s="27"/>
      <c r="R71" s="27"/>
      <c r="S71" s="27"/>
    </row>
    <row r="72" spans="1:19" s="26" customFormat="1" x14ac:dyDescent="0.3">
      <c r="A72" s="54"/>
      <c r="B72" s="54" t="s">
        <v>62</v>
      </c>
      <c r="C72" s="54"/>
      <c r="D72" s="54"/>
      <c r="E72" s="102" t="s">
        <v>62</v>
      </c>
      <c r="F72" s="102" t="s">
        <v>62</v>
      </c>
      <c r="G72" s="102" t="s">
        <v>62</v>
      </c>
      <c r="P72" s="27"/>
      <c r="Q72" s="27"/>
      <c r="R72" s="27"/>
      <c r="S72" s="27"/>
    </row>
    <row r="73" spans="1:19" s="26" customFormat="1" x14ac:dyDescent="0.3">
      <c r="A73" s="389" t="s">
        <v>137</v>
      </c>
      <c r="B73" s="390"/>
      <c r="C73" s="390"/>
      <c r="D73" s="390"/>
      <c r="E73" s="390"/>
      <c r="F73" s="390"/>
      <c r="G73" s="391"/>
      <c r="P73" s="27"/>
      <c r="Q73" s="27"/>
      <c r="R73" s="27"/>
      <c r="S73" s="27"/>
    </row>
    <row r="74" spans="1:19" s="26" customFormat="1" x14ac:dyDescent="0.3">
      <c r="A74" s="48" t="s">
        <v>0</v>
      </c>
      <c r="B74" s="48" t="s">
        <v>51</v>
      </c>
      <c r="C74" s="48" t="s">
        <v>52</v>
      </c>
      <c r="D74" s="56" t="s">
        <v>53</v>
      </c>
      <c r="E74" s="46" t="s">
        <v>54</v>
      </c>
      <c r="F74" s="46" t="s">
        <v>55</v>
      </c>
      <c r="G74" s="48" t="s">
        <v>56</v>
      </c>
      <c r="P74" s="27"/>
      <c r="Q74" s="27"/>
      <c r="R74" s="27"/>
      <c r="S74" s="27"/>
    </row>
    <row r="75" spans="1:19" s="26" customFormat="1" ht="24.9" customHeight="1" x14ac:dyDescent="0.3">
      <c r="A75" s="49" t="s">
        <v>138</v>
      </c>
      <c r="B75" s="49">
        <f>B10*16/2</f>
        <v>1152</v>
      </c>
      <c r="C75" s="77">
        <v>0</v>
      </c>
      <c r="D75" s="77">
        <f t="shared" si="1"/>
        <v>1152</v>
      </c>
      <c r="E75" s="103" t="s">
        <v>134</v>
      </c>
      <c r="F75" s="103" t="s">
        <v>135</v>
      </c>
      <c r="G75" s="50" t="s">
        <v>139</v>
      </c>
      <c r="P75" s="27"/>
      <c r="Q75" s="27"/>
      <c r="R75" s="27"/>
      <c r="S75" s="27"/>
    </row>
    <row r="76" spans="1:19" s="26" customFormat="1" x14ac:dyDescent="0.3">
      <c r="A76" s="49" t="s">
        <v>140</v>
      </c>
      <c r="B76" s="49">
        <f>B75*2</f>
        <v>2304</v>
      </c>
      <c r="C76" s="77">
        <v>0</v>
      </c>
      <c r="D76" s="77">
        <f t="shared" si="1"/>
        <v>2304</v>
      </c>
      <c r="E76" s="103" t="s">
        <v>120</v>
      </c>
      <c r="F76" s="103" t="s">
        <v>121</v>
      </c>
      <c r="G76" s="50" t="s">
        <v>126</v>
      </c>
      <c r="P76" s="27"/>
      <c r="Q76" s="27"/>
      <c r="R76" s="27"/>
      <c r="S76" s="27"/>
    </row>
    <row r="77" spans="1:19" s="26" customFormat="1" ht="24.9" customHeight="1" x14ac:dyDescent="0.3">
      <c r="A77" s="49" t="s">
        <v>141</v>
      </c>
      <c r="B77" s="49">
        <f>B75</f>
        <v>1152</v>
      </c>
      <c r="C77" s="77">
        <v>0</v>
      </c>
      <c r="D77" s="77">
        <f t="shared" si="1"/>
        <v>1152</v>
      </c>
      <c r="E77" s="103" t="s">
        <v>134</v>
      </c>
      <c r="F77" s="103" t="s">
        <v>135</v>
      </c>
      <c r="G77" s="76" t="s">
        <v>128</v>
      </c>
      <c r="P77" s="27"/>
      <c r="Q77" s="27"/>
      <c r="R77" s="27"/>
      <c r="S77" s="27"/>
    </row>
    <row r="78" spans="1:19" s="26" customFormat="1" ht="24.9" customHeight="1" x14ac:dyDescent="0.3">
      <c r="A78" s="49"/>
      <c r="B78" s="49"/>
      <c r="C78" s="77"/>
      <c r="D78" s="77"/>
      <c r="E78" s="98"/>
      <c r="F78" s="99"/>
      <c r="G78" s="79"/>
      <c r="P78" s="27"/>
      <c r="Q78" s="27"/>
      <c r="R78" s="27"/>
      <c r="S78" s="27"/>
    </row>
    <row r="79" spans="1:19" s="26" customFormat="1" ht="24.9" customHeight="1" x14ac:dyDescent="0.3">
      <c r="A79" s="386" t="s">
        <v>142</v>
      </c>
      <c r="B79" s="387"/>
      <c r="C79" s="387"/>
      <c r="D79" s="387"/>
      <c r="E79" s="387"/>
      <c r="F79" s="387"/>
      <c r="G79" s="388"/>
      <c r="P79" s="27"/>
      <c r="Q79" s="27"/>
      <c r="R79" s="27"/>
      <c r="S79" s="27"/>
    </row>
    <row r="80" spans="1:19" s="26" customFormat="1" ht="24.9" customHeight="1" x14ac:dyDescent="0.3">
      <c r="A80" s="46" t="s">
        <v>0</v>
      </c>
      <c r="B80" s="46" t="s">
        <v>51</v>
      </c>
      <c r="C80" s="46" t="s">
        <v>52</v>
      </c>
      <c r="D80" s="47" t="s">
        <v>53</v>
      </c>
      <c r="E80" s="46" t="s">
        <v>54</v>
      </c>
      <c r="F80" s="46" t="s">
        <v>55</v>
      </c>
      <c r="G80" s="48" t="s">
        <v>56</v>
      </c>
      <c r="P80" s="27"/>
      <c r="Q80" s="27"/>
      <c r="R80" s="27"/>
      <c r="S80" s="27"/>
    </row>
    <row r="81" spans="1:19" s="108" customFormat="1" ht="24.9" customHeight="1" x14ac:dyDescent="0.3">
      <c r="A81" s="139" t="s">
        <v>143</v>
      </c>
      <c r="B81" s="139">
        <v>4608</v>
      </c>
      <c r="C81" s="163">
        <v>0</v>
      </c>
      <c r="D81" s="163">
        <f>SUM(B81:C81)</f>
        <v>4608</v>
      </c>
      <c r="E81" s="159" t="s">
        <v>131</v>
      </c>
      <c r="F81" s="159" t="s">
        <v>132</v>
      </c>
      <c r="G81" s="160"/>
    </row>
    <row r="82" spans="1:19" s="26" customFormat="1" ht="24.9" customHeight="1" x14ac:dyDescent="0.3">
      <c r="A82" s="49" t="s">
        <v>144</v>
      </c>
      <c r="B82" s="49">
        <f>B17*32</f>
        <v>2304</v>
      </c>
      <c r="C82" s="77">
        <v>0</v>
      </c>
      <c r="D82" s="77">
        <f t="shared" ref="D82:D83" si="6">SUM(B82:C82)</f>
        <v>2304</v>
      </c>
      <c r="E82" s="103" t="s">
        <v>134</v>
      </c>
      <c r="F82" s="103" t="s">
        <v>135</v>
      </c>
      <c r="G82" s="50"/>
      <c r="P82" s="27"/>
      <c r="Q82" s="27"/>
      <c r="R82" s="27"/>
      <c r="S82" s="27"/>
    </row>
    <row r="83" spans="1:19" s="26" customFormat="1" ht="24.9" customHeight="1" x14ac:dyDescent="0.3">
      <c r="A83" s="49" t="s">
        <v>145</v>
      </c>
      <c r="B83" s="49">
        <f>B82*2</f>
        <v>4608</v>
      </c>
      <c r="C83" s="77">
        <v>0</v>
      </c>
      <c r="D83" s="77">
        <f t="shared" si="6"/>
        <v>4608</v>
      </c>
      <c r="E83" s="103" t="s">
        <v>120</v>
      </c>
      <c r="F83" s="103" t="s">
        <v>121</v>
      </c>
      <c r="G83" s="84" t="s">
        <v>62</v>
      </c>
      <c r="P83" s="27"/>
      <c r="Q83" s="27"/>
      <c r="R83" s="27"/>
      <c r="S83" s="27"/>
    </row>
    <row r="84" spans="1:19" s="26" customFormat="1" ht="24.9" customHeight="1" x14ac:dyDescent="0.3">
      <c r="A84" s="49"/>
      <c r="B84" s="49"/>
      <c r="C84" s="77"/>
      <c r="D84" s="77"/>
      <c r="E84" s="116"/>
      <c r="F84" s="117"/>
      <c r="G84" s="79"/>
      <c r="P84" s="27"/>
      <c r="Q84" s="27"/>
      <c r="R84" s="27"/>
      <c r="S84" s="27"/>
    </row>
    <row r="85" spans="1:19" s="26" customFormat="1" ht="24.9" customHeight="1" x14ac:dyDescent="0.3">
      <c r="A85" s="386" t="s">
        <v>146</v>
      </c>
      <c r="B85" s="387"/>
      <c r="C85" s="387"/>
      <c r="D85" s="387"/>
      <c r="E85" s="387"/>
      <c r="F85" s="387"/>
      <c r="G85" s="388"/>
      <c r="P85" s="27"/>
      <c r="Q85" s="27"/>
      <c r="R85" s="27"/>
      <c r="S85" s="27"/>
    </row>
    <row r="86" spans="1:19" s="26" customFormat="1" ht="24.9" customHeight="1" x14ac:dyDescent="0.3">
      <c r="A86" s="48" t="s">
        <v>0</v>
      </c>
      <c r="B86" s="48" t="s">
        <v>51</v>
      </c>
      <c r="C86" s="48" t="s">
        <v>52</v>
      </c>
      <c r="D86" s="56" t="s">
        <v>53</v>
      </c>
      <c r="E86" s="46" t="s">
        <v>54</v>
      </c>
      <c r="F86" s="46" t="s">
        <v>55</v>
      </c>
      <c r="G86" s="48" t="s">
        <v>56</v>
      </c>
      <c r="P86" s="27"/>
      <c r="Q86" s="27"/>
      <c r="R86" s="27"/>
      <c r="S86" s="27"/>
    </row>
    <row r="87" spans="1:19" s="26" customFormat="1" ht="24.9" customHeight="1" x14ac:dyDescent="0.3">
      <c r="A87" s="49" t="s">
        <v>147</v>
      </c>
      <c r="B87" s="49">
        <f>B17*64/2</f>
        <v>2304</v>
      </c>
      <c r="C87" s="77">
        <v>0</v>
      </c>
      <c r="D87" s="77">
        <f t="shared" ref="D87:D89" si="7">B87+C87</f>
        <v>2304</v>
      </c>
      <c r="E87" s="103" t="s">
        <v>134</v>
      </c>
      <c r="F87" s="103" t="s">
        <v>135</v>
      </c>
      <c r="G87" s="50" t="s">
        <v>139</v>
      </c>
      <c r="P87" s="27"/>
      <c r="Q87" s="27"/>
      <c r="R87" s="27"/>
      <c r="S87" s="27"/>
    </row>
    <row r="88" spans="1:19" s="26" customFormat="1" ht="24.9" customHeight="1" x14ac:dyDescent="0.3">
      <c r="A88" s="49" t="s">
        <v>148</v>
      </c>
      <c r="B88" s="49">
        <f>B87*2</f>
        <v>4608</v>
      </c>
      <c r="C88" s="77">
        <v>0</v>
      </c>
      <c r="D88" s="77">
        <f t="shared" si="7"/>
        <v>4608</v>
      </c>
      <c r="E88" s="103" t="s">
        <v>120</v>
      </c>
      <c r="F88" s="103" t="s">
        <v>121</v>
      </c>
      <c r="G88" s="50" t="s">
        <v>126</v>
      </c>
      <c r="P88" s="27"/>
      <c r="Q88" s="27"/>
      <c r="R88" s="27"/>
      <c r="S88" s="27"/>
    </row>
    <row r="89" spans="1:19" s="26" customFormat="1" ht="24.9" customHeight="1" x14ac:dyDescent="0.3">
      <c r="A89" s="49" t="s">
        <v>149</v>
      </c>
      <c r="B89" s="49">
        <f>B87</f>
        <v>2304</v>
      </c>
      <c r="C89" s="77">
        <v>0</v>
      </c>
      <c r="D89" s="77">
        <f t="shared" si="7"/>
        <v>2304</v>
      </c>
      <c r="E89" s="103" t="s">
        <v>134</v>
      </c>
      <c r="F89" s="103" t="s">
        <v>135</v>
      </c>
      <c r="G89" s="76" t="s">
        <v>128</v>
      </c>
      <c r="P89" s="27"/>
      <c r="Q89" s="27"/>
      <c r="R89" s="27"/>
      <c r="S89" s="27"/>
    </row>
    <row r="90" spans="1:19" s="26" customFormat="1" ht="24.9" customHeight="1" x14ac:dyDescent="0.3">
      <c r="A90" s="386" t="s">
        <v>150</v>
      </c>
      <c r="B90" s="387"/>
      <c r="C90" s="387"/>
      <c r="D90" s="387"/>
      <c r="E90" s="387"/>
      <c r="F90" s="387"/>
      <c r="G90" s="388"/>
      <c r="P90" s="27"/>
      <c r="Q90" s="27"/>
      <c r="R90" s="27"/>
      <c r="S90" s="27"/>
    </row>
    <row r="91" spans="1:19" s="26" customFormat="1" ht="24.9" customHeight="1" x14ac:dyDescent="0.3">
      <c r="A91" s="46" t="s">
        <v>0</v>
      </c>
      <c r="B91" s="46" t="s">
        <v>51</v>
      </c>
      <c r="C91" s="46" t="s">
        <v>52</v>
      </c>
      <c r="D91" s="47" t="s">
        <v>53</v>
      </c>
      <c r="E91" s="46" t="s">
        <v>54</v>
      </c>
      <c r="F91" s="46" t="s">
        <v>55</v>
      </c>
      <c r="G91" s="46" t="s">
        <v>56</v>
      </c>
      <c r="P91" s="27"/>
      <c r="Q91" s="27"/>
      <c r="R91" s="27"/>
      <c r="S91" s="27"/>
    </row>
    <row r="92" spans="1:19" s="26" customFormat="1" ht="24.9" customHeight="1" x14ac:dyDescent="0.3">
      <c r="A92" s="49" t="s">
        <v>151</v>
      </c>
      <c r="B92" s="49">
        <f>(24/2)*B11</f>
        <v>864</v>
      </c>
      <c r="C92" s="77">
        <v>0</v>
      </c>
      <c r="D92" s="77">
        <f t="shared" ref="D92:D94" si="8">B92+C92</f>
        <v>864</v>
      </c>
      <c r="E92" s="106" t="s">
        <v>134</v>
      </c>
      <c r="F92" s="127" t="s">
        <v>135</v>
      </c>
      <c r="G92" s="106" t="s">
        <v>139</v>
      </c>
      <c r="P92" s="27"/>
      <c r="Q92" s="27"/>
      <c r="R92" s="27"/>
      <c r="S92" s="27"/>
    </row>
    <row r="93" spans="1:19" s="26" customFormat="1" ht="24.9" customHeight="1" x14ac:dyDescent="0.3">
      <c r="A93" s="49" t="s">
        <v>152</v>
      </c>
      <c r="B93" s="49">
        <f>B92*2</f>
        <v>1728</v>
      </c>
      <c r="C93" s="77">
        <v>0</v>
      </c>
      <c r="D93" s="77">
        <f t="shared" si="8"/>
        <v>1728</v>
      </c>
      <c r="E93" s="106" t="s">
        <v>120</v>
      </c>
      <c r="F93" s="106" t="s">
        <v>121</v>
      </c>
      <c r="G93" s="106" t="s">
        <v>126</v>
      </c>
      <c r="P93" s="27"/>
      <c r="Q93" s="27"/>
      <c r="R93" s="27"/>
      <c r="S93" s="27"/>
    </row>
    <row r="94" spans="1:19" s="26" customFormat="1" ht="24.9" customHeight="1" x14ac:dyDescent="0.3">
      <c r="A94" s="49" t="s">
        <v>153</v>
      </c>
      <c r="B94" s="49">
        <v>0</v>
      </c>
      <c r="C94" s="77">
        <v>0</v>
      </c>
      <c r="D94" s="77">
        <f t="shared" si="8"/>
        <v>0</v>
      </c>
      <c r="E94" s="106" t="s">
        <v>134</v>
      </c>
      <c r="F94" s="106" t="s">
        <v>135</v>
      </c>
      <c r="G94" s="106" t="s">
        <v>128</v>
      </c>
      <c r="P94" s="27"/>
      <c r="Q94" s="27"/>
      <c r="R94" s="27"/>
      <c r="S94" s="27"/>
    </row>
    <row r="95" spans="1:19" s="26" customFormat="1" x14ac:dyDescent="0.3">
      <c r="A95" s="49"/>
      <c r="B95" s="49"/>
      <c r="C95" s="77"/>
      <c r="D95" s="77"/>
      <c r="E95" s="49"/>
      <c r="F95" s="49"/>
      <c r="G95" s="54"/>
      <c r="P95" s="27"/>
      <c r="Q95" s="27"/>
      <c r="R95" s="27"/>
      <c r="S95" s="27"/>
    </row>
    <row r="96" spans="1:19" s="26" customFormat="1" x14ac:dyDescent="0.3">
      <c r="A96" s="386" t="s">
        <v>154</v>
      </c>
      <c r="B96" s="387"/>
      <c r="C96" s="387"/>
      <c r="D96" s="387"/>
      <c r="E96" s="387"/>
      <c r="F96" s="387"/>
      <c r="G96" s="388"/>
      <c r="P96" s="27"/>
      <c r="Q96" s="27"/>
      <c r="R96" s="27"/>
      <c r="S96" s="27"/>
    </row>
    <row r="97" spans="1:19" s="26" customFormat="1" x14ac:dyDescent="0.3">
      <c r="A97" s="48" t="s">
        <v>0</v>
      </c>
      <c r="B97" s="48" t="s">
        <v>51</v>
      </c>
      <c r="C97" s="48" t="s">
        <v>52</v>
      </c>
      <c r="D97" s="128" t="s">
        <v>53</v>
      </c>
      <c r="E97" s="48" t="s">
        <v>54</v>
      </c>
      <c r="F97" s="48" t="s">
        <v>55</v>
      </c>
      <c r="G97" s="48" t="s">
        <v>56</v>
      </c>
      <c r="P97" s="27"/>
      <c r="Q97" s="27"/>
      <c r="R97" s="27"/>
      <c r="S97" s="27"/>
    </row>
    <row r="98" spans="1:19" s="26" customFormat="1" x14ac:dyDescent="0.3">
      <c r="A98" s="49" t="s">
        <v>155</v>
      </c>
      <c r="B98" s="49">
        <f>B12*60/2</f>
        <v>0</v>
      </c>
      <c r="C98" s="77">
        <v>0</v>
      </c>
      <c r="D98" s="104">
        <f>B98</f>
        <v>0</v>
      </c>
      <c r="E98" s="106" t="s">
        <v>134</v>
      </c>
      <c r="F98" s="106" t="s">
        <v>135</v>
      </c>
      <c r="G98" s="54" t="s">
        <v>62</v>
      </c>
      <c r="P98" s="27"/>
      <c r="Q98" s="27"/>
      <c r="R98" s="27"/>
      <c r="S98" s="27"/>
    </row>
    <row r="99" spans="1:19" s="26" customFormat="1" x14ac:dyDescent="0.3">
      <c r="A99" s="49" t="s">
        <v>156</v>
      </c>
      <c r="B99" s="49">
        <f>B98*2</f>
        <v>0</v>
      </c>
      <c r="C99" s="77">
        <v>0</v>
      </c>
      <c r="D99" s="104">
        <f t="shared" ref="D99:D107" si="9">B99</f>
        <v>0</v>
      </c>
      <c r="E99" s="103" t="s">
        <v>120</v>
      </c>
      <c r="F99" s="103" t="s">
        <v>121</v>
      </c>
      <c r="G99" s="54" t="s">
        <v>62</v>
      </c>
      <c r="P99" s="27"/>
      <c r="Q99" s="27"/>
      <c r="R99" s="27"/>
      <c r="S99" s="27"/>
    </row>
    <row r="100" spans="1:19" s="26" customFormat="1" x14ac:dyDescent="0.3">
      <c r="A100" s="49" t="s">
        <v>157</v>
      </c>
      <c r="B100" s="49">
        <f>B98</f>
        <v>0</v>
      </c>
      <c r="C100" s="77">
        <v>0</v>
      </c>
      <c r="D100" s="104">
        <f t="shared" si="9"/>
        <v>0</v>
      </c>
      <c r="E100" s="106" t="s">
        <v>134</v>
      </c>
      <c r="F100" s="106" t="s">
        <v>135</v>
      </c>
      <c r="G100" s="63" t="s">
        <v>62</v>
      </c>
      <c r="P100" s="27"/>
      <c r="Q100" s="27"/>
      <c r="R100" s="27"/>
      <c r="S100" s="27"/>
    </row>
    <row r="101" spans="1:19" s="26" customFormat="1" x14ac:dyDescent="0.3">
      <c r="A101" s="49" t="s">
        <v>158</v>
      </c>
      <c r="B101" s="49">
        <f>B12*56/2</f>
        <v>0</v>
      </c>
      <c r="C101" s="77">
        <v>0</v>
      </c>
      <c r="D101" s="104">
        <f t="shared" si="9"/>
        <v>0</v>
      </c>
      <c r="E101" s="106" t="s">
        <v>134</v>
      </c>
      <c r="F101" s="106" t="s">
        <v>135</v>
      </c>
      <c r="G101" s="63"/>
      <c r="P101" s="27"/>
      <c r="Q101" s="27"/>
      <c r="R101" s="27"/>
      <c r="S101" s="27"/>
    </row>
    <row r="102" spans="1:19" s="26" customFormat="1" x14ac:dyDescent="0.3">
      <c r="A102" s="49" t="s">
        <v>159</v>
      </c>
      <c r="B102" s="49">
        <v>0</v>
      </c>
      <c r="C102" s="77">
        <v>0</v>
      </c>
      <c r="D102" s="104">
        <f t="shared" si="9"/>
        <v>0</v>
      </c>
      <c r="E102" s="103" t="s">
        <v>120</v>
      </c>
      <c r="F102" s="103" t="s">
        <v>121</v>
      </c>
      <c r="G102" s="63"/>
      <c r="P102" s="27"/>
      <c r="Q102" s="27"/>
      <c r="R102" s="27"/>
      <c r="S102" s="27"/>
    </row>
    <row r="103" spans="1:19" s="26" customFormat="1" x14ac:dyDescent="0.3">
      <c r="A103" s="49" t="s">
        <v>160</v>
      </c>
      <c r="B103" s="100">
        <v>0</v>
      </c>
      <c r="C103" s="101">
        <v>0</v>
      </c>
      <c r="D103" s="104">
        <f t="shared" si="9"/>
        <v>0</v>
      </c>
      <c r="E103" s="105" t="s">
        <v>131</v>
      </c>
      <c r="F103" s="129" t="s">
        <v>132</v>
      </c>
      <c r="G103" s="63"/>
      <c r="P103" s="27"/>
      <c r="Q103" s="27"/>
      <c r="R103" s="27"/>
      <c r="S103" s="27"/>
    </row>
    <row r="104" spans="1:19" s="26" customFormat="1" x14ac:dyDescent="0.3">
      <c r="A104" s="49" t="s">
        <v>161</v>
      </c>
      <c r="B104" s="49">
        <f>B13*(60/2)</f>
        <v>0</v>
      </c>
      <c r="C104" s="77">
        <v>0</v>
      </c>
      <c r="D104" s="77">
        <f t="shared" si="9"/>
        <v>0</v>
      </c>
      <c r="E104" s="106" t="s">
        <v>134</v>
      </c>
      <c r="F104" s="106" t="s">
        <v>135</v>
      </c>
      <c r="G104" s="54"/>
      <c r="P104" s="27"/>
      <c r="Q104" s="27"/>
      <c r="R104" s="27"/>
      <c r="S104" s="27"/>
    </row>
    <row r="105" spans="1:19" s="26" customFormat="1" x14ac:dyDescent="0.3">
      <c r="A105" s="49" t="s">
        <v>162</v>
      </c>
      <c r="B105" s="49">
        <f>B104*2</f>
        <v>0</v>
      </c>
      <c r="C105" s="77">
        <v>0</v>
      </c>
      <c r="D105" s="77">
        <f t="shared" si="9"/>
        <v>0</v>
      </c>
      <c r="E105" s="103" t="s">
        <v>120</v>
      </c>
      <c r="F105" s="103" t="s">
        <v>121</v>
      </c>
      <c r="G105" s="54"/>
      <c r="P105" s="27"/>
      <c r="Q105" s="27"/>
      <c r="R105" s="27"/>
      <c r="S105" s="27"/>
    </row>
    <row r="106" spans="1:19" s="26" customFormat="1" x14ac:dyDescent="0.3">
      <c r="A106" s="49" t="s">
        <v>161</v>
      </c>
      <c r="B106" s="49">
        <f>B16*(15/2)</f>
        <v>0</v>
      </c>
      <c r="C106" s="77">
        <v>0</v>
      </c>
      <c r="D106" s="77">
        <f t="shared" si="9"/>
        <v>0</v>
      </c>
      <c r="E106" s="106" t="s">
        <v>134</v>
      </c>
      <c r="F106" s="106" t="s">
        <v>135</v>
      </c>
      <c r="G106" s="54"/>
      <c r="P106" s="27"/>
      <c r="Q106" s="27"/>
      <c r="R106" s="27"/>
      <c r="S106" s="27"/>
    </row>
    <row r="107" spans="1:19" s="26" customFormat="1" x14ac:dyDescent="0.3">
      <c r="A107" s="49"/>
      <c r="B107" s="49"/>
      <c r="C107" s="77">
        <v>0</v>
      </c>
      <c r="D107" s="77">
        <f t="shared" si="9"/>
        <v>0</v>
      </c>
      <c r="E107" s="102" t="s">
        <v>62</v>
      </c>
      <c r="F107" s="102" t="s">
        <v>62</v>
      </c>
      <c r="G107" s="102" t="s">
        <v>62</v>
      </c>
      <c r="P107" s="27"/>
      <c r="Q107" s="27"/>
      <c r="R107" s="27"/>
      <c r="S107" s="27"/>
    </row>
    <row r="108" spans="1:19" s="26" customFormat="1" x14ac:dyDescent="0.3">
      <c r="A108" s="389" t="s">
        <v>163</v>
      </c>
      <c r="B108" s="390"/>
      <c r="C108" s="390"/>
      <c r="D108" s="390"/>
      <c r="E108" s="390"/>
      <c r="F108" s="390"/>
      <c r="G108" s="391"/>
      <c r="P108" s="27"/>
      <c r="Q108" s="27"/>
      <c r="R108" s="27"/>
      <c r="S108" s="27"/>
    </row>
    <row r="109" spans="1:19" s="26" customFormat="1" x14ac:dyDescent="0.3">
      <c r="A109" s="48" t="s">
        <v>0</v>
      </c>
      <c r="B109" s="48" t="s">
        <v>51</v>
      </c>
      <c r="C109" s="48" t="s">
        <v>52</v>
      </c>
      <c r="D109" s="56" t="s">
        <v>53</v>
      </c>
      <c r="E109" s="46" t="s">
        <v>54</v>
      </c>
      <c r="F109" s="46" t="s">
        <v>55</v>
      </c>
      <c r="G109" s="48" t="s">
        <v>56</v>
      </c>
      <c r="P109" s="27"/>
      <c r="Q109" s="27"/>
      <c r="R109" s="27"/>
      <c r="S109" s="27"/>
    </row>
    <row r="110" spans="1:19" s="26" customFormat="1" x14ac:dyDescent="0.3">
      <c r="A110" s="49" t="s">
        <v>164</v>
      </c>
      <c r="B110" s="49">
        <f>B14*2</f>
        <v>72</v>
      </c>
      <c r="C110" s="77">
        <v>0</v>
      </c>
      <c r="D110" s="104">
        <f t="shared" ref="D110:D118" si="10">B110+C110</f>
        <v>72</v>
      </c>
      <c r="E110" s="106" t="s">
        <v>134</v>
      </c>
      <c r="F110" s="106" t="s">
        <v>135</v>
      </c>
      <c r="G110" s="50" t="s">
        <v>139</v>
      </c>
      <c r="P110" s="27"/>
      <c r="Q110" s="27"/>
      <c r="R110" s="27"/>
      <c r="S110" s="27"/>
    </row>
    <row r="111" spans="1:19" s="26" customFormat="1" x14ac:dyDescent="0.3">
      <c r="A111" s="49" t="s">
        <v>165</v>
      </c>
      <c r="B111" s="49">
        <f>B110*2</f>
        <v>144</v>
      </c>
      <c r="C111" s="77">
        <v>0</v>
      </c>
      <c r="D111" s="104">
        <f t="shared" si="10"/>
        <v>144</v>
      </c>
      <c r="E111" s="103" t="s">
        <v>120</v>
      </c>
      <c r="F111" s="103" t="s">
        <v>121</v>
      </c>
      <c r="G111" s="50" t="s">
        <v>126</v>
      </c>
      <c r="P111" s="27"/>
      <c r="Q111" s="27"/>
      <c r="R111" s="27"/>
      <c r="S111" s="27"/>
    </row>
    <row r="112" spans="1:19" s="26" customFormat="1" x14ac:dyDescent="0.3">
      <c r="A112" s="49" t="s">
        <v>166</v>
      </c>
      <c r="B112" s="49">
        <f>B110</f>
        <v>72</v>
      </c>
      <c r="C112" s="77">
        <v>0</v>
      </c>
      <c r="D112" s="77">
        <f t="shared" si="10"/>
        <v>72</v>
      </c>
      <c r="E112" s="106" t="s">
        <v>134</v>
      </c>
      <c r="F112" s="106" t="s">
        <v>135</v>
      </c>
      <c r="G112" s="63" t="s">
        <v>128</v>
      </c>
      <c r="P112" s="27"/>
      <c r="Q112" s="27"/>
      <c r="R112" s="27"/>
      <c r="S112" s="27"/>
    </row>
    <row r="113" spans="1:21" s="26" customFormat="1" x14ac:dyDescent="0.3">
      <c r="A113" s="49" t="s">
        <v>167</v>
      </c>
      <c r="B113" s="49">
        <v>2052</v>
      </c>
      <c r="C113" s="77">
        <v>0</v>
      </c>
      <c r="D113" s="77">
        <f t="shared" si="10"/>
        <v>2052</v>
      </c>
      <c r="E113" s="106" t="s">
        <v>134</v>
      </c>
      <c r="F113" s="106" t="s">
        <v>135</v>
      </c>
      <c r="G113" s="63"/>
      <c r="P113" s="27"/>
      <c r="Q113" s="27"/>
      <c r="R113" s="27"/>
      <c r="S113" s="27"/>
    </row>
    <row r="114" spans="1:21" s="26" customFormat="1" x14ac:dyDescent="0.3">
      <c r="A114" s="49" t="s">
        <v>168</v>
      </c>
      <c r="B114" s="49">
        <f>B115/2</f>
        <v>2052</v>
      </c>
      <c r="C114" s="77">
        <v>0</v>
      </c>
      <c r="D114" s="77">
        <f t="shared" si="10"/>
        <v>2052</v>
      </c>
      <c r="E114" s="137" t="s">
        <v>169</v>
      </c>
      <c r="F114" s="138" t="s">
        <v>170</v>
      </c>
      <c r="G114" s="54"/>
      <c r="P114" s="27"/>
      <c r="Q114" s="27"/>
      <c r="R114" s="27"/>
      <c r="S114" s="27"/>
    </row>
    <row r="115" spans="1:21" s="108" customFormat="1" x14ac:dyDescent="0.3">
      <c r="A115" s="51" t="s">
        <v>171</v>
      </c>
      <c r="B115" s="51">
        <v>4104</v>
      </c>
      <c r="C115" s="112">
        <v>0</v>
      </c>
      <c r="D115" s="112">
        <f t="shared" si="10"/>
        <v>4104</v>
      </c>
      <c r="E115" s="105" t="s">
        <v>131</v>
      </c>
      <c r="F115" s="125" t="s">
        <v>132</v>
      </c>
      <c r="G115" s="126" t="s">
        <v>172</v>
      </c>
    </row>
    <row r="116" spans="1:21" s="26" customFormat="1" x14ac:dyDescent="0.3">
      <c r="A116" s="49" t="s">
        <v>173</v>
      </c>
      <c r="B116" s="49">
        <v>64</v>
      </c>
      <c r="C116" s="77"/>
      <c r="D116" s="77">
        <f t="shared" si="10"/>
        <v>64</v>
      </c>
      <c r="E116" s="106" t="s">
        <v>134</v>
      </c>
      <c r="F116" s="106" t="s">
        <v>135</v>
      </c>
      <c r="G116" s="54"/>
      <c r="P116" s="27"/>
      <c r="Q116" s="27"/>
      <c r="R116" s="27"/>
      <c r="S116" s="27"/>
    </row>
    <row r="117" spans="1:21" s="26" customFormat="1" x14ac:dyDescent="0.3">
      <c r="A117" s="49" t="s">
        <v>174</v>
      </c>
      <c r="B117" s="49">
        <f>B116*2</f>
        <v>128</v>
      </c>
      <c r="C117" s="77"/>
      <c r="D117" s="77">
        <f t="shared" si="10"/>
        <v>128</v>
      </c>
      <c r="E117" s="103" t="s">
        <v>120</v>
      </c>
      <c r="F117" s="103" t="s">
        <v>121</v>
      </c>
      <c r="G117" s="54"/>
      <c r="P117" s="27"/>
      <c r="Q117" s="27"/>
      <c r="R117" s="27"/>
      <c r="S117" s="27"/>
    </row>
    <row r="118" spans="1:21" s="26" customFormat="1" x14ac:dyDescent="0.3">
      <c r="A118" s="49" t="s">
        <v>173</v>
      </c>
      <c r="B118" s="49">
        <v>64</v>
      </c>
      <c r="C118" s="77"/>
      <c r="D118" s="77">
        <f t="shared" si="10"/>
        <v>64</v>
      </c>
      <c r="E118" s="106" t="s">
        <v>134</v>
      </c>
      <c r="F118" s="106" t="s">
        <v>135</v>
      </c>
      <c r="G118" s="54"/>
      <c r="P118" s="27"/>
      <c r="Q118" s="27"/>
      <c r="R118" s="27"/>
      <c r="S118" s="27"/>
    </row>
    <row r="119" spans="1:21" s="27" customFormat="1" x14ac:dyDescent="0.3">
      <c r="A119" s="389" t="s">
        <v>175</v>
      </c>
      <c r="B119" s="390"/>
      <c r="C119" s="390"/>
      <c r="D119" s="390"/>
      <c r="E119" s="390"/>
      <c r="F119" s="390"/>
      <c r="G119" s="388"/>
    </row>
    <row r="120" spans="1:21" s="26" customFormat="1" x14ac:dyDescent="0.3">
      <c r="A120" s="46" t="s">
        <v>0</v>
      </c>
      <c r="B120" s="46" t="s">
        <v>51</v>
      </c>
      <c r="C120" s="46" t="s">
        <v>52</v>
      </c>
      <c r="D120" s="47" t="s">
        <v>53</v>
      </c>
      <c r="E120" s="46" t="s">
        <v>54</v>
      </c>
      <c r="F120" s="46" t="s">
        <v>55</v>
      </c>
      <c r="G120" s="46" t="s">
        <v>56</v>
      </c>
      <c r="P120" s="27"/>
      <c r="Q120" s="27"/>
      <c r="R120" s="27"/>
      <c r="S120" s="27"/>
    </row>
    <row r="121" spans="1:21" s="27" customFormat="1" x14ac:dyDescent="0.3">
      <c r="A121" s="230" t="s">
        <v>176</v>
      </c>
      <c r="B121" s="231">
        <v>7920</v>
      </c>
      <c r="C121" s="230">
        <v>0</v>
      </c>
      <c r="D121" s="230">
        <v>7920</v>
      </c>
      <c r="E121" s="232" t="s">
        <v>177</v>
      </c>
      <c r="F121" s="233" t="s">
        <v>178</v>
      </c>
      <c r="G121" s="49"/>
    </row>
    <row r="122" spans="1:21" s="27" customFormat="1" x14ac:dyDescent="0.3">
      <c r="A122" s="230" t="s">
        <v>179</v>
      </c>
      <c r="B122" s="230">
        <v>420</v>
      </c>
      <c r="C122" s="230">
        <v>0</v>
      </c>
      <c r="D122" s="230">
        <v>420</v>
      </c>
      <c r="E122" s="197" t="s">
        <v>180</v>
      </c>
      <c r="F122" s="164" t="s">
        <v>181</v>
      </c>
      <c r="G122" s="85" t="s">
        <v>62</v>
      </c>
    </row>
    <row r="123" spans="1:21" s="27" customFormat="1" x14ac:dyDescent="0.3">
      <c r="A123" s="230" t="s">
        <v>182</v>
      </c>
      <c r="B123" s="230">
        <v>420</v>
      </c>
      <c r="C123" s="230">
        <v>0</v>
      </c>
      <c r="D123" s="230">
        <v>420</v>
      </c>
      <c r="E123" s="197" t="s">
        <v>183</v>
      </c>
      <c r="F123" s="234" t="s">
        <v>184</v>
      </c>
      <c r="G123" s="85"/>
    </row>
    <row r="124" spans="1:21" s="27" customFormat="1" x14ac:dyDescent="0.3">
      <c r="A124" s="230" t="s">
        <v>185</v>
      </c>
      <c r="B124" s="230">
        <v>420</v>
      </c>
      <c r="C124" s="230">
        <v>0</v>
      </c>
      <c r="D124" s="230">
        <v>420</v>
      </c>
      <c r="E124" s="87" t="s">
        <v>186</v>
      </c>
      <c r="F124" s="109" t="s">
        <v>187</v>
      </c>
      <c r="G124" s="49" t="s">
        <v>188</v>
      </c>
    </row>
    <row r="125" spans="1:21" s="27" customFormat="1" x14ac:dyDescent="0.3">
      <c r="A125" s="230" t="s">
        <v>189</v>
      </c>
      <c r="B125" s="230">
        <v>24</v>
      </c>
      <c r="C125" s="230">
        <v>0</v>
      </c>
      <c r="D125" s="230">
        <v>24</v>
      </c>
      <c r="E125" s="87" t="s">
        <v>190</v>
      </c>
      <c r="F125" s="87" t="s">
        <v>191</v>
      </c>
      <c r="G125" s="49"/>
    </row>
    <row r="126" spans="1:21" s="27" customFormat="1" x14ac:dyDescent="0.3">
      <c r="A126" s="230" t="s">
        <v>192</v>
      </c>
      <c r="B126" s="230">
        <v>256</v>
      </c>
      <c r="C126" s="230">
        <v>0</v>
      </c>
      <c r="D126" s="230">
        <v>128</v>
      </c>
      <c r="E126" s="235" t="s">
        <v>134</v>
      </c>
      <c r="F126" s="235" t="s">
        <v>135</v>
      </c>
      <c r="G126" s="139"/>
      <c r="H126" s="108"/>
      <c r="I126" s="108"/>
      <c r="J126" s="108"/>
      <c r="K126" s="108"/>
      <c r="L126" s="108"/>
      <c r="M126" s="108"/>
      <c r="N126" s="108"/>
      <c r="O126" s="108"/>
      <c r="P126" s="108"/>
      <c r="Q126" s="108"/>
      <c r="R126" s="108"/>
      <c r="S126" s="108"/>
      <c r="T126" s="108"/>
      <c r="U126" s="108"/>
    </row>
    <row r="127" spans="1:21" s="27" customFormat="1" x14ac:dyDescent="0.3">
      <c r="A127" s="230" t="s">
        <v>193</v>
      </c>
      <c r="B127" s="230">
        <v>8</v>
      </c>
      <c r="C127" s="230">
        <v>0</v>
      </c>
      <c r="D127" s="230">
        <v>8</v>
      </c>
      <c r="E127" s="235" t="s">
        <v>134</v>
      </c>
      <c r="F127" s="235" t="s">
        <v>135</v>
      </c>
      <c r="G127" s="49"/>
    </row>
    <row r="128" spans="1:21" s="27" customFormat="1" x14ac:dyDescent="0.3">
      <c r="A128" s="230" t="s">
        <v>194</v>
      </c>
      <c r="B128" s="230">
        <v>8</v>
      </c>
      <c r="C128" s="230">
        <v>0</v>
      </c>
      <c r="D128" s="230">
        <v>8</v>
      </c>
      <c r="E128" s="103" t="s">
        <v>120</v>
      </c>
      <c r="F128" s="111" t="s">
        <v>121</v>
      </c>
      <c r="G128" s="49"/>
    </row>
    <row r="129" spans="1:15" s="27" customFormat="1" x14ac:dyDescent="0.3">
      <c r="A129" s="230" t="s">
        <v>195</v>
      </c>
      <c r="B129" s="230">
        <v>8</v>
      </c>
      <c r="C129" s="230">
        <v>0</v>
      </c>
      <c r="D129" s="230">
        <v>8</v>
      </c>
      <c r="E129" s="236" t="s">
        <v>84</v>
      </c>
      <c r="F129" s="237" t="s">
        <v>196</v>
      </c>
      <c r="G129" s="49"/>
      <c r="H129" s="26"/>
      <c r="I129" s="26"/>
      <c r="J129" s="26"/>
      <c r="K129" s="26"/>
      <c r="L129" s="26"/>
      <c r="M129" s="26"/>
      <c r="N129" s="26"/>
      <c r="O129" s="26"/>
    </row>
    <row r="130" spans="1:15" s="27" customFormat="1" x14ac:dyDescent="0.3">
      <c r="A130" s="230" t="s">
        <v>197</v>
      </c>
      <c r="B130" s="230">
        <v>36</v>
      </c>
      <c r="C130" s="230">
        <v>0</v>
      </c>
      <c r="D130" s="230">
        <v>36</v>
      </c>
      <c r="E130" s="235" t="s">
        <v>134</v>
      </c>
      <c r="F130" s="235" t="s">
        <v>135</v>
      </c>
      <c r="G130" s="49"/>
      <c r="H130" s="26"/>
      <c r="I130" s="26"/>
      <c r="J130" s="26"/>
      <c r="K130" s="26"/>
      <c r="L130" s="26"/>
      <c r="M130" s="26"/>
      <c r="N130" s="26"/>
      <c r="O130" s="26"/>
    </row>
    <row r="131" spans="1:15" s="27" customFormat="1" x14ac:dyDescent="0.3">
      <c r="A131" s="230" t="s">
        <v>198</v>
      </c>
      <c r="B131" s="230">
        <v>72</v>
      </c>
      <c r="C131" s="230">
        <v>0</v>
      </c>
      <c r="D131" s="230">
        <v>36</v>
      </c>
      <c r="E131" s="103" t="s">
        <v>120</v>
      </c>
      <c r="F131" s="111" t="s">
        <v>121</v>
      </c>
      <c r="G131" s="49"/>
      <c r="H131" s="26"/>
      <c r="I131" s="26"/>
      <c r="J131" s="26"/>
      <c r="K131" s="26"/>
      <c r="L131" s="26"/>
      <c r="M131" s="26"/>
      <c r="N131" s="26"/>
      <c r="O131" s="26"/>
    </row>
    <row r="132" spans="1:15" s="27" customFormat="1" x14ac:dyDescent="0.3">
      <c r="A132" s="230" t="s">
        <v>199</v>
      </c>
      <c r="B132" s="230">
        <v>36</v>
      </c>
      <c r="C132" s="230">
        <v>0</v>
      </c>
      <c r="D132" s="230">
        <v>36</v>
      </c>
      <c r="E132" s="235" t="s">
        <v>134</v>
      </c>
      <c r="F132" s="235" t="s">
        <v>135</v>
      </c>
      <c r="G132" s="49"/>
      <c r="H132" s="26"/>
      <c r="I132" s="26"/>
      <c r="J132" s="26"/>
      <c r="K132" s="26"/>
      <c r="L132" s="26"/>
      <c r="M132" s="26"/>
      <c r="N132" s="26"/>
      <c r="O132" s="26"/>
    </row>
    <row r="133" spans="1:15" s="27" customFormat="1" x14ac:dyDescent="0.3">
      <c r="A133" s="385" t="s">
        <v>200</v>
      </c>
      <c r="B133" s="385"/>
      <c r="C133" s="385"/>
      <c r="D133" s="385"/>
      <c r="E133" s="385"/>
      <c r="F133" s="385"/>
      <c r="G133" s="385"/>
      <c r="H133" s="26"/>
      <c r="I133" s="26"/>
      <c r="J133" s="26"/>
      <c r="K133" s="26"/>
      <c r="L133" s="26"/>
      <c r="M133" s="26"/>
      <c r="N133" s="26"/>
      <c r="O133" s="26"/>
    </row>
    <row r="134" spans="1:15" s="27" customFormat="1" x14ac:dyDescent="0.3">
      <c r="A134" s="46" t="s">
        <v>0</v>
      </c>
      <c r="B134" s="46" t="s">
        <v>51</v>
      </c>
      <c r="C134" s="46" t="s">
        <v>52</v>
      </c>
      <c r="D134" s="47" t="s">
        <v>53</v>
      </c>
      <c r="E134" s="46" t="s">
        <v>54</v>
      </c>
      <c r="F134" s="46" t="s">
        <v>55</v>
      </c>
      <c r="G134" s="82" t="s">
        <v>56</v>
      </c>
      <c r="H134" s="26"/>
      <c r="I134" s="26"/>
      <c r="J134" s="26"/>
      <c r="K134" s="26"/>
      <c r="L134" s="26"/>
      <c r="M134" s="26"/>
      <c r="N134" s="26"/>
      <c r="O134" s="26"/>
    </row>
    <row r="135" spans="1:15" s="27" customFormat="1" x14ac:dyDescent="0.3">
      <c r="A135" s="81" t="s">
        <v>201</v>
      </c>
      <c r="B135" s="81">
        <v>8</v>
      </c>
      <c r="C135" s="81">
        <v>0</v>
      </c>
      <c r="D135" s="83">
        <f>SUM(B135:C135)</f>
        <v>8</v>
      </c>
      <c r="E135" s="114" t="s">
        <v>84</v>
      </c>
      <c r="F135" s="86" t="s">
        <v>202</v>
      </c>
      <c r="G135" s="81"/>
      <c r="H135" s="26"/>
      <c r="I135" s="26"/>
      <c r="J135" s="26"/>
      <c r="K135" s="26"/>
      <c r="L135" s="26"/>
      <c r="M135" s="26"/>
      <c r="N135" s="26"/>
      <c r="O135" s="26"/>
    </row>
    <row r="136" spans="1:15" s="27" customFormat="1" x14ac:dyDescent="0.3">
      <c r="A136" s="134" t="s">
        <v>203</v>
      </c>
      <c r="B136" s="134">
        <v>8</v>
      </c>
      <c r="C136" s="134">
        <v>0</v>
      </c>
      <c r="D136" s="135">
        <f t="shared" ref="D136:D137" si="11">SUM(B136:C136)</f>
        <v>8</v>
      </c>
      <c r="E136" s="136" t="s">
        <v>120</v>
      </c>
      <c r="F136" s="136" t="s">
        <v>121</v>
      </c>
      <c r="G136" s="81"/>
      <c r="H136" s="26"/>
      <c r="I136" s="26"/>
      <c r="J136" s="26"/>
      <c r="K136" s="26"/>
      <c r="L136" s="26"/>
      <c r="M136" s="26"/>
      <c r="N136" s="26"/>
      <c r="O136" s="26"/>
    </row>
    <row r="137" spans="1:15" s="27" customFormat="1" x14ac:dyDescent="0.3">
      <c r="A137" s="49" t="s">
        <v>204</v>
      </c>
      <c r="B137" s="49">
        <v>8</v>
      </c>
      <c r="C137" s="49">
        <v>0</v>
      </c>
      <c r="D137" s="49">
        <f t="shared" si="11"/>
        <v>8</v>
      </c>
      <c r="E137" s="106" t="s">
        <v>134</v>
      </c>
      <c r="F137" s="106" t="s">
        <v>135</v>
      </c>
      <c r="G137" s="133"/>
      <c r="H137" s="26"/>
      <c r="I137" s="26"/>
      <c r="J137" s="26"/>
      <c r="K137" s="26"/>
      <c r="L137" s="26"/>
      <c r="M137" s="26"/>
      <c r="N137" s="26"/>
      <c r="O137" s="26"/>
    </row>
    <row r="138" spans="1:15" s="27" customFormat="1" x14ac:dyDescent="0.3">
      <c r="A138" s="54"/>
      <c r="B138" s="54"/>
      <c r="C138" s="54"/>
      <c r="D138" s="54"/>
      <c r="E138" s="54"/>
      <c r="F138" s="54"/>
      <c r="G138" s="52"/>
      <c r="H138" s="26"/>
      <c r="I138" s="26"/>
      <c r="J138" s="26"/>
      <c r="K138" s="26"/>
      <c r="L138" s="26"/>
      <c r="M138" s="26"/>
      <c r="N138" s="26"/>
      <c r="O138" s="26"/>
    </row>
    <row r="139" spans="1:15" s="27" customFormat="1" x14ac:dyDescent="0.3">
      <c r="A139" s="389" t="s">
        <v>205</v>
      </c>
      <c r="B139" s="390"/>
      <c r="C139" s="390"/>
      <c r="D139" s="390"/>
      <c r="E139" s="390"/>
      <c r="F139" s="390"/>
      <c r="G139" s="388"/>
      <c r="H139" s="26"/>
      <c r="I139" s="26"/>
      <c r="J139" s="26"/>
      <c r="K139" s="26"/>
      <c r="L139" s="26"/>
      <c r="M139" s="26"/>
      <c r="N139" s="26"/>
      <c r="O139" s="26"/>
    </row>
    <row r="140" spans="1:15" s="27" customFormat="1" x14ac:dyDescent="0.3">
      <c r="A140" s="48" t="s">
        <v>0</v>
      </c>
      <c r="B140" s="48" t="s">
        <v>51</v>
      </c>
      <c r="C140" s="48" t="s">
        <v>52</v>
      </c>
      <c r="D140" s="56" t="s">
        <v>53</v>
      </c>
      <c r="E140" s="46" t="s">
        <v>54</v>
      </c>
      <c r="F140" s="46" t="s">
        <v>55</v>
      </c>
      <c r="G140" s="48" t="s">
        <v>56</v>
      </c>
      <c r="H140" s="26"/>
      <c r="I140" s="26"/>
      <c r="J140" s="26"/>
      <c r="K140" s="26"/>
      <c r="L140" s="26"/>
      <c r="M140" s="26"/>
      <c r="N140" s="26"/>
      <c r="O140" s="26"/>
    </row>
    <row r="141" spans="1:15" s="27" customFormat="1" x14ac:dyDescent="0.3">
      <c r="A141" s="49" t="s">
        <v>206</v>
      </c>
      <c r="B141" s="49">
        <v>0</v>
      </c>
      <c r="C141" s="77">
        <v>0</v>
      </c>
      <c r="D141" s="104">
        <f t="shared" ref="D141:D146" si="12">B141+C141</f>
        <v>0</v>
      </c>
      <c r="E141" s="106" t="s">
        <v>134</v>
      </c>
      <c r="F141" s="106" t="s">
        <v>135</v>
      </c>
      <c r="G141" s="50" t="s">
        <v>139</v>
      </c>
      <c r="H141" s="26"/>
      <c r="I141" s="26"/>
      <c r="J141" s="26"/>
      <c r="K141" s="26"/>
      <c r="L141" s="26"/>
      <c r="M141" s="26"/>
      <c r="N141" s="26"/>
      <c r="O141" s="26"/>
    </row>
    <row r="142" spans="1:15" s="27" customFormat="1" x14ac:dyDescent="0.3">
      <c r="A142" s="49" t="s">
        <v>207</v>
      </c>
      <c r="B142" s="49">
        <f>B141*2</f>
        <v>0</v>
      </c>
      <c r="C142" s="77">
        <v>0</v>
      </c>
      <c r="D142" s="77">
        <f t="shared" si="12"/>
        <v>0</v>
      </c>
      <c r="E142" s="103" t="s">
        <v>120</v>
      </c>
      <c r="F142" s="103" t="s">
        <v>121</v>
      </c>
      <c r="G142" s="54" t="s">
        <v>126</v>
      </c>
      <c r="H142" s="26"/>
      <c r="I142" s="26"/>
      <c r="J142" s="26"/>
      <c r="K142" s="26"/>
      <c r="L142" s="26"/>
      <c r="M142" s="26"/>
      <c r="N142" s="26"/>
      <c r="O142" s="26"/>
    </row>
    <row r="143" spans="1:15" s="27" customFormat="1" x14ac:dyDescent="0.3">
      <c r="A143" s="49" t="s">
        <v>208</v>
      </c>
      <c r="B143" s="49">
        <f t="shared" ref="B143:B146" si="13">B142*2</f>
        <v>0</v>
      </c>
      <c r="C143" s="77">
        <v>0</v>
      </c>
      <c r="D143" s="77">
        <f t="shared" si="12"/>
        <v>0</v>
      </c>
      <c r="E143" s="106" t="s">
        <v>134</v>
      </c>
      <c r="F143" s="106" t="s">
        <v>135</v>
      </c>
      <c r="G143" s="63" t="s">
        <v>128</v>
      </c>
      <c r="H143" s="26"/>
      <c r="I143" s="26"/>
      <c r="J143" s="26"/>
      <c r="K143" s="26"/>
      <c r="L143" s="26"/>
      <c r="M143" s="26"/>
      <c r="N143" s="26"/>
      <c r="O143" s="26"/>
    </row>
    <row r="144" spans="1:15" s="27" customFormat="1" x14ac:dyDescent="0.3">
      <c r="A144" s="49" t="s">
        <v>167</v>
      </c>
      <c r="B144" s="49">
        <f t="shared" si="13"/>
        <v>0</v>
      </c>
      <c r="C144" s="77">
        <v>0</v>
      </c>
      <c r="D144" s="77">
        <f t="shared" si="12"/>
        <v>0</v>
      </c>
      <c r="E144" s="106" t="s">
        <v>134</v>
      </c>
      <c r="F144" s="106" t="s">
        <v>135</v>
      </c>
      <c r="G144" s="63"/>
      <c r="H144" s="26"/>
      <c r="I144" s="26"/>
      <c r="J144" s="26"/>
      <c r="K144" s="26"/>
      <c r="L144" s="26"/>
      <c r="M144" s="26"/>
      <c r="N144" s="26"/>
      <c r="O144" s="26"/>
    </row>
    <row r="145" spans="1:15" s="27" customFormat="1" x14ac:dyDescent="0.3">
      <c r="A145" s="49" t="s">
        <v>168</v>
      </c>
      <c r="B145" s="49">
        <f t="shared" si="13"/>
        <v>0</v>
      </c>
      <c r="C145" s="77">
        <v>0</v>
      </c>
      <c r="D145" s="77">
        <f t="shared" si="12"/>
        <v>0</v>
      </c>
      <c r="E145" s="103" t="s">
        <v>120</v>
      </c>
      <c r="F145" s="103" t="s">
        <v>121</v>
      </c>
      <c r="G145" s="54"/>
      <c r="H145" s="26"/>
      <c r="I145" s="26"/>
      <c r="J145" s="26"/>
      <c r="K145" s="26"/>
      <c r="L145" s="26"/>
      <c r="M145" s="26"/>
      <c r="N145" s="26"/>
      <c r="O145" s="26"/>
    </row>
    <row r="146" spans="1:15" s="27" customFormat="1" x14ac:dyDescent="0.3">
      <c r="A146" s="51" t="s">
        <v>171</v>
      </c>
      <c r="B146" s="49">
        <f t="shared" si="13"/>
        <v>0</v>
      </c>
      <c r="C146" s="112">
        <v>0</v>
      </c>
      <c r="D146" s="112">
        <f t="shared" si="12"/>
        <v>0</v>
      </c>
      <c r="E146" s="105" t="s">
        <v>131</v>
      </c>
      <c r="F146" s="125" t="s">
        <v>132</v>
      </c>
      <c r="G146" s="126" t="s">
        <v>172</v>
      </c>
      <c r="H146" s="26"/>
      <c r="I146" s="26"/>
      <c r="J146" s="26"/>
      <c r="K146" s="26"/>
      <c r="L146" s="26"/>
      <c r="M146" s="26"/>
      <c r="N146" s="26"/>
      <c r="O146" s="26"/>
    </row>
    <row r="147" spans="1:15" s="27" customFormat="1" x14ac:dyDescent="0.3">
      <c r="A147" s="118"/>
      <c r="B147" s="118"/>
      <c r="C147" s="119"/>
      <c r="D147" s="119"/>
      <c r="E147" s="120"/>
      <c r="F147" s="121"/>
      <c r="G147" s="107"/>
      <c r="H147" s="26"/>
      <c r="I147" s="26"/>
      <c r="J147" s="26"/>
      <c r="K147" s="26"/>
      <c r="L147" s="26"/>
      <c r="M147" s="26"/>
      <c r="N147" s="26"/>
      <c r="O147" s="26"/>
    </row>
    <row r="148" spans="1:15" s="27" customFormat="1" x14ac:dyDescent="0.3">
      <c r="A148" s="403" t="s">
        <v>209</v>
      </c>
      <c r="B148" s="404"/>
      <c r="C148" s="404"/>
      <c r="D148" s="404"/>
      <c r="E148" s="404"/>
      <c r="F148" s="404"/>
      <c r="G148" s="405"/>
      <c r="H148" s="26"/>
      <c r="I148" s="26"/>
      <c r="J148" s="26"/>
      <c r="K148" s="26"/>
      <c r="L148" s="26"/>
      <c r="M148" s="26"/>
      <c r="N148" s="26"/>
      <c r="O148" s="26"/>
    </row>
    <row r="149" spans="1:15" s="27" customFormat="1" x14ac:dyDescent="0.3">
      <c r="A149" s="48" t="s">
        <v>0</v>
      </c>
      <c r="B149" s="48" t="s">
        <v>51</v>
      </c>
      <c r="C149" s="48" t="s">
        <v>52</v>
      </c>
      <c r="D149" s="56" t="s">
        <v>53</v>
      </c>
      <c r="E149" s="48" t="s">
        <v>54</v>
      </c>
      <c r="F149" s="48" t="s">
        <v>55</v>
      </c>
      <c r="G149" s="48" t="s">
        <v>56</v>
      </c>
      <c r="H149" s="26"/>
      <c r="I149" s="26"/>
      <c r="J149" s="26"/>
      <c r="K149" s="26"/>
      <c r="L149" s="26"/>
      <c r="M149" s="26"/>
      <c r="N149" s="26"/>
      <c r="O149" s="26"/>
    </row>
    <row r="150" spans="1:15" s="27" customFormat="1" x14ac:dyDescent="0.3">
      <c r="A150" s="54" t="s">
        <v>76</v>
      </c>
      <c r="B150" s="54">
        <v>504</v>
      </c>
      <c r="C150" s="54">
        <v>0</v>
      </c>
      <c r="D150" s="54">
        <f>C150+B150</f>
        <v>504</v>
      </c>
      <c r="E150" s="127" t="s">
        <v>210</v>
      </c>
      <c r="F150" s="127" t="s">
        <v>211</v>
      </c>
      <c r="G150" s="50"/>
      <c r="H150" s="26"/>
      <c r="I150" s="26"/>
      <c r="J150" s="26"/>
      <c r="K150" s="26"/>
      <c r="L150" s="26"/>
      <c r="M150" s="26"/>
      <c r="N150" s="26"/>
      <c r="O150" s="26"/>
    </row>
    <row r="151" spans="1:15" s="27" customFormat="1" x14ac:dyDescent="0.3">
      <c r="A151" s="49" t="s">
        <v>179</v>
      </c>
      <c r="B151" s="49">
        <v>1008</v>
      </c>
      <c r="C151" s="54">
        <v>0</v>
      </c>
      <c r="D151" s="54">
        <f>C151+B151</f>
        <v>1008</v>
      </c>
      <c r="E151" s="127" t="s">
        <v>212</v>
      </c>
      <c r="F151" s="127" t="s">
        <v>181</v>
      </c>
      <c r="G151" s="54" t="s">
        <v>213</v>
      </c>
      <c r="H151" s="26"/>
      <c r="I151" s="26"/>
      <c r="J151" s="26"/>
      <c r="K151" s="26"/>
      <c r="L151" s="26"/>
      <c r="M151" s="26"/>
      <c r="N151" s="26"/>
      <c r="O151" s="26"/>
    </row>
    <row r="152" spans="1:15" s="27" customFormat="1" x14ac:dyDescent="0.3">
      <c r="A152" s="49" t="s">
        <v>176</v>
      </c>
      <c r="B152" s="80">
        <v>22176</v>
      </c>
      <c r="C152" s="77">
        <v>0</v>
      </c>
      <c r="D152" s="77">
        <f>SUM(B152:C152)</f>
        <v>22176</v>
      </c>
      <c r="E152" s="127" t="s">
        <v>214</v>
      </c>
      <c r="F152" s="127" t="s">
        <v>178</v>
      </c>
      <c r="G152" s="49"/>
    </row>
    <row r="153" spans="1:15" s="27" customFormat="1" x14ac:dyDescent="0.3">
      <c r="A153" s="49" t="s">
        <v>182</v>
      </c>
      <c r="B153" s="80">
        <v>1008</v>
      </c>
      <c r="C153" s="77">
        <v>0</v>
      </c>
      <c r="D153" s="104">
        <v>1008</v>
      </c>
      <c r="E153" s="92" t="s">
        <v>215</v>
      </c>
      <c r="F153" s="110" t="s">
        <v>184</v>
      </c>
      <c r="G153" s="49"/>
    </row>
    <row r="154" spans="1:15" s="27" customFormat="1" x14ac:dyDescent="0.3">
      <c r="A154" s="51"/>
      <c r="B154" s="51"/>
      <c r="C154" s="112"/>
      <c r="D154" s="113"/>
      <c r="E154" s="105"/>
      <c r="F154" s="125"/>
      <c r="G154" s="126"/>
      <c r="H154" s="26"/>
      <c r="I154" s="26"/>
      <c r="J154" s="26"/>
      <c r="K154" s="26"/>
      <c r="L154" s="26"/>
      <c r="M154" s="26"/>
      <c r="N154" s="26"/>
      <c r="O154" s="26"/>
    </row>
    <row r="155" spans="1:15" ht="15" thickBot="1" x14ac:dyDescent="0.35">
      <c r="A155" s="66"/>
      <c r="B155" s="66"/>
      <c r="C155" s="66"/>
      <c r="D155" s="66"/>
      <c r="E155" s="66"/>
      <c r="F155" t="s">
        <v>62</v>
      </c>
      <c r="G155" t="s">
        <v>62</v>
      </c>
    </row>
    <row r="156" spans="1:15" ht="27.6" x14ac:dyDescent="0.3">
      <c r="A156" s="67" t="s">
        <v>216</v>
      </c>
      <c r="B156" s="394" t="s">
        <v>217</v>
      </c>
      <c r="C156" s="395"/>
      <c r="D156" s="396"/>
      <c r="E156" s="68" t="s">
        <v>218</v>
      </c>
      <c r="F156" t="s">
        <v>62</v>
      </c>
      <c r="G156" t="s">
        <v>62</v>
      </c>
      <c r="H156" s="44"/>
      <c r="I156" s="44"/>
    </row>
    <row r="157" spans="1:15" ht="15" thickBot="1" x14ac:dyDescent="0.35">
      <c r="A157" s="69" t="s">
        <v>219</v>
      </c>
      <c r="B157" s="397" t="s">
        <v>220</v>
      </c>
      <c r="C157" s="398"/>
      <c r="D157" s="399"/>
      <c r="E157" s="70" t="s">
        <v>221</v>
      </c>
      <c r="F157" s="45"/>
      <c r="G157" s="66"/>
      <c r="H157" s="40"/>
      <c r="I157" s="40"/>
    </row>
    <row r="158" spans="1:15" x14ac:dyDescent="0.3">
      <c r="A158" s="71"/>
      <c r="B158" s="66"/>
      <c r="C158" s="66"/>
      <c r="D158" s="66"/>
      <c r="E158" s="66"/>
      <c r="F158" s="66"/>
      <c r="G158" s="66"/>
    </row>
    <row r="159" spans="1:15" ht="75.75" customHeight="1" x14ac:dyDescent="0.3">
      <c r="A159" s="382" t="s">
        <v>222</v>
      </c>
      <c r="B159" s="383"/>
      <c r="C159" s="383"/>
      <c r="D159" s="383"/>
      <c r="E159" s="383"/>
      <c r="F159" s="383"/>
      <c r="G159" s="383"/>
    </row>
    <row r="160" spans="1:15" ht="15" thickBot="1" x14ac:dyDescent="0.35">
      <c r="A160" s="66"/>
      <c r="B160" s="66"/>
      <c r="C160" s="52"/>
      <c r="D160" s="66"/>
      <c r="E160" s="66"/>
      <c r="F160" s="66"/>
      <c r="G160" s="66"/>
    </row>
    <row r="161" spans="1:13" x14ac:dyDescent="0.3">
      <c r="A161" s="55"/>
      <c r="B161" s="400" t="s">
        <v>223</v>
      </c>
      <c r="C161" s="401"/>
      <c r="D161" s="401"/>
      <c r="E161" s="401"/>
      <c r="F161" s="401"/>
      <c r="G161" s="402"/>
      <c r="H161" s="42"/>
      <c r="I161" s="42"/>
      <c r="J161" s="42"/>
      <c r="K161" s="42"/>
      <c r="L161" s="42"/>
      <c r="M161" s="42"/>
    </row>
    <row r="162" spans="1:13" x14ac:dyDescent="0.3">
      <c r="A162" s="52"/>
      <c r="B162" s="72" t="s">
        <v>224</v>
      </c>
      <c r="C162" s="72" t="s">
        <v>225</v>
      </c>
      <c r="D162" s="73" t="s">
        <v>51</v>
      </c>
      <c r="E162" s="74" t="s">
        <v>226</v>
      </c>
      <c r="F162" s="74" t="s">
        <v>55</v>
      </c>
      <c r="G162" s="75" t="s">
        <v>56</v>
      </c>
      <c r="H162" s="42"/>
      <c r="I162" s="42"/>
      <c r="J162" s="42"/>
      <c r="K162" s="42"/>
      <c r="L162" s="42"/>
      <c r="M162" s="42"/>
    </row>
    <row r="163" spans="1:13" x14ac:dyDescent="0.3">
      <c r="A163" s="52"/>
      <c r="B163" s="58"/>
      <c r="C163" s="58"/>
      <c r="D163" s="61">
        <f ca="1">SUMIF($E$1:INDIRECT($B$157),E163,$D$1:INDIRECT($A$157))</f>
        <v>36</v>
      </c>
      <c r="E163" s="54" cm="1">
        <f t="array" aca="1" ref="E163:E185" ca="1">IFERROR(_xlfn._xlws.SORT(_xlfn.UNIQUE(_xlfn._xlws.FILTER(E1:INDIRECT($B$157),(E1:INDIRECT($B$157)&lt;&gt;0)*(E1:INDIRECT($B$157)&lt;&gt;" ")*(ISERROR(SEARCH("Model",E1:INDIRECT($B$157))))))),"               [No Date in Source Table]")</f>
        <v>9048</v>
      </c>
      <c r="F163" s="54" t="str">
        <f ca="1">IFERROR(IF(INDEX($F$1:INDIRECT($E$157),MATCH(E163,$E$1:INDIRECT($B$157),0))=0," ",INDEX($F$1:INDIRECT($E$157),MATCH(E163,$E$1:INDIRECT($B$157),0))),"   [ Adjacent Item Model/PN cell is Empty ]")</f>
        <v>IR9000/750mmx1200mm/48U</v>
      </c>
      <c r="G163" s="54"/>
      <c r="H163" s="42"/>
      <c r="I163" s="42"/>
      <c r="J163" s="42"/>
      <c r="K163" s="42"/>
      <c r="L163" s="42"/>
      <c r="M163" s="42"/>
    </row>
    <row r="164" spans="1:13" x14ac:dyDescent="0.3">
      <c r="A164" s="52"/>
      <c r="B164" s="58"/>
      <c r="C164" s="58"/>
      <c r="D164" s="61">
        <f ca="1">SUMIF($E$1:INDIRECT($B$157),E164,$D$1:INDIRECT($A$157))</f>
        <v>112</v>
      </c>
      <c r="E164" s="54">
        <f ca="1"/>
        <v>9148</v>
      </c>
      <c r="F164" s="54" t="str">
        <f ca="1">IFERROR(IF(INDEX($F$1:INDIRECT($E$157),MATCH(E164,$E$1:INDIRECT($B$157),0))=0," ",INDEX($F$1:INDIRECT($E$157),MATCH(E164,$E$1:INDIRECT($B$157),0))),"   [ Adjacent Item Model/PN cell is Empty ]")</f>
        <v>IR9000/750mmx1200mm/48U</v>
      </c>
      <c r="G164" s="58"/>
      <c r="H164" s="42"/>
      <c r="I164" s="42"/>
      <c r="J164" s="42"/>
      <c r="K164" s="42"/>
      <c r="L164" s="42"/>
      <c r="M164" s="42"/>
    </row>
    <row r="165" spans="1:13" x14ac:dyDescent="0.3">
      <c r="A165" s="52"/>
      <c r="B165" s="58"/>
      <c r="C165" s="58"/>
      <c r="D165" s="61">
        <f ca="1">SUMIF($E$1:INDIRECT($B$157),E165,$D$1:INDIRECT($A$157))</f>
        <v>1008</v>
      </c>
      <c r="E165" s="54" t="str">
        <f ca="1"/>
        <v>[GPU RACK]  980-9I042- 00C000</v>
      </c>
      <c r="F165" s="54" t="str">
        <f ca="1">IFERROR(IF(INDEX($F$1:INDIRECT($E$157),MATCH(E165,$E$1:INDIRECT($B$157),0))=0," ",INDEX($F$1:INDIRECT($E$157),MATCH(E165,$E$1:INDIRECT($B$157),0))),"   [ Adjacent Item Model/PN cell is Empty ]")</f>
        <v>Mellanox transceiver, 100GbE, QSFP28, LC-LC, 1310nm, DR1</v>
      </c>
      <c r="G165" s="58"/>
      <c r="H165" s="42"/>
      <c r="I165" s="42"/>
      <c r="J165" s="42"/>
      <c r="K165" s="42"/>
      <c r="L165" s="42"/>
      <c r="M165" s="42"/>
    </row>
    <row r="166" spans="1:13" x14ac:dyDescent="0.3">
      <c r="A166" s="52"/>
      <c r="B166" s="58"/>
      <c r="C166" s="58"/>
      <c r="D166" s="61">
        <f ca="1">SUMIF($E$1:INDIRECT($B$157),E166,$D$1:INDIRECT($A$157))</f>
        <v>504</v>
      </c>
      <c r="E166" s="54" t="str">
        <f ca="1"/>
        <v>[GPU RACK] 920-9N110-01R1-NC0 (DPN: J2MV9)</v>
      </c>
      <c r="F166" s="54" t="str">
        <f ca="1">IFERROR(IF(INDEX($F$1:INDIRECT($E$157),MATCH(E166,$E$1:INDIRECT($B$157),0))=0," ",INDEX($F$1:INDIRECT($E$157),MATCH(E166,$E$1:INDIRECT($B$157),0))),"   [ Adjacent Item Model/PN cell is Empty ]")</f>
        <v>SN2201 48x1G + 4x100G, DC Busbar Air Cooled [TOR SWITCHES ARE COUNTED IN GPU BOM]</v>
      </c>
      <c r="G166" s="58"/>
      <c r="H166" s="42"/>
      <c r="I166" s="42"/>
      <c r="J166" s="42"/>
      <c r="K166" s="42"/>
      <c r="L166" s="42"/>
      <c r="M166" s="42"/>
    </row>
    <row r="167" spans="1:13" x14ac:dyDescent="0.3">
      <c r="A167" s="52"/>
      <c r="B167" s="58"/>
      <c r="C167" s="58"/>
      <c r="D167" s="61">
        <f ca="1">SUMIF($E$1:INDIRECT($B$157),E167,$D$1:INDIRECT($A$157))</f>
        <v>1008</v>
      </c>
      <c r="E167" s="54" t="str">
        <f ca="1"/>
        <v>[GPU RACK] A7204378 </v>
      </c>
      <c r="F167" s="54" t="str">
        <f ca="1">IFERROR(IF(INDEX($F$1:INDIRECT($E$157),MATCH(E167,$E$1:INDIRECT($B$157),0))=0," ",INDEX($F$1:INDIRECT($E$157),MATCH(E167,$E$1:INDIRECT($B$157),0))),"   [ Adjacent Item Model/PN cell is Empty ]")</f>
        <v>Switch Xcvr to LC Patch Panel LC-LC short leg patch cable, Other end is MPO to 4xLC to OOB Spine</v>
      </c>
      <c r="G167" s="58"/>
      <c r="H167" s="42"/>
      <c r="I167" s="42"/>
      <c r="J167" s="42"/>
      <c r="K167" s="42"/>
      <c r="L167" s="42"/>
      <c r="M167" s="42"/>
    </row>
    <row r="168" spans="1:13" x14ac:dyDescent="0.3">
      <c r="A168" s="52"/>
      <c r="B168" s="58"/>
      <c r="C168" s="58"/>
      <c r="D168" s="61">
        <f ca="1">SUMIF($E$1:INDIRECT($B$157),E168,$D$1:INDIRECT($A$157))</f>
        <v>22176</v>
      </c>
      <c r="E168" s="54" t="str">
        <f ca="1"/>
        <v>[GPU RACK] Cat 6</v>
      </c>
      <c r="F168" s="54" t="str">
        <f ca="1">IFERROR(IF(INDEX($F$1:INDIRECT($E$157),MATCH(E168,$E$1:INDIRECT($B$157),0))=0," ",INDEX($F$1:INDIRECT($E$157),MATCH(E168,$E$1:INDIRECT($B$157),0))),"   [ Adjacent Item Model/PN cell is Empty ]")</f>
        <v xml:space="preserve">Cat 6 </v>
      </c>
      <c r="G168" s="58"/>
      <c r="H168" s="42"/>
      <c r="I168" s="42"/>
      <c r="J168" s="42"/>
      <c r="K168" s="42"/>
      <c r="L168" s="42"/>
      <c r="M168" s="42"/>
    </row>
    <row r="169" spans="1:13" x14ac:dyDescent="0.3">
      <c r="A169" s="52"/>
      <c r="B169" s="58"/>
      <c r="C169" s="58"/>
      <c r="D169" s="61">
        <f ca="1">SUMIF($E$1:INDIRECT($B$157),E169,$D$1:INDIRECT($A$157))</f>
        <v>252</v>
      </c>
      <c r="E169" s="54" t="str">
        <f ca="1"/>
        <v>[GPU RACK] VR72</v>
      </c>
      <c r="F169" s="54" t="str">
        <f ca="1">IFERROR(IF(INDEX($F$1:INDIRECT($E$157),MATCH(E169,$E$1:INDIRECT($B$157),0))=0," ",INDEX($F$1:INDIRECT($E$157),MATCH(E169,$E$1:INDIRECT($B$157),0))),"   [ Adjacent Item Model/PN cell is Empty ]")</f>
        <v xml:space="preserve"> VR72 GPU Racks</v>
      </c>
      <c r="G169" s="58"/>
      <c r="H169" s="42"/>
      <c r="I169" s="42"/>
      <c r="J169" s="42"/>
      <c r="K169" s="42"/>
      <c r="L169" s="42"/>
      <c r="M169" s="42"/>
    </row>
    <row r="170" spans="1:13" x14ac:dyDescent="0.3">
      <c r="A170" s="52"/>
      <c r="B170" s="58"/>
      <c r="C170" s="58"/>
      <c r="D170" s="61">
        <f ca="1">SUMIF($E$1:INDIRECT($B$157),E170,$D$1:INDIRECT($A$157))</f>
        <v>420</v>
      </c>
      <c r="E170" s="54" t="str">
        <f ca="1"/>
        <v>470-ABGH</v>
      </c>
      <c r="F170" s="54" t="str">
        <f ca="1">IFERROR(IF(INDEX($F$1:INDIRECT($E$157),MATCH(E170,$E$1:INDIRECT($B$157),0))=0," ",INDEX($F$1:INDIRECT($E$157),MATCH(E170,$E$1:INDIRECT($B$157),0))),"   [ Adjacent Item Model/PN cell is Empty ]")</f>
        <v>Switch Xcvr to LC Patch Panel MPO-4xLC short leg patch cable, Other end is LC to OOB Leafs</v>
      </c>
      <c r="G170" s="58"/>
      <c r="H170" s="42"/>
      <c r="I170" s="42"/>
      <c r="J170" s="42"/>
      <c r="K170" s="42"/>
      <c r="L170" s="42"/>
      <c r="M170" s="42"/>
    </row>
    <row r="171" spans="1:13" x14ac:dyDescent="0.3">
      <c r="A171" s="52"/>
      <c r="B171" s="58"/>
      <c r="C171" s="58"/>
      <c r="D171" s="61">
        <f ca="1">SUMIF($E$1:INDIRECT($B$157),E171,$D$1:INDIRECT($A$157))</f>
        <v>3888</v>
      </c>
      <c r="E171" s="54" t="str">
        <f ca="1"/>
        <v>4x4 shuffle unit = 360 x 18 [4x4] + 200 x 9[4x4]</v>
      </c>
      <c r="F171" s="54" t="str">
        <f ca="1">IFERROR(IF(INDEX($F$1:INDIRECT($E$157),MATCH(E171,$E$1:INDIRECT($B$157),0))=0," ",INDEX($F$1:INDIRECT($E$157),MATCH(E171,$E$1:INDIRECT($B$157),0))),"   [ Adjacent Item Model/PN cell is Empty ]")</f>
        <v xml:space="preserve"> </v>
      </c>
      <c r="G171" s="58"/>
      <c r="H171" s="42"/>
      <c r="I171" s="42"/>
      <c r="J171" s="42"/>
      <c r="K171" s="42"/>
      <c r="L171" s="42"/>
      <c r="M171" s="42"/>
    </row>
    <row r="172" spans="1:13" x14ac:dyDescent="0.3">
      <c r="A172" s="52"/>
      <c r="B172" s="58"/>
      <c r="C172" s="58"/>
      <c r="D172" s="54">
        <f ca="1">SUMIF($E$1:INDIRECT($B$157),E172,$D$1:INDIRECT($A$157))</f>
        <v>9072</v>
      </c>
      <c r="E172" s="54" t="str">
        <f ca="1"/>
        <v>4x4 shuffle unit = 432 x 18 [4x4] + 144 x 9[4x4]</v>
      </c>
      <c r="F172" s="54" t="str">
        <f ca="1">IFERROR(IF(INDEX($F$1:INDIRECT($E$157),MATCH(E172,$E$1:INDIRECT($B$157),0))=0," ",INDEX($F$1:INDIRECT($E$157),MATCH(E172,$E$1:INDIRECT($B$157),0))),"   [ Adjacent Item Model/PN cell is Empty ]")</f>
        <v xml:space="preserve"> </v>
      </c>
      <c r="G172" s="58"/>
      <c r="H172" s="42"/>
      <c r="I172" s="42"/>
      <c r="J172" s="42"/>
      <c r="K172" s="42"/>
      <c r="L172" s="42"/>
      <c r="M172" s="42"/>
    </row>
    <row r="173" spans="1:13" x14ac:dyDescent="0.3">
      <c r="A173" s="52"/>
      <c r="B173" s="58"/>
      <c r="C173" s="58"/>
      <c r="D173" s="54">
        <f ca="1">SUMIF($E$1:INDIRECT($B$157),E173,$D$1:INDIRECT($A$157))</f>
        <v>180</v>
      </c>
      <c r="E173" s="54" t="str">
        <f ca="1"/>
        <v>920-9N110-01R1-NC0 (DPN: J2MV9)</v>
      </c>
      <c r="F173" s="54" t="str">
        <f ca="1">IFERROR(IF(INDEX($F$1:INDIRECT($E$157),MATCH(E173,$E$1:INDIRECT($B$157),0))=0," ",INDEX($F$1:INDIRECT($E$157),MATCH(E173,$E$1:INDIRECT($B$157),0))),"   [ Adjacent Item Model/PN cell is Empty ]")</f>
        <v>SN2201 48x1G + 4x100G, DC Busbar Air Cooled</v>
      </c>
      <c r="G173" s="58"/>
      <c r="H173" s="42"/>
      <c r="I173" s="42"/>
      <c r="J173" s="42"/>
      <c r="K173" s="42"/>
      <c r="L173" s="42"/>
      <c r="M173" s="42"/>
    </row>
    <row r="174" spans="1:13" x14ac:dyDescent="0.3">
      <c r="A174" s="52"/>
      <c r="B174" s="58"/>
      <c r="C174" s="58"/>
      <c r="D174" s="54">
        <f ca="1">SUMIF($E$1:INDIRECT($B$157),E174,$D$1:INDIRECT($A$157))</f>
        <v>338</v>
      </c>
      <c r="E174" s="54" t="str">
        <f ca="1"/>
        <v>920-9N42F-00RI-KC0</v>
      </c>
      <c r="F174" s="54" t="str">
        <f ca="1">IFERROR(IF(INDEX($F$1:INDIRECT($E$157),MATCH(E174,$E$1:INDIRECT($B$157),0))=0," ",INDEX($F$1:INDIRECT($E$157),MATCH(E174,$E$1:INDIRECT($B$157),0))),"   [ Adjacent Item Model/PN cell is Empty ]")</f>
        <v>NVDA SN5600D,OSFP,DCBB,64P,C2P(I/P),CMLS</v>
      </c>
      <c r="G174" s="58"/>
      <c r="H174" s="42"/>
      <c r="I174" s="42"/>
      <c r="J174" s="42"/>
      <c r="K174" s="42"/>
      <c r="L174" s="42"/>
      <c r="M174" s="42"/>
    </row>
    <row r="175" spans="1:13" x14ac:dyDescent="0.3">
      <c r="A175" s="52"/>
      <c r="B175" s="58"/>
      <c r="C175" s="58"/>
      <c r="D175" s="54">
        <f ca="1">SUMIF($E$1:INDIRECT($B$157),E175,$D$1:INDIRECT($A$157))</f>
        <v>864</v>
      </c>
      <c r="E175" s="54" t="str">
        <f ca="1"/>
        <v>920-9N62F-00LI-GC0</v>
      </c>
      <c r="F175" s="54" t="str">
        <f ca="1">IFERROR(IF(INDEX($F$1:INDIRECT($E$157),MATCH(E175,$E$1:INDIRECT($B$157),0))=0," ",INDEX($F$1:INDIRECT($E$157),MATCH(E175,$E$1:INDIRECT($B$157),0))),"   [ Adjacent Item Model/PN cell is Empty ]")</f>
        <v>NVIDIA Spectrum-6 based 800GbE Ethernet switch with Cumulus Linux Authentication, 64 OSFP, 1 QSFP112, 48VDC Busbar, 8-Cores CPU, Secure-boot, Liquid-Cooling, Rail-Kit.D39</v>
      </c>
      <c r="G175" s="58"/>
      <c r="H175" s="42"/>
      <c r="I175" s="42"/>
      <c r="J175" s="42"/>
      <c r="K175" s="42"/>
      <c r="L175" s="42"/>
      <c r="M175" s="42"/>
    </row>
    <row r="176" spans="1:13" x14ac:dyDescent="0.3">
      <c r="A176" s="52"/>
      <c r="B176" s="58"/>
      <c r="C176" s="58"/>
      <c r="D176" s="54">
        <f ca="1">SUMIF($E$1:INDIRECT($B$157),E176,$D$1:INDIRECT($A$157))</f>
        <v>420</v>
      </c>
      <c r="E176" s="54" t="str">
        <f ca="1"/>
        <v>980-9I042- 00C000</v>
      </c>
      <c r="F176" s="54" t="str">
        <f ca="1">IFERROR(IF(INDEX($F$1:INDIRECT($E$157),MATCH(E176,$E$1:INDIRECT($B$157),0))=0," ",INDEX($F$1:INDIRECT($E$157),MATCH(E176,$E$1:INDIRECT($B$157),0))),"   [ Adjacent Item Model/PN cell is Empty ]")</f>
        <v>Mellanox transceiver, 100GbE, QSFP28, LC-LC, 1310nm, DR1</v>
      </c>
      <c r="G176" s="54"/>
      <c r="H176" s="42"/>
      <c r="I176" s="42"/>
      <c r="J176" s="42"/>
      <c r="K176" s="42"/>
      <c r="L176" s="42"/>
      <c r="M176" s="42"/>
    </row>
    <row r="177" spans="1:13" x14ac:dyDescent="0.3">
      <c r="A177" s="52"/>
      <c r="B177" s="58"/>
      <c r="C177" s="58"/>
      <c r="D177" s="54">
        <f ca="1">SUMIF($E$1:INDIRECT($B$157),E177,$D$1:INDIRECT($A$157))</f>
        <v>72576</v>
      </c>
      <c r="E177" s="54" t="str">
        <f ca="1"/>
        <v>980-9IAJ0-00XM00</v>
      </c>
      <c r="F177" s="54" t="str">
        <f ca="1">IFERROR(IF(INDEX($F$1:INDIRECT($E$157),MATCH(E177,$E$1:INDIRECT($B$157),0))=0," ",INDEX($F$1:INDIRECT($E$157),MATCH(E177,$E$1:INDIRECT($B$157),0))),"   [ Adjacent Item Model/PN cell is Empty ]")</f>
        <v>NVIDIA twin port transceiver, 2xDR4, 1600Gbps, OSFP, 2xMPO(APC), 1310nm SMF, up to 500m, RHS, TRO, Ethernet Only</v>
      </c>
      <c r="G177" s="54"/>
      <c r="H177" s="42"/>
      <c r="I177" s="42"/>
      <c r="J177" s="42"/>
      <c r="K177" s="42"/>
      <c r="L177" s="42"/>
      <c r="M177" s="42"/>
    </row>
    <row r="178" spans="1:13" x14ac:dyDescent="0.3">
      <c r="A178" s="52"/>
      <c r="B178" s="58"/>
      <c r="C178" s="58"/>
      <c r="D178" s="54">
        <f ca="1">SUMIF($E$1:INDIRECT($B$157),E178,$D$1:INDIRECT($A$157))</f>
        <v>420</v>
      </c>
      <c r="E178" s="54" t="str">
        <f ca="1"/>
        <v>A7204378 </v>
      </c>
      <c r="F178" s="54" t="str">
        <f ca="1">IFERROR(IF(INDEX($F$1:INDIRECT($E$157),MATCH(E178,$E$1:INDIRECT($B$157),0))=0," ",INDEX($F$1:INDIRECT($E$157),MATCH(E178,$E$1:INDIRECT($B$157),0))),"   [ Adjacent Item Model/PN cell is Empty ]")</f>
        <v>Switch Xcvr to LC Patch Panel LC-LC short leg patch cable, Other end is MPO to 4xLC to OOB Spine</v>
      </c>
      <c r="G178" s="54"/>
      <c r="H178" s="42"/>
      <c r="I178" s="42"/>
      <c r="J178" s="42"/>
      <c r="K178" s="42"/>
      <c r="L178" s="42"/>
      <c r="M178" s="42"/>
    </row>
    <row r="179" spans="1:13" x14ac:dyDescent="0.3">
      <c r="A179" s="52"/>
      <c r="B179" s="58"/>
      <c r="C179" s="54"/>
      <c r="D179" s="54">
        <f ca="1">SUMIF($E$1:INDIRECT($B$157),E179,$D$1:INDIRECT($A$157))</f>
        <v>7920</v>
      </c>
      <c r="E179" s="54" t="str">
        <f ca="1"/>
        <v>Cat 6</v>
      </c>
      <c r="F179" s="54" t="str">
        <f ca="1">IFERROR(IF(INDEX($F$1:INDIRECT($E$157),MATCH(E179,$E$1:INDIRECT($B$157),0))=0," ",INDEX($F$1:INDIRECT($E$157),MATCH(E179,$E$1:INDIRECT($B$157),0))),"   [ Adjacent Item Model/PN cell is Empty ]")</f>
        <v xml:space="preserve">Cat 6 </v>
      </c>
      <c r="G179" s="54"/>
      <c r="H179" s="42"/>
      <c r="I179" s="42"/>
      <c r="J179" s="42"/>
      <c r="K179" s="42"/>
      <c r="L179" s="42"/>
      <c r="M179" s="42"/>
    </row>
    <row r="180" spans="1:13" x14ac:dyDescent="0.3">
      <c r="A180" s="52"/>
      <c r="B180" s="58"/>
      <c r="C180" s="54"/>
      <c r="D180" s="54">
        <f ca="1">SUMIF($E$1:INDIRECT($B$157),E180,$D$1:INDIRECT($A$157))</f>
        <v>24</v>
      </c>
      <c r="E180" s="54" t="str">
        <f ca="1"/>
        <v>Corning 4x100 Breakout PP</v>
      </c>
      <c r="F180" s="54" t="str">
        <f ca="1">IFERROR(IF(INDEX($F$1:INDIRECT($E$157),MATCH(E180,$E$1:INDIRECT($B$157),0))=0," ",INDEX($F$1:INDIRECT($E$157),MATCH(E180,$E$1:INDIRECT($B$157),0))),"   [ Adjacent Item Model/PN cell is Empty ]")</f>
        <v xml:space="preserve">Final Count will come from Actual BOM </v>
      </c>
      <c r="G180" s="54"/>
      <c r="H180" s="42"/>
      <c r="I180" s="42"/>
      <c r="J180" s="42"/>
      <c r="K180" s="42"/>
      <c r="L180" s="42"/>
      <c r="M180" s="42"/>
    </row>
    <row r="181" spans="1:13" x14ac:dyDescent="0.3">
      <c r="A181" s="52"/>
      <c r="B181" s="58"/>
      <c r="C181" s="54"/>
      <c r="D181" s="54">
        <f ca="1">SUMIF($E$1:INDIRECT($B$157),E181,$D$1:INDIRECT($A$157))</f>
        <v>16</v>
      </c>
      <c r="E181" s="54" t="str">
        <f ca="1"/>
        <v>IREN WILL PROVIDE</v>
      </c>
      <c r="F181" s="54" t="str">
        <f ca="1">IFERROR(IF(INDEX($F$1:INDIRECT($E$157),MATCH(E181,$E$1:INDIRECT($B$157),0))=0," ",INDEX($F$1:INDIRECT($E$157),MATCH(E181,$E$1:INDIRECT($B$157),0))),"   [ Adjacent Item Model/PN cell is Empty ]")</f>
        <v xml:space="preserve"> </v>
      </c>
      <c r="G181" s="54"/>
      <c r="H181" s="42"/>
      <c r="I181" s="42"/>
      <c r="J181" s="42"/>
      <c r="K181" s="42"/>
      <c r="L181" s="42"/>
      <c r="M181" s="42"/>
    </row>
    <row r="182" spans="1:13" x14ac:dyDescent="0.3">
      <c r="A182" s="52"/>
      <c r="B182" s="58"/>
      <c r="C182" s="54"/>
      <c r="D182" s="54">
        <f ca="1">SUMIF($E$1:INDIRECT($B$157),E182,$D$1:INDIRECT($A$157))</f>
        <v>97092</v>
      </c>
      <c r="E182" s="54" t="str">
        <f ca="1"/>
        <v>MFP7E30-N050</v>
      </c>
      <c r="F182" s="54" t="str">
        <f ca="1">IFERROR(IF(INDEX($F$1:INDIRECT($E$157),MATCH(E182,$E$1:INDIRECT($B$157),0))=0," ",INDEX($F$1:INDIRECT($E$157),MATCH(E182,$E$1:INDIRECT($B$157),0))),"   [ Adjacent Item Model/PN cell is Empty ]")</f>
        <v>MPO-12/APC to MPO-12/APC cable, 1310nm SMF OS2, 100m max, 50 M</v>
      </c>
      <c r="G182" s="54"/>
      <c r="H182" s="42"/>
      <c r="I182" s="42"/>
      <c r="J182" s="42"/>
      <c r="K182" s="42"/>
      <c r="L182" s="42"/>
      <c r="M182" s="42"/>
    </row>
    <row r="183" spans="1:13" x14ac:dyDescent="0.3">
      <c r="A183" s="52"/>
      <c r="B183" s="58"/>
      <c r="C183" s="54"/>
      <c r="D183" s="54">
        <f ca="1">SUMIF($E$1:INDIRECT($B$157),E183,$D$1:INDIRECT($A$157))</f>
        <v>2052</v>
      </c>
      <c r="E183" s="54" t="str">
        <f ca="1"/>
        <v>MFP7E40-N050</v>
      </c>
      <c r="F183" s="54" t="str">
        <f ca="1">IFERROR(IF(INDEX($F$1:INDIRECT($E$157),MATCH(E183,$E$1:INDIRECT($B$157),0))=0," ",INDEX($F$1:INDIRECT($E$157),MATCH(E183,$E$1:INDIRECT($B$157),0))),"   [ Adjacent Item Model/PN cell is Empty ]")</f>
        <v>MPO12 APC to 2xMPO12 APC, 50 m long</v>
      </c>
      <c r="G183" s="54"/>
      <c r="H183" s="42"/>
      <c r="I183" s="42"/>
      <c r="J183" s="42"/>
      <c r="K183" s="42"/>
      <c r="L183" s="42"/>
      <c r="M183" s="42"/>
    </row>
    <row r="184" spans="1:13" x14ac:dyDescent="0.3">
      <c r="A184" s="52"/>
      <c r="B184" s="58"/>
      <c r="C184" s="54"/>
      <c r="D184" s="54">
        <f ca="1">SUMIF($E$1:INDIRECT($B$157),E184,$D$1:INDIRECT($A$157))</f>
        <v>17784</v>
      </c>
      <c r="E184" s="54" t="str">
        <f ca="1"/>
        <v>MMS1X00-NS400</v>
      </c>
      <c r="F184" s="54" t="str">
        <f ca="1">IFERROR(IF(INDEX($F$1:INDIRECT($E$157),MATCH(E184,$E$1:INDIRECT($B$157),0))=0," ",INDEX($F$1:INDIRECT($E$157),MATCH(E184,$E$1:INDIRECT($B$157),0))),"   [ Adjacent Item Model/PN cell is Empty ]")</f>
        <v>NVIDIA single port transceiver, 400Gbps, NDR, QSFP112, MPO, 1310nm SMF, up to 500m, flat top</v>
      </c>
      <c r="G184" s="58"/>
      <c r="H184" s="42"/>
      <c r="I184" s="42"/>
      <c r="J184" s="42"/>
      <c r="K184" s="42"/>
      <c r="L184" s="42"/>
      <c r="M184" s="42"/>
    </row>
    <row r="185" spans="1:13" x14ac:dyDescent="0.3">
      <c r="A185" s="52"/>
      <c r="B185" s="58"/>
      <c r="C185" s="54"/>
      <c r="D185" s="54">
        <f ca="1">SUMIF($E$1:INDIRECT($B$157),E185,$D$1:INDIRECT($A$157))</f>
        <v>17804</v>
      </c>
      <c r="E185" s="54" t="str">
        <f ca="1"/>
        <v>MMS4X00-NM-T</v>
      </c>
      <c r="F185" s="54" t="str">
        <f ca="1">IFERROR(IF(INDEX($F$1:INDIRECT($E$157),MATCH(E185,$E$1:INDIRECT($B$157),0))=0," ",INDEX($F$1:INDIRECT($E$157),MATCH(E185,$E$1:INDIRECT($B$157),0))),"   [ Adjacent Item Model/PN cell is Empty ]")</f>
        <v>NVIDIA TWIN PORT TRANSCEIVER, 800GBPS,2X400GbE, OSFP, 2XMPO, 1310NM SMF, UP TO 500M, FINNED</v>
      </c>
      <c r="G185" s="58"/>
      <c r="H185" s="42"/>
      <c r="I185" s="42"/>
      <c r="J185" s="42"/>
      <c r="K185" s="42"/>
      <c r="L185" s="42"/>
      <c r="M185" s="42"/>
    </row>
    <row r="186" spans="1:13" x14ac:dyDescent="0.3">
      <c r="A186" s="52"/>
      <c r="B186" s="58"/>
      <c r="C186" s="54"/>
      <c r="D186" s="54">
        <f ca="1">SUMIF($E$1:INDIRECT($B$157),E186,$D$1:INDIRECT($A$157))</f>
        <v>0</v>
      </c>
      <c r="E186" s="54"/>
      <c r="F186" s="54" t="str">
        <f ca="1">IFERROR(IF(INDEX($F$1:INDIRECT($E$157),MATCH(E186,$E$1:INDIRECT($B$157),0))=0," ",INDEX($F$1:INDIRECT($E$157),MATCH(E186,$E$1:INDIRECT($B$157),0))),"   [ Adjacent Item Model/PN cell is Empty ]")</f>
        <v xml:space="preserve">   [ Adjacent Item Model/PN cell is Empty ]</v>
      </c>
      <c r="G186" s="58"/>
      <c r="H186" s="42"/>
      <c r="I186" s="42"/>
      <c r="J186" s="42"/>
      <c r="K186" s="42"/>
      <c r="L186" s="42"/>
      <c r="M186" s="42"/>
    </row>
    <row r="187" spans="1:13" x14ac:dyDescent="0.3">
      <c r="A187" s="52"/>
      <c r="B187" s="58"/>
      <c r="C187" s="54"/>
      <c r="D187" s="54">
        <f ca="1">SUMIF($E$1:INDIRECT($B$157),E187,$D$1:INDIRECT($A$157))</f>
        <v>0</v>
      </c>
      <c r="E187" s="54"/>
      <c r="F187" s="54" t="str">
        <f ca="1">IFERROR(IF(INDEX($F$1:INDIRECT($E$157),MATCH(E187,$E$1:INDIRECT($B$157),0))=0," ",INDEX($F$1:INDIRECT($E$157),MATCH(E187,$E$1:INDIRECT($B$157),0))),"   [ Adjacent Item Model/PN cell is Empty ]")</f>
        <v xml:space="preserve">   [ Adjacent Item Model/PN cell is Empty ]</v>
      </c>
      <c r="G187" s="58"/>
      <c r="H187" s="42"/>
      <c r="I187" s="42"/>
      <c r="J187" s="42"/>
      <c r="K187" s="42"/>
      <c r="L187" s="42"/>
      <c r="M187" s="42"/>
    </row>
    <row r="188" spans="1:13" x14ac:dyDescent="0.3">
      <c r="A188" s="52"/>
      <c r="B188" s="58"/>
      <c r="C188" s="54"/>
      <c r="D188" s="54">
        <f ca="1">SUMIF($E$1:INDIRECT($B$157),E188,$D$1:INDIRECT($A$157))</f>
        <v>0</v>
      </c>
      <c r="E188" s="54"/>
      <c r="F188" s="54" t="str">
        <f ca="1">IFERROR(IF(INDEX($F$1:INDIRECT($E$157),MATCH(E188,$E$1:INDIRECT($B$157),0))=0," ",INDEX($F$1:INDIRECT($E$157),MATCH(E188,$E$1:INDIRECT($B$157),0))),"   [ Adjacent Item Model/PN cell is Empty ]")</f>
        <v xml:space="preserve">   [ Adjacent Item Model/PN cell is Empty ]</v>
      </c>
      <c r="G188" s="58"/>
      <c r="H188" s="42"/>
      <c r="I188" s="42"/>
      <c r="J188" s="42"/>
      <c r="K188" s="42"/>
      <c r="L188" s="42"/>
      <c r="M188" s="42"/>
    </row>
    <row r="189" spans="1:13" x14ac:dyDescent="0.3">
      <c r="A189" s="52"/>
      <c r="B189" s="58"/>
      <c r="C189" s="54"/>
      <c r="D189" s="54">
        <f ca="1">SUMIF($E$1:INDIRECT($B$157),E189,$D$1:INDIRECT($A$157))</f>
        <v>0</v>
      </c>
      <c r="E189" s="54"/>
      <c r="F189" s="54" t="str">
        <f ca="1">IFERROR(IF(INDEX($F$1:INDIRECT($E$157),MATCH(E189,$E$1:INDIRECT($B$157),0))=0," ",INDEX($F$1:INDIRECT($E$157),MATCH(E189,$E$1:INDIRECT($B$157),0))),"   [ Adjacent Item Model/PN cell is Empty ]")</f>
        <v xml:space="preserve">   [ Adjacent Item Model/PN cell is Empty ]</v>
      </c>
      <c r="G189" s="58"/>
      <c r="H189" s="42"/>
      <c r="I189" s="42"/>
      <c r="J189" s="42"/>
      <c r="K189" s="42"/>
      <c r="L189" s="42"/>
      <c r="M189" s="42"/>
    </row>
    <row r="190" spans="1:13" x14ac:dyDescent="0.3">
      <c r="A190" s="52"/>
      <c r="B190" s="58"/>
      <c r="C190" s="54"/>
      <c r="D190" s="54">
        <f ca="1">SUMIF($E$1:INDIRECT($B$157),E190,$D$1:INDIRECT($A$157))</f>
        <v>0</v>
      </c>
      <c r="E190" s="54"/>
      <c r="F190" s="54" t="str">
        <f ca="1">IFERROR(IF(INDEX($F$1:INDIRECT($E$157),MATCH(E190,$E$1:INDIRECT($B$157),0))=0," ",INDEX($F$1:INDIRECT($E$157),MATCH(E190,$E$1:INDIRECT($B$157),0))),"   [ Adjacent Item Model/PN cell is Empty ]")</f>
        <v xml:space="preserve">   [ Adjacent Item Model/PN cell is Empty ]</v>
      </c>
      <c r="G190" s="58"/>
      <c r="H190" s="42"/>
      <c r="I190" s="42"/>
      <c r="J190" s="42"/>
      <c r="K190" s="42"/>
      <c r="L190" s="42"/>
      <c r="M190" s="42"/>
    </row>
    <row r="191" spans="1:13" x14ac:dyDescent="0.3">
      <c r="A191" s="52"/>
      <c r="B191" s="58"/>
      <c r="C191" s="54"/>
      <c r="D191" s="54">
        <f ca="1">SUMIF($E$1:INDIRECT($B$157),E191,$D$1:INDIRECT($A$157))</f>
        <v>0</v>
      </c>
      <c r="E191" s="54"/>
      <c r="F191" s="54" t="str">
        <f ca="1">IFERROR(IF(INDEX($F$1:INDIRECT($E$157),MATCH(E191,$E$1:INDIRECT($B$157),0))=0," ",INDEX($F$1:INDIRECT($E$157),MATCH(E191,$E$1:INDIRECT($B$157),0))),"   [ Adjacent Item Model/PN cell is Empty ]")</f>
        <v xml:space="preserve">   [ Adjacent Item Model/PN cell is Empty ]</v>
      </c>
      <c r="G191" s="58"/>
      <c r="H191" s="42"/>
      <c r="I191" s="42"/>
      <c r="J191" s="42"/>
      <c r="K191" s="42"/>
      <c r="L191" s="42"/>
      <c r="M191" s="42"/>
    </row>
    <row r="192" spans="1:13" x14ac:dyDescent="0.3">
      <c r="A192" s="52"/>
      <c r="B192" s="58"/>
      <c r="C192" s="54"/>
      <c r="D192" s="54">
        <f ca="1">SUMIF($E$1:INDIRECT($B$157),E192,$D$1:INDIRECT($A$157))</f>
        <v>0</v>
      </c>
      <c r="E192" s="58"/>
      <c r="F192" s="54" t="str">
        <f ca="1">IFERROR(IF(INDEX($F$1:INDIRECT($E$157),MATCH(E192,$E$1:INDIRECT($B$157),0))=0," ",INDEX($F$1:INDIRECT($E$157),MATCH(E192,$E$1:INDIRECT($B$157),0))),"   [ Adjacent Item Model/PN cell is Empty ]")</f>
        <v xml:space="preserve">   [ Adjacent Item Model/PN cell is Empty ]</v>
      </c>
      <c r="G192" s="58"/>
      <c r="H192" s="42"/>
      <c r="I192" s="42"/>
      <c r="J192" s="42"/>
      <c r="K192" s="42"/>
      <c r="L192" s="42"/>
      <c r="M192" s="42"/>
    </row>
    <row r="193" spans="1:13" x14ac:dyDescent="0.3">
      <c r="A193" s="52"/>
      <c r="B193" s="52"/>
      <c r="C193" s="52"/>
      <c r="D193" s="52"/>
      <c r="E193" s="52"/>
      <c r="F193" s="52"/>
      <c r="G193" s="45"/>
      <c r="H193" s="42"/>
      <c r="I193" s="42"/>
      <c r="J193" s="42"/>
      <c r="K193" s="42"/>
      <c r="L193" s="42"/>
      <c r="M193" s="42"/>
    </row>
    <row r="194" spans="1:13" x14ac:dyDescent="0.3">
      <c r="A194" s="42"/>
      <c r="B194" s="42"/>
      <c r="C194" s="42"/>
      <c r="D194" s="42"/>
      <c r="E194" s="42"/>
      <c r="F194" s="42"/>
      <c r="H194" s="42"/>
      <c r="I194" s="42"/>
      <c r="J194" s="42"/>
      <c r="K194" s="42"/>
      <c r="L194" s="42"/>
      <c r="M194" s="42"/>
    </row>
    <row r="195" spans="1:13" x14ac:dyDescent="0.3">
      <c r="A195" s="42"/>
      <c r="B195" s="42"/>
      <c r="C195" s="42"/>
      <c r="D195" s="42"/>
      <c r="E195" s="42"/>
      <c r="F195" s="42"/>
      <c r="H195" s="42"/>
      <c r="I195" s="42"/>
      <c r="J195" s="42"/>
      <c r="K195" s="42"/>
      <c r="L195" s="42"/>
      <c r="M195" s="42"/>
    </row>
    <row r="196" spans="1:13" x14ac:dyDescent="0.3">
      <c r="A196" s="42"/>
      <c r="C196" s="42"/>
      <c r="D196" s="42"/>
      <c r="E196" s="42"/>
      <c r="F196" s="42"/>
      <c r="G196" s="42"/>
      <c r="H196" s="42"/>
      <c r="I196" s="42"/>
      <c r="J196" s="42"/>
      <c r="K196" s="42"/>
      <c r="L196" s="42"/>
      <c r="M196" s="42"/>
    </row>
    <row r="200" spans="1:13" x14ac:dyDescent="0.3">
      <c r="D200" s="42"/>
      <c r="E200" s="42"/>
      <c r="G200" s="42"/>
    </row>
    <row r="203" spans="1:13" x14ac:dyDescent="0.3">
      <c r="G203" s="42"/>
    </row>
    <row r="204" spans="1:13" x14ac:dyDescent="0.3">
      <c r="G204" s="42"/>
    </row>
    <row r="206" spans="1:13" x14ac:dyDescent="0.3">
      <c r="G206" s="42"/>
    </row>
    <row r="207" spans="1:13" x14ac:dyDescent="0.3">
      <c r="G207" s="43"/>
    </row>
    <row r="208" spans="1:13" x14ac:dyDescent="0.3">
      <c r="G208" s="42"/>
    </row>
    <row r="209" spans="7:7" x14ac:dyDescent="0.3">
      <c r="G209" s="42"/>
    </row>
    <row r="210" spans="7:7" x14ac:dyDescent="0.3">
      <c r="G210" s="42"/>
    </row>
    <row r="211" spans="7:7" x14ac:dyDescent="0.3">
      <c r="G211" s="42"/>
    </row>
    <row r="212" spans="7:7" x14ac:dyDescent="0.3">
      <c r="G212" s="42"/>
    </row>
  </sheetData>
  <mergeCells count="22">
    <mergeCell ref="A108:G108"/>
    <mergeCell ref="A119:G119"/>
    <mergeCell ref="A90:G90"/>
    <mergeCell ref="B161:G161"/>
    <mergeCell ref="A139:G139"/>
    <mergeCell ref="A148:G148"/>
    <mergeCell ref="A43:G43"/>
    <mergeCell ref="A1:G1"/>
    <mergeCell ref="A8:G8"/>
    <mergeCell ref="A27:G27"/>
    <mergeCell ref="A159:G159"/>
    <mergeCell ref="A53:G53"/>
    <mergeCell ref="A60:G60"/>
    <mergeCell ref="A66:G66"/>
    <mergeCell ref="A73:G73"/>
    <mergeCell ref="A19:G19"/>
    <mergeCell ref="B156:D156"/>
    <mergeCell ref="B157:D157"/>
    <mergeCell ref="A133:G133"/>
    <mergeCell ref="A79:G79"/>
    <mergeCell ref="A85:G85"/>
    <mergeCell ref="A96:G96"/>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22AA5-A999-4169-90BB-69E94ACFA9C1}">
  <dimension ref="A1:BN110"/>
  <sheetViews>
    <sheetView topLeftCell="A23" zoomScale="74" zoomScaleNormal="74" workbookViewId="0">
      <selection activeCell="F8" sqref="F8:BL8"/>
    </sheetView>
  </sheetViews>
  <sheetFormatPr defaultRowHeight="14.4" x14ac:dyDescent="0.3"/>
  <cols>
    <col min="6" max="6" width="24.109375" customWidth="1"/>
    <col min="8" max="8" width="23.5546875" customWidth="1"/>
    <col min="10" max="10" width="30.5546875" customWidth="1"/>
    <col min="12" max="12" width="28" customWidth="1"/>
    <col min="18" max="18" width="31" customWidth="1"/>
    <col min="21" max="21" width="28.6640625" customWidth="1"/>
    <col min="26" max="26" width="37.5546875" customWidth="1"/>
    <col min="31" max="31" width="27.44140625" customWidth="1"/>
    <col min="36" max="36" width="29.44140625" customWidth="1"/>
    <col min="41" max="41" width="33.88671875" customWidth="1"/>
    <col min="45" max="45" width="37" customWidth="1"/>
    <col min="49" max="49" width="30.109375" customWidth="1"/>
    <col min="53" max="53" width="25.44140625" customWidth="1"/>
    <col min="58" max="58" width="32" customWidth="1"/>
    <col min="64" max="64" width="40.33203125" customWidth="1"/>
  </cols>
  <sheetData>
    <row r="1" spans="1:66" x14ac:dyDescent="0.3">
      <c r="A1" s="164"/>
      <c r="B1" s="164"/>
      <c r="C1" s="164"/>
      <c r="D1" s="164"/>
      <c r="E1" s="406"/>
      <c r="F1" s="406"/>
      <c r="G1" s="406"/>
      <c r="H1" s="406"/>
      <c r="I1" s="406"/>
      <c r="J1" s="406"/>
      <c r="K1" s="406"/>
      <c r="L1" s="406"/>
      <c r="M1" s="164"/>
      <c r="N1" s="164"/>
      <c r="O1" s="164"/>
      <c r="P1" s="164"/>
      <c r="Q1" s="406"/>
      <c r="R1" s="406"/>
      <c r="S1" s="164"/>
      <c r="T1" s="406"/>
      <c r="U1" s="406"/>
      <c r="V1" s="164"/>
      <c r="W1" s="164"/>
      <c r="X1" s="406"/>
      <c r="Y1" s="406"/>
      <c r="Z1" s="40"/>
      <c r="AA1" s="406"/>
      <c r="AB1" s="406"/>
      <c r="AC1" s="406"/>
      <c r="AD1" s="406"/>
      <c r="AE1" s="40"/>
      <c r="AF1" s="406"/>
      <c r="AG1" s="406"/>
      <c r="AH1" s="40"/>
      <c r="AI1" s="406"/>
      <c r="AJ1" s="406"/>
      <c r="AK1" s="406"/>
      <c r="AL1" s="406"/>
      <c r="AM1" s="406"/>
      <c r="AN1" s="406"/>
      <c r="AO1" s="40"/>
      <c r="AP1" s="406"/>
      <c r="AQ1" s="406"/>
      <c r="AR1" s="406"/>
      <c r="AS1" s="406"/>
      <c r="AT1" s="406"/>
      <c r="AU1" s="406"/>
      <c r="AV1" s="406"/>
      <c r="AW1" s="406"/>
      <c r="AX1" s="406"/>
      <c r="AY1" s="406"/>
      <c r="AZ1" s="406"/>
      <c r="BA1" s="406"/>
      <c r="BB1" s="406"/>
      <c r="BC1" s="406"/>
      <c r="BD1" s="406"/>
      <c r="BE1" s="406"/>
      <c r="BF1" s="40"/>
      <c r="BG1" s="406"/>
      <c r="BH1" s="406"/>
      <c r="BI1" s="40"/>
      <c r="BJ1" s="406"/>
      <c r="BK1" s="406"/>
      <c r="BL1" s="40"/>
      <c r="BM1" s="406"/>
      <c r="BN1" s="406"/>
    </row>
    <row r="2" spans="1:66" x14ac:dyDescent="0.3">
      <c r="A2" s="164"/>
      <c r="B2" s="164"/>
      <c r="C2" s="164"/>
      <c r="D2" s="164"/>
      <c r="E2" s="406"/>
      <c r="F2" s="406"/>
      <c r="G2" s="406"/>
      <c r="H2" s="406"/>
      <c r="I2" s="406"/>
      <c r="J2" s="406"/>
      <c r="K2" s="406"/>
      <c r="L2" s="406"/>
      <c r="M2" s="164"/>
      <c r="N2" s="164"/>
      <c r="O2" s="164"/>
      <c r="P2" s="164"/>
      <c r="Q2" s="406"/>
      <c r="R2" s="406"/>
      <c r="S2" s="164"/>
      <c r="T2" s="406"/>
      <c r="U2" s="406"/>
      <c r="V2" s="164"/>
      <c r="W2" s="164"/>
      <c r="X2" s="406"/>
      <c r="Y2" s="406"/>
      <c r="Z2" s="40"/>
      <c r="AA2" s="406"/>
      <c r="AB2" s="406"/>
      <c r="AC2" s="406"/>
      <c r="AD2" s="406"/>
      <c r="AE2" s="40"/>
      <c r="AF2" s="406"/>
      <c r="AG2" s="406"/>
      <c r="AH2" s="40"/>
      <c r="AI2" s="406"/>
      <c r="AJ2" s="406"/>
      <c r="AK2" s="406"/>
      <c r="AL2" s="406"/>
      <c r="AM2" s="406"/>
      <c r="AN2" s="406"/>
      <c r="AO2" s="40"/>
      <c r="AP2" s="406"/>
      <c r="AQ2" s="406"/>
      <c r="AR2" s="406"/>
      <c r="AS2" s="406"/>
      <c r="AT2" s="406"/>
      <c r="AU2" s="406"/>
      <c r="AV2" s="406"/>
      <c r="AW2" s="406"/>
      <c r="AX2" s="406"/>
      <c r="AY2" s="406"/>
      <c r="AZ2" s="406"/>
      <c r="BA2" s="406"/>
      <c r="BB2" s="406"/>
      <c r="BC2" s="406"/>
      <c r="BD2" s="406"/>
      <c r="BE2" s="406"/>
      <c r="BF2" s="40"/>
      <c r="BG2" s="406"/>
      <c r="BH2" s="406"/>
      <c r="BI2" s="40"/>
      <c r="BJ2" s="406"/>
      <c r="BK2" s="406"/>
      <c r="BL2" s="40"/>
      <c r="BM2" s="406"/>
      <c r="BN2" s="406"/>
    </row>
    <row r="3" spans="1:66" x14ac:dyDescent="0.3">
      <c r="A3" s="164"/>
      <c r="B3" s="164"/>
      <c r="C3" s="164"/>
      <c r="D3" s="164"/>
      <c r="E3" s="406"/>
      <c r="F3" s="406"/>
      <c r="G3" s="406"/>
      <c r="H3" s="406"/>
      <c r="I3" s="406"/>
      <c r="J3" s="406"/>
      <c r="K3" s="406"/>
      <c r="L3" s="406"/>
      <c r="M3" s="164"/>
      <c r="N3" s="164"/>
      <c r="O3" s="164"/>
      <c r="P3" s="164"/>
      <c r="Q3" s="406"/>
      <c r="R3" s="406"/>
      <c r="S3" s="164"/>
      <c r="T3" s="406"/>
      <c r="U3" s="406"/>
      <c r="V3" s="164"/>
      <c r="W3" s="164"/>
      <c r="X3" s="406"/>
      <c r="Y3" s="406"/>
      <c r="Z3" s="40"/>
      <c r="AA3" s="406"/>
      <c r="AB3" s="406"/>
      <c r="AC3" s="406"/>
      <c r="AD3" s="406"/>
      <c r="AE3" s="40"/>
      <c r="AF3" s="406"/>
      <c r="AG3" s="406"/>
      <c r="AH3" s="40"/>
      <c r="AI3" s="406"/>
      <c r="AJ3" s="406"/>
      <c r="AK3" s="406"/>
      <c r="AL3" s="406"/>
      <c r="AM3" s="406"/>
      <c r="AN3" s="406"/>
      <c r="AO3" s="40"/>
      <c r="AP3" s="406"/>
      <c r="AQ3" s="406"/>
      <c r="AR3" s="406"/>
      <c r="AS3" s="406"/>
      <c r="AT3" s="406"/>
      <c r="AU3" s="406"/>
      <c r="AV3" s="406"/>
      <c r="AW3" s="406"/>
      <c r="AX3" s="406"/>
      <c r="AY3" s="406"/>
      <c r="AZ3" s="406"/>
      <c r="BA3" s="406"/>
      <c r="BB3" s="406"/>
      <c r="BC3" s="406"/>
      <c r="BD3" s="406"/>
      <c r="BE3" s="406"/>
      <c r="BF3" s="40"/>
      <c r="BG3" s="406"/>
      <c r="BH3" s="406"/>
      <c r="BI3" s="40"/>
      <c r="BJ3" s="406"/>
      <c r="BK3" s="406"/>
      <c r="BL3" s="40"/>
      <c r="BM3" s="406"/>
      <c r="BN3" s="406"/>
    </row>
    <row r="4" spans="1:66" x14ac:dyDescent="0.3">
      <c r="A4" s="164"/>
      <c r="B4" s="164"/>
      <c r="C4" s="164"/>
      <c r="D4" s="164"/>
      <c r="E4" s="406"/>
      <c r="F4" s="406"/>
      <c r="G4" s="406"/>
      <c r="H4" s="406"/>
      <c r="I4" s="406"/>
      <c r="J4" s="406"/>
      <c r="K4" s="406"/>
      <c r="L4" s="406"/>
      <c r="M4" s="164"/>
      <c r="N4" s="164"/>
      <c r="O4" s="164"/>
      <c r="P4" s="164"/>
      <c r="Q4" s="406"/>
      <c r="R4" s="406"/>
      <c r="S4" s="164"/>
      <c r="T4" s="406"/>
      <c r="U4" s="406"/>
      <c r="V4" s="164"/>
      <c r="W4" s="164"/>
      <c r="X4" s="406"/>
      <c r="Y4" s="406"/>
      <c r="Z4" s="40"/>
      <c r="AA4" s="406"/>
      <c r="AB4" s="406"/>
      <c r="AC4" s="406"/>
      <c r="AD4" s="406"/>
      <c r="AE4" s="40"/>
      <c r="AF4" s="406"/>
      <c r="AG4" s="406"/>
      <c r="AH4" s="40"/>
      <c r="AI4" s="406"/>
      <c r="AJ4" s="406"/>
      <c r="AK4" s="406"/>
      <c r="AL4" s="406"/>
      <c r="AM4" s="406"/>
      <c r="AN4" s="406"/>
      <c r="AO4" s="40"/>
      <c r="AP4" s="406"/>
      <c r="AQ4" s="406"/>
      <c r="AR4" s="406"/>
      <c r="AS4" s="406"/>
      <c r="AT4" s="406"/>
      <c r="AU4" s="406"/>
      <c r="AV4" s="406"/>
      <c r="AW4" s="406"/>
      <c r="AX4" s="406"/>
      <c r="AY4" s="406"/>
      <c r="AZ4" s="406"/>
      <c r="BA4" s="406"/>
      <c r="BB4" s="406"/>
      <c r="BC4" s="406"/>
      <c r="BD4" s="406"/>
      <c r="BE4" s="406"/>
      <c r="BF4" s="40"/>
      <c r="BG4" s="406"/>
      <c r="BH4" s="406"/>
      <c r="BI4" s="40"/>
      <c r="BJ4" s="406"/>
      <c r="BK4" s="406"/>
      <c r="BL4" s="40"/>
      <c r="BM4" s="406"/>
      <c r="BN4" s="406"/>
    </row>
    <row r="5" spans="1:66" x14ac:dyDescent="0.3">
      <c r="A5" s="164"/>
      <c r="B5" s="164"/>
      <c r="C5" s="164"/>
      <c r="D5" s="164"/>
      <c r="E5" s="406"/>
      <c r="F5" s="406"/>
      <c r="G5" s="406"/>
      <c r="H5" s="406"/>
      <c r="I5" s="406"/>
      <c r="J5" s="406"/>
      <c r="K5" s="406"/>
      <c r="L5" s="406"/>
      <c r="M5" s="164"/>
      <c r="N5" s="164"/>
      <c r="O5" s="164"/>
      <c r="P5" s="164"/>
      <c r="Q5" s="406"/>
      <c r="R5" s="406"/>
      <c r="S5" s="164"/>
      <c r="T5" s="406"/>
      <c r="U5" s="406"/>
      <c r="V5" s="164"/>
      <c r="W5" s="164"/>
      <c r="X5" s="406"/>
      <c r="Y5" s="406"/>
      <c r="Z5" s="40">
        <v>18</v>
      </c>
      <c r="AA5" s="406"/>
      <c r="AB5" s="406"/>
      <c r="AC5" s="406"/>
      <c r="AD5" s="406"/>
      <c r="AE5" s="40">
        <v>0</v>
      </c>
      <c r="AF5" s="406"/>
      <c r="AG5" s="406"/>
      <c r="AH5" s="40"/>
      <c r="AI5" s="40"/>
      <c r="AJ5" s="40">
        <v>18</v>
      </c>
      <c r="AK5" s="406"/>
      <c r="AL5" s="406"/>
      <c r="AM5" s="406"/>
      <c r="AN5" s="406"/>
      <c r="AO5" s="40"/>
      <c r="AP5" s="406"/>
      <c r="AQ5" s="406"/>
      <c r="AR5" s="406"/>
      <c r="AS5" s="406"/>
      <c r="AT5" s="406"/>
      <c r="AU5" s="406"/>
      <c r="AV5" s="406"/>
      <c r="AW5" s="406"/>
      <c r="AX5" s="406"/>
      <c r="AY5" s="406"/>
      <c r="AZ5" s="406"/>
      <c r="BA5" s="406"/>
      <c r="BB5" s="406"/>
      <c r="BC5" s="406"/>
      <c r="BD5" s="406"/>
      <c r="BE5" s="406"/>
      <c r="BF5" s="40"/>
      <c r="BG5" s="406"/>
      <c r="BH5" s="406"/>
      <c r="BI5" s="40"/>
      <c r="BJ5" s="406"/>
      <c r="BK5" s="406"/>
      <c r="BL5" s="40"/>
      <c r="BM5" s="406"/>
      <c r="BN5" s="406"/>
    </row>
    <row r="6" spans="1:66" ht="18" x14ac:dyDescent="0.35">
      <c r="A6" s="164"/>
      <c r="B6" s="164"/>
      <c r="C6" s="164"/>
      <c r="D6" s="165" t="s">
        <v>227</v>
      </c>
      <c r="E6" s="40"/>
      <c r="F6" s="165" t="s">
        <v>62</v>
      </c>
      <c r="G6" s="406"/>
      <c r="H6" s="406"/>
      <c r="I6" s="406"/>
      <c r="J6" s="406"/>
      <c r="K6" s="406"/>
      <c r="L6" s="406"/>
      <c r="M6" s="164"/>
      <c r="N6" s="164"/>
      <c r="O6" s="164"/>
      <c r="P6" s="164"/>
      <c r="Q6" s="406"/>
      <c r="R6" s="406"/>
      <c r="S6" s="164"/>
      <c r="T6" s="406"/>
      <c r="U6" s="406"/>
      <c r="V6" s="164"/>
      <c r="W6" s="164"/>
      <c r="X6" s="407"/>
      <c r="Y6" s="407"/>
      <c r="Z6" s="166" t="s">
        <v>62</v>
      </c>
      <c r="AA6" s="407"/>
      <c r="AB6" s="407"/>
      <c r="AC6" s="407"/>
      <c r="AD6" s="407"/>
      <c r="AE6" s="166" t="s">
        <v>62</v>
      </c>
      <c r="AF6" s="407"/>
      <c r="AG6" s="407"/>
      <c r="AH6" s="90"/>
      <c r="AI6" s="90"/>
      <c r="AJ6" s="166" t="s">
        <v>62</v>
      </c>
      <c r="AK6" s="407"/>
      <c r="AL6" s="407"/>
      <c r="AM6" s="407"/>
      <c r="AN6" s="407"/>
      <c r="AO6" s="166" t="s">
        <v>62</v>
      </c>
      <c r="AP6" s="407"/>
      <c r="AQ6" s="407"/>
      <c r="AR6" s="90"/>
      <c r="AS6" s="166" t="s">
        <v>62</v>
      </c>
      <c r="AT6" s="407"/>
      <c r="AU6" s="407"/>
      <c r="AV6" s="90"/>
      <c r="AW6" s="166" t="s">
        <v>62</v>
      </c>
      <c r="AX6" s="407"/>
      <c r="AY6" s="407"/>
      <c r="AZ6" s="90"/>
      <c r="BA6" s="166" t="s">
        <v>62</v>
      </c>
      <c r="BB6" s="407"/>
      <c r="BC6" s="407"/>
      <c r="BD6" s="407"/>
      <c r="BE6" s="407"/>
      <c r="BF6" s="166" t="s">
        <v>62</v>
      </c>
      <c r="BG6" s="407"/>
      <c r="BH6" s="407"/>
      <c r="BI6" s="90"/>
      <c r="BJ6" s="407"/>
      <c r="BK6" s="407"/>
      <c r="BL6" s="166" t="s">
        <v>62</v>
      </c>
      <c r="BM6" s="407"/>
      <c r="BN6" s="407"/>
    </row>
    <row r="7" spans="1:66" ht="18" x14ac:dyDescent="0.35">
      <c r="A7" s="164"/>
      <c r="B7" s="164"/>
      <c r="C7" s="164"/>
      <c r="D7" s="165" t="s">
        <v>62</v>
      </c>
      <c r="E7" s="406"/>
      <c r="F7" s="406"/>
      <c r="G7" s="406"/>
      <c r="H7" s="406"/>
      <c r="I7" s="406"/>
      <c r="J7" s="406"/>
      <c r="K7" s="406"/>
      <c r="L7" s="406"/>
      <c r="M7" s="164"/>
      <c r="N7" s="164"/>
      <c r="O7" s="164"/>
      <c r="P7" s="164"/>
      <c r="Q7" s="40"/>
      <c r="R7" s="167" t="s">
        <v>228</v>
      </c>
      <c r="S7" s="164"/>
      <c r="T7" s="40"/>
      <c r="U7" s="167" t="s">
        <v>229</v>
      </c>
      <c r="V7" s="164"/>
      <c r="W7" s="164"/>
      <c r="X7" s="406"/>
      <c r="Y7" s="406"/>
      <c r="Z7" s="40"/>
      <c r="AA7" s="406"/>
      <c r="AB7" s="406"/>
      <c r="AC7" s="406"/>
      <c r="AD7" s="406"/>
      <c r="AE7" s="40"/>
      <c r="AF7" s="406"/>
      <c r="AG7" s="406"/>
      <c r="AH7" s="40"/>
      <c r="AI7" s="406"/>
      <c r="AJ7" s="406"/>
      <c r="AK7" s="406"/>
      <c r="AL7" s="406"/>
      <c r="AM7" s="406"/>
      <c r="AN7" s="406"/>
      <c r="AO7" s="40"/>
      <c r="AP7" s="406"/>
      <c r="AQ7" s="406"/>
      <c r="AR7" s="406"/>
      <c r="AS7" s="406"/>
      <c r="AT7" s="406"/>
      <c r="AU7" s="406"/>
      <c r="AV7" s="406"/>
      <c r="AW7" s="406"/>
      <c r="AX7" s="406"/>
      <c r="AY7" s="406"/>
      <c r="AZ7" s="406"/>
      <c r="BA7" s="406"/>
      <c r="BB7" s="406"/>
      <c r="BC7" s="406"/>
      <c r="BD7" s="406"/>
      <c r="BE7" s="406"/>
      <c r="BF7" s="40"/>
      <c r="BG7" s="406"/>
      <c r="BH7" s="406"/>
      <c r="BI7" s="40"/>
      <c r="BJ7" s="406"/>
      <c r="BK7" s="406"/>
      <c r="BL7" s="40"/>
      <c r="BM7" s="406"/>
      <c r="BN7" s="406"/>
    </row>
    <row r="8" spans="1:66" ht="18" x14ac:dyDescent="0.35">
      <c r="A8" s="164"/>
      <c r="B8" s="164"/>
      <c r="C8" s="164"/>
      <c r="D8" s="168">
        <f>SUM(F8:BL8)</f>
        <v>159</v>
      </c>
      <c r="E8" s="90"/>
      <c r="F8" s="167">
        <v>18</v>
      </c>
      <c r="G8" s="90"/>
      <c r="H8" s="167">
        <v>18</v>
      </c>
      <c r="I8" s="90"/>
      <c r="J8" s="167">
        <v>18</v>
      </c>
      <c r="K8" s="90"/>
      <c r="L8" s="167">
        <v>18</v>
      </c>
      <c r="M8" s="164"/>
      <c r="N8" s="164"/>
      <c r="O8" s="164"/>
      <c r="P8" s="164"/>
      <c r="Q8" s="90"/>
      <c r="R8" s="167">
        <v>32</v>
      </c>
      <c r="S8" s="164"/>
      <c r="T8" s="90"/>
      <c r="U8" s="167">
        <v>8</v>
      </c>
      <c r="V8" s="164"/>
      <c r="W8" s="164"/>
      <c r="X8" s="407"/>
      <c r="Y8" s="407"/>
      <c r="Z8" s="123">
        <v>6</v>
      </c>
      <c r="AA8" s="407"/>
      <c r="AB8" s="407"/>
      <c r="AC8" s="407"/>
      <c r="AD8" s="407"/>
      <c r="AE8" s="123">
        <v>12</v>
      </c>
      <c r="AF8" s="407"/>
      <c r="AG8" s="407"/>
      <c r="AH8" s="90"/>
      <c r="AI8" s="90"/>
      <c r="AJ8" s="123">
        <v>18</v>
      </c>
      <c r="AK8" s="407"/>
      <c r="AL8" s="407"/>
      <c r="AM8" s="407"/>
      <c r="AN8" s="407"/>
      <c r="AO8" s="122">
        <v>2</v>
      </c>
      <c r="AP8" s="407"/>
      <c r="AQ8" s="407"/>
      <c r="AR8" s="90"/>
      <c r="AS8" s="122">
        <v>2</v>
      </c>
      <c r="AT8" s="407"/>
      <c r="AU8" s="407"/>
      <c r="AV8" s="90"/>
      <c r="AW8" s="122">
        <v>2</v>
      </c>
      <c r="AX8" s="407"/>
      <c r="AY8" s="407"/>
      <c r="AZ8" s="90"/>
      <c r="BA8" s="122">
        <v>2</v>
      </c>
      <c r="BB8" s="407"/>
      <c r="BC8" s="407"/>
      <c r="BD8" s="407"/>
      <c r="BE8" s="407"/>
      <c r="BF8" s="122">
        <v>2</v>
      </c>
      <c r="BG8" s="407"/>
      <c r="BH8" s="407"/>
      <c r="BI8" s="90"/>
      <c r="BJ8" s="407"/>
      <c r="BK8" s="407"/>
      <c r="BL8" s="122">
        <v>1</v>
      </c>
      <c r="BM8" s="407"/>
      <c r="BN8" s="407"/>
    </row>
    <row r="9" spans="1:66" x14ac:dyDescent="0.3">
      <c r="A9" s="164"/>
      <c r="B9" s="164"/>
      <c r="C9" s="164"/>
      <c r="D9" s="164"/>
      <c r="E9" s="40"/>
      <c r="F9" s="169" t="s">
        <v>230</v>
      </c>
      <c r="G9" s="40"/>
      <c r="H9" s="169" t="s">
        <v>230</v>
      </c>
      <c r="I9" s="40"/>
      <c r="J9" s="169" t="s">
        <v>230</v>
      </c>
      <c r="K9" s="40"/>
      <c r="L9" s="169" t="s">
        <v>230</v>
      </c>
      <c r="M9" s="164"/>
      <c r="N9" s="164"/>
      <c r="O9" s="164"/>
      <c r="P9" s="170"/>
      <c r="Q9" s="40"/>
      <c r="R9" s="169" t="s">
        <v>230</v>
      </c>
      <c r="S9" s="164"/>
      <c r="T9" s="40"/>
      <c r="U9" s="169" t="s">
        <v>230</v>
      </c>
      <c r="V9" s="164"/>
      <c r="W9" s="164"/>
      <c r="X9" s="406"/>
      <c r="Y9" s="406"/>
      <c r="Z9" s="171" t="s">
        <v>230</v>
      </c>
      <c r="AA9" s="406"/>
      <c r="AB9" s="406"/>
      <c r="AC9" s="406"/>
      <c r="AD9" s="406"/>
      <c r="AE9" s="171" t="s">
        <v>230</v>
      </c>
      <c r="AF9" s="406"/>
      <c r="AG9" s="406"/>
      <c r="AH9" s="40"/>
      <c r="AI9" s="172"/>
      <c r="AJ9" s="171" t="s">
        <v>230</v>
      </c>
      <c r="AK9" s="406"/>
      <c r="AL9" s="406"/>
      <c r="AM9" s="172"/>
      <c r="AN9" s="40"/>
      <c r="AO9" s="171" t="s">
        <v>230</v>
      </c>
      <c r="AP9" s="406"/>
      <c r="AQ9" s="406"/>
      <c r="AR9" s="40"/>
      <c r="AS9" s="171" t="s">
        <v>230</v>
      </c>
      <c r="AT9" s="406"/>
      <c r="AU9" s="406"/>
      <c r="AV9" s="40"/>
      <c r="AW9" s="171" t="s">
        <v>230</v>
      </c>
      <c r="AX9" s="406"/>
      <c r="AY9" s="406"/>
      <c r="AZ9" s="40"/>
      <c r="BA9" s="171" t="s">
        <v>230</v>
      </c>
      <c r="BB9" s="406"/>
      <c r="BC9" s="406"/>
      <c r="BD9" s="172"/>
      <c r="BE9" s="40"/>
      <c r="BF9" s="171" t="s">
        <v>230</v>
      </c>
      <c r="BG9" s="406"/>
      <c r="BH9" s="406"/>
      <c r="BI9" s="40"/>
      <c r="BJ9" s="406"/>
      <c r="BK9" s="406"/>
      <c r="BL9" s="171" t="s">
        <v>230</v>
      </c>
      <c r="BM9" s="406"/>
      <c r="BN9" s="406"/>
    </row>
    <row r="10" spans="1:66" ht="15" thickBot="1" x14ac:dyDescent="0.35">
      <c r="A10" s="164"/>
      <c r="B10" s="164"/>
      <c r="C10" s="164"/>
      <c r="D10" s="164"/>
      <c r="E10" s="172" t="s">
        <v>231</v>
      </c>
      <c r="F10" s="91" t="s">
        <v>232</v>
      </c>
      <c r="G10" s="172" t="s">
        <v>231</v>
      </c>
      <c r="H10" s="91" t="s">
        <v>233</v>
      </c>
      <c r="I10" s="172" t="s">
        <v>231</v>
      </c>
      <c r="J10" s="91" t="s">
        <v>234</v>
      </c>
      <c r="K10" s="172" t="s">
        <v>231</v>
      </c>
      <c r="L10" s="91" t="s">
        <v>235</v>
      </c>
      <c r="M10" s="164"/>
      <c r="N10" s="164"/>
      <c r="O10" s="164"/>
      <c r="P10" s="170"/>
      <c r="Q10" s="172" t="s">
        <v>231</v>
      </c>
      <c r="R10" s="91" t="s">
        <v>236</v>
      </c>
      <c r="S10" s="164"/>
      <c r="T10" s="172" t="s">
        <v>231</v>
      </c>
      <c r="U10" s="91" t="s">
        <v>236</v>
      </c>
      <c r="V10" s="164"/>
      <c r="W10" s="164"/>
      <c r="X10" s="40"/>
      <c r="Y10" s="172" t="s">
        <v>231</v>
      </c>
      <c r="Z10" s="91" t="s">
        <v>237</v>
      </c>
      <c r="AA10" s="408"/>
      <c r="AB10" s="408"/>
      <c r="AC10" s="40"/>
      <c r="AD10" s="172" t="s">
        <v>231</v>
      </c>
      <c r="AE10" s="91" t="s">
        <v>237</v>
      </c>
      <c r="AF10" s="408"/>
      <c r="AG10" s="408"/>
      <c r="AH10" s="174"/>
      <c r="AI10" s="172" t="s">
        <v>231</v>
      </c>
      <c r="AJ10" s="91" t="s">
        <v>237</v>
      </c>
      <c r="AK10" s="408"/>
      <c r="AL10" s="408"/>
      <c r="AM10" s="40"/>
      <c r="AN10" s="172" t="s">
        <v>231</v>
      </c>
      <c r="AO10" s="91" t="s">
        <v>238</v>
      </c>
      <c r="AP10" s="408"/>
      <c r="AQ10" s="408"/>
      <c r="AR10" s="172" t="s">
        <v>231</v>
      </c>
      <c r="AS10" s="91" t="s">
        <v>238</v>
      </c>
      <c r="AT10" s="408"/>
      <c r="AU10" s="408"/>
      <c r="AV10" s="172" t="s">
        <v>231</v>
      </c>
      <c r="AW10" s="91" t="s">
        <v>238</v>
      </c>
      <c r="AX10" s="408"/>
      <c r="AY10" s="408"/>
      <c r="AZ10" s="172" t="s">
        <v>231</v>
      </c>
      <c r="BA10" s="91" t="s">
        <v>238</v>
      </c>
      <c r="BB10" s="408"/>
      <c r="BC10" s="408"/>
      <c r="BD10" s="40"/>
      <c r="BE10" s="172" t="s">
        <v>231</v>
      </c>
      <c r="BF10" s="91" t="s">
        <v>239</v>
      </c>
      <c r="BG10" s="408"/>
      <c r="BH10" s="408"/>
      <c r="BI10" s="174"/>
      <c r="BJ10" s="173"/>
      <c r="BK10" s="172" t="s">
        <v>231</v>
      </c>
      <c r="BL10" s="91" t="s">
        <v>240</v>
      </c>
      <c r="BM10" s="408"/>
      <c r="BN10" s="408"/>
    </row>
    <row r="11" spans="1:66" ht="15" thickBot="1" x14ac:dyDescent="0.35">
      <c r="A11" s="164"/>
      <c r="B11" s="164"/>
      <c r="C11" s="164"/>
      <c r="D11" s="164"/>
      <c r="E11" s="141">
        <v>48</v>
      </c>
      <c r="F11" s="175"/>
      <c r="G11" s="141">
        <v>48</v>
      </c>
      <c r="H11" s="175"/>
      <c r="I11" s="141">
        <v>48</v>
      </c>
      <c r="J11" s="175"/>
      <c r="K11" s="141">
        <v>48</v>
      </c>
      <c r="L11" s="176"/>
      <c r="M11" s="164"/>
      <c r="N11" s="164"/>
      <c r="O11" s="164"/>
      <c r="P11" s="170"/>
      <c r="Q11" s="141">
        <v>48</v>
      </c>
      <c r="R11" s="176"/>
      <c r="S11" s="164"/>
      <c r="T11" s="141">
        <v>48</v>
      </c>
      <c r="U11" s="176"/>
      <c r="V11" s="164"/>
      <c r="W11" s="164"/>
      <c r="X11" s="411" t="s">
        <v>241</v>
      </c>
      <c r="Y11" s="178">
        <v>48</v>
      </c>
      <c r="Z11" s="179"/>
      <c r="AA11" s="413" t="s">
        <v>241</v>
      </c>
      <c r="AB11" s="180"/>
      <c r="AC11" s="411" t="s">
        <v>241</v>
      </c>
      <c r="AD11" s="178">
        <v>48</v>
      </c>
      <c r="AE11" s="179"/>
      <c r="AF11" s="413" t="s">
        <v>241</v>
      </c>
      <c r="AG11" s="180"/>
      <c r="AH11" s="411" t="s">
        <v>241</v>
      </c>
      <c r="AI11" s="178">
        <v>48</v>
      </c>
      <c r="AJ11" s="179"/>
      <c r="AK11" s="413" t="s">
        <v>241</v>
      </c>
      <c r="AL11" s="164"/>
      <c r="AM11" s="411" t="s">
        <v>241</v>
      </c>
      <c r="AN11" s="178">
        <v>48</v>
      </c>
      <c r="AO11" s="179"/>
      <c r="AP11" s="413" t="s">
        <v>241</v>
      </c>
      <c r="AQ11" s="411" t="s">
        <v>241</v>
      </c>
      <c r="AR11" s="178">
        <v>48</v>
      </c>
      <c r="AS11" s="179"/>
      <c r="AT11" s="413" t="s">
        <v>241</v>
      </c>
      <c r="AU11" s="411" t="s">
        <v>241</v>
      </c>
      <c r="AV11" s="178">
        <v>48</v>
      </c>
      <c r="AW11" s="179"/>
      <c r="AX11" s="413" t="s">
        <v>241</v>
      </c>
      <c r="AY11" s="411" t="s">
        <v>241</v>
      </c>
      <c r="AZ11" s="178">
        <v>48</v>
      </c>
      <c r="BA11" s="179"/>
      <c r="BB11" s="413" t="s">
        <v>241</v>
      </c>
      <c r="BC11" s="164"/>
      <c r="BD11" s="411" t="s">
        <v>241</v>
      </c>
      <c r="BE11" s="178">
        <v>48</v>
      </c>
      <c r="BF11" s="179"/>
      <c r="BG11" s="413" t="s">
        <v>241</v>
      </c>
      <c r="BH11" s="164"/>
      <c r="BI11" s="164"/>
      <c r="BJ11" s="181"/>
      <c r="BK11" s="178">
        <v>48</v>
      </c>
      <c r="BL11" s="179"/>
      <c r="BM11" s="413" t="s">
        <v>241</v>
      </c>
      <c r="BN11" s="164"/>
    </row>
    <row r="12" spans="1:66" ht="15" thickBot="1" x14ac:dyDescent="0.35">
      <c r="A12" s="164"/>
      <c r="B12" s="164"/>
      <c r="C12" s="164"/>
      <c r="D12" s="164"/>
      <c r="E12" s="142">
        <v>47</v>
      </c>
      <c r="F12" s="182"/>
      <c r="G12" s="142">
        <v>47</v>
      </c>
      <c r="H12" s="182"/>
      <c r="I12" s="142">
        <v>47</v>
      </c>
      <c r="J12" s="182"/>
      <c r="K12" s="142">
        <v>47</v>
      </c>
      <c r="L12" s="183"/>
      <c r="M12" s="164"/>
      <c r="N12" s="164"/>
      <c r="O12" s="164"/>
      <c r="P12" s="164"/>
      <c r="Q12" s="142">
        <v>47</v>
      </c>
      <c r="R12" s="184"/>
      <c r="S12" s="164"/>
      <c r="T12" s="142">
        <v>47</v>
      </c>
      <c r="U12" s="176"/>
      <c r="V12" s="164"/>
      <c r="W12" s="164"/>
      <c r="X12" s="412"/>
      <c r="Y12" s="185">
        <v>47</v>
      </c>
      <c r="Z12" s="182"/>
      <c r="AA12" s="414"/>
      <c r="AB12" s="177"/>
      <c r="AC12" s="412"/>
      <c r="AD12" s="185">
        <v>47</v>
      </c>
      <c r="AE12" s="182"/>
      <c r="AF12" s="414"/>
      <c r="AG12" s="177"/>
      <c r="AH12" s="412"/>
      <c r="AI12" s="185">
        <v>47</v>
      </c>
      <c r="AJ12" s="182"/>
      <c r="AK12" s="414"/>
      <c r="AL12" s="164"/>
      <c r="AM12" s="412"/>
      <c r="AN12" s="185">
        <v>47</v>
      </c>
      <c r="AO12" s="186" t="s">
        <v>242</v>
      </c>
      <c r="AP12" s="414"/>
      <c r="AQ12" s="412"/>
      <c r="AR12" s="185">
        <v>47</v>
      </c>
      <c r="AS12" s="182"/>
      <c r="AT12" s="414"/>
      <c r="AU12" s="412"/>
      <c r="AV12" s="185">
        <v>47</v>
      </c>
      <c r="AW12" s="182"/>
      <c r="AX12" s="414"/>
      <c r="AY12" s="412"/>
      <c r="AZ12" s="185">
        <v>47</v>
      </c>
      <c r="BA12" s="182"/>
      <c r="BB12" s="414"/>
      <c r="BC12" s="164"/>
      <c r="BD12" s="412"/>
      <c r="BE12" s="185">
        <v>47</v>
      </c>
      <c r="BF12" s="186" t="s">
        <v>242</v>
      </c>
      <c r="BG12" s="414"/>
      <c r="BH12" s="164"/>
      <c r="BI12" s="164"/>
      <c r="BJ12" s="187"/>
      <c r="BK12" s="185">
        <v>47</v>
      </c>
      <c r="BL12" s="186" t="s">
        <v>242</v>
      </c>
      <c r="BM12" s="414"/>
      <c r="BN12" s="164"/>
    </row>
    <row r="13" spans="1:66" ht="15" thickBot="1" x14ac:dyDescent="0.35">
      <c r="A13" s="164"/>
      <c r="B13" s="164"/>
      <c r="C13" s="164"/>
      <c r="D13" s="164"/>
      <c r="E13" s="142">
        <v>46</v>
      </c>
      <c r="F13" s="188" t="s">
        <v>243</v>
      </c>
      <c r="G13" s="142">
        <v>46</v>
      </c>
      <c r="H13" s="188" t="s">
        <v>243</v>
      </c>
      <c r="I13" s="142">
        <v>46</v>
      </c>
      <c r="J13" s="188" t="s">
        <v>243</v>
      </c>
      <c r="K13" s="142">
        <v>46</v>
      </c>
      <c r="L13" s="189" t="s">
        <v>243</v>
      </c>
      <c r="M13" s="170"/>
      <c r="N13" s="170"/>
      <c r="O13" s="164"/>
      <c r="P13" s="164"/>
      <c r="Q13" s="142">
        <v>46</v>
      </c>
      <c r="R13" s="189" t="s">
        <v>243</v>
      </c>
      <c r="S13" s="164"/>
      <c r="T13" s="142">
        <v>46</v>
      </c>
      <c r="U13" s="176"/>
      <c r="V13" s="164"/>
      <c r="W13" s="164"/>
      <c r="X13" s="412"/>
      <c r="Y13" s="185">
        <v>46</v>
      </c>
      <c r="Z13" s="182"/>
      <c r="AA13" s="414"/>
      <c r="AB13" s="177"/>
      <c r="AC13" s="412"/>
      <c r="AD13" s="185">
        <v>46</v>
      </c>
      <c r="AE13" s="182"/>
      <c r="AF13" s="414"/>
      <c r="AG13" s="177"/>
      <c r="AH13" s="412"/>
      <c r="AI13" s="185">
        <v>46</v>
      </c>
      <c r="AJ13" s="182"/>
      <c r="AK13" s="414"/>
      <c r="AL13" s="164"/>
      <c r="AM13" s="412"/>
      <c r="AN13" s="185">
        <v>46</v>
      </c>
      <c r="AO13" s="182"/>
      <c r="AP13" s="414"/>
      <c r="AQ13" s="412"/>
      <c r="AR13" s="185">
        <v>46</v>
      </c>
      <c r="AS13" s="182"/>
      <c r="AT13" s="414"/>
      <c r="AU13" s="412"/>
      <c r="AV13" s="185">
        <v>46</v>
      </c>
      <c r="AW13" s="182"/>
      <c r="AX13" s="414"/>
      <c r="AY13" s="412"/>
      <c r="AZ13" s="185">
        <v>46</v>
      </c>
      <c r="BA13" s="182"/>
      <c r="BB13" s="414"/>
      <c r="BC13" s="164"/>
      <c r="BD13" s="412"/>
      <c r="BE13" s="185">
        <v>46</v>
      </c>
      <c r="BF13" s="186" t="s">
        <v>244</v>
      </c>
      <c r="BG13" s="414"/>
      <c r="BH13" s="164"/>
      <c r="BI13" s="164"/>
      <c r="BJ13" s="187"/>
      <c r="BK13" s="185">
        <v>46</v>
      </c>
      <c r="BL13" s="182"/>
      <c r="BM13" s="414"/>
      <c r="BN13" s="164"/>
    </row>
    <row r="14" spans="1:66" ht="15" thickBot="1" x14ac:dyDescent="0.35">
      <c r="A14" s="164"/>
      <c r="B14" s="164"/>
      <c r="C14" s="164"/>
      <c r="D14" s="164"/>
      <c r="E14" s="142">
        <v>45</v>
      </c>
      <c r="F14" s="188" t="s">
        <v>245</v>
      </c>
      <c r="G14" s="142">
        <v>45</v>
      </c>
      <c r="H14" s="188" t="s">
        <v>245</v>
      </c>
      <c r="I14" s="142">
        <v>45</v>
      </c>
      <c r="J14" s="188" t="s">
        <v>245</v>
      </c>
      <c r="K14" s="142">
        <v>45</v>
      </c>
      <c r="L14" s="189" t="s">
        <v>245</v>
      </c>
      <c r="M14" s="164"/>
      <c r="N14" s="164"/>
      <c r="O14" s="164"/>
      <c r="P14" s="164"/>
      <c r="Q14" s="142">
        <v>45</v>
      </c>
      <c r="R14" s="189" t="s">
        <v>245</v>
      </c>
      <c r="S14" s="164"/>
      <c r="T14" s="142">
        <v>45</v>
      </c>
      <c r="U14" s="176"/>
      <c r="V14" s="164"/>
      <c r="W14" s="164"/>
      <c r="X14" s="412"/>
      <c r="Y14" s="185">
        <v>45</v>
      </c>
      <c r="Z14" s="182"/>
      <c r="AA14" s="414"/>
      <c r="AB14" s="177"/>
      <c r="AC14" s="412"/>
      <c r="AD14" s="185">
        <v>45</v>
      </c>
      <c r="AE14" s="182"/>
      <c r="AF14" s="414"/>
      <c r="AG14" s="177"/>
      <c r="AH14" s="412"/>
      <c r="AI14" s="185">
        <v>45</v>
      </c>
      <c r="AJ14" s="182"/>
      <c r="AK14" s="414"/>
      <c r="AL14" s="164"/>
      <c r="AM14" s="412"/>
      <c r="AN14" s="185">
        <v>45</v>
      </c>
      <c r="AO14" s="182"/>
      <c r="AP14" s="414"/>
      <c r="AQ14" s="412"/>
      <c r="AR14" s="185">
        <v>45</v>
      </c>
      <c r="AS14" s="182"/>
      <c r="AT14" s="414"/>
      <c r="AU14" s="412"/>
      <c r="AV14" s="185">
        <v>45</v>
      </c>
      <c r="AW14" s="182"/>
      <c r="AX14" s="414"/>
      <c r="AY14" s="412"/>
      <c r="AZ14" s="185">
        <v>45</v>
      </c>
      <c r="BA14" s="182"/>
      <c r="BB14" s="414"/>
      <c r="BC14" s="164"/>
      <c r="BD14" s="412"/>
      <c r="BE14" s="185">
        <v>45</v>
      </c>
      <c r="BF14" s="186" t="s">
        <v>246</v>
      </c>
      <c r="BG14" s="414"/>
      <c r="BH14" s="164"/>
      <c r="BI14" s="164"/>
      <c r="BJ14" s="187"/>
      <c r="BK14" s="185">
        <v>45</v>
      </c>
      <c r="BL14" s="409" t="s">
        <v>247</v>
      </c>
      <c r="BM14" s="414"/>
      <c r="BN14" s="164"/>
    </row>
    <row r="15" spans="1:66" ht="15" thickBot="1" x14ac:dyDescent="0.35">
      <c r="A15" s="164"/>
      <c r="B15" s="164"/>
      <c r="C15" s="164"/>
      <c r="D15" s="164"/>
      <c r="E15" s="142">
        <v>44</v>
      </c>
      <c r="F15" s="188" t="s">
        <v>245</v>
      </c>
      <c r="G15" s="142">
        <v>44</v>
      </c>
      <c r="H15" s="188" t="s">
        <v>245</v>
      </c>
      <c r="I15" s="142">
        <v>44</v>
      </c>
      <c r="J15" s="188" t="s">
        <v>245</v>
      </c>
      <c r="K15" s="142">
        <v>44</v>
      </c>
      <c r="L15" s="189" t="s">
        <v>245</v>
      </c>
      <c r="M15" s="164"/>
      <c r="N15" s="164"/>
      <c r="O15" s="164"/>
      <c r="P15" s="164"/>
      <c r="Q15" s="142">
        <v>44</v>
      </c>
      <c r="R15" s="189" t="s">
        <v>245</v>
      </c>
      <c r="S15" s="164"/>
      <c r="T15" s="142">
        <v>44</v>
      </c>
      <c r="U15" s="176"/>
      <c r="V15" s="164"/>
      <c r="W15" s="164"/>
      <c r="X15" s="412"/>
      <c r="Y15" s="185">
        <v>44</v>
      </c>
      <c r="Z15" s="186" t="s">
        <v>242</v>
      </c>
      <c r="AA15" s="414"/>
      <c r="AB15" s="177"/>
      <c r="AC15" s="412"/>
      <c r="AD15" s="185">
        <v>44</v>
      </c>
      <c r="AE15" s="186" t="s">
        <v>242</v>
      </c>
      <c r="AF15" s="414"/>
      <c r="AG15" s="177"/>
      <c r="AH15" s="412"/>
      <c r="AI15" s="185">
        <v>44</v>
      </c>
      <c r="AJ15" s="186" t="s">
        <v>248</v>
      </c>
      <c r="AK15" s="414"/>
      <c r="AL15" s="164"/>
      <c r="AM15" s="412"/>
      <c r="AN15" s="185">
        <v>44</v>
      </c>
      <c r="AO15" s="40"/>
      <c r="AP15" s="414"/>
      <c r="AQ15" s="412"/>
      <c r="AR15" s="185">
        <v>44</v>
      </c>
      <c r="AS15" s="40"/>
      <c r="AT15" s="414"/>
      <c r="AU15" s="412"/>
      <c r="AV15" s="185">
        <v>44</v>
      </c>
      <c r="AW15" s="40"/>
      <c r="AX15" s="414"/>
      <c r="AY15" s="412"/>
      <c r="AZ15" s="185">
        <v>44</v>
      </c>
      <c r="BA15" s="40"/>
      <c r="BB15" s="414"/>
      <c r="BC15" s="164"/>
      <c r="BD15" s="412"/>
      <c r="BE15" s="185">
        <v>44</v>
      </c>
      <c r="BF15" s="186" t="s">
        <v>249</v>
      </c>
      <c r="BG15" s="414"/>
      <c r="BH15" s="164"/>
      <c r="BI15" s="164"/>
      <c r="BJ15" s="187"/>
      <c r="BK15" s="185">
        <v>44</v>
      </c>
      <c r="BL15" s="417"/>
      <c r="BM15" s="414"/>
      <c r="BN15" s="164"/>
    </row>
    <row r="16" spans="1:66" x14ac:dyDescent="0.3">
      <c r="A16" s="164"/>
      <c r="B16" s="164"/>
      <c r="C16" s="164"/>
      <c r="D16" s="164"/>
      <c r="E16" s="142">
        <v>43</v>
      </c>
      <c r="F16" s="188" t="s">
        <v>245</v>
      </c>
      <c r="G16" s="142">
        <v>43</v>
      </c>
      <c r="H16" s="188" t="s">
        <v>245</v>
      </c>
      <c r="I16" s="142">
        <v>43</v>
      </c>
      <c r="J16" s="188" t="s">
        <v>245</v>
      </c>
      <c r="K16" s="142">
        <v>43</v>
      </c>
      <c r="L16" s="189" t="s">
        <v>245</v>
      </c>
      <c r="M16" s="164"/>
      <c r="N16" s="164"/>
      <c r="O16" s="164"/>
      <c r="P16" s="164"/>
      <c r="Q16" s="142">
        <v>43</v>
      </c>
      <c r="R16" s="189" t="s">
        <v>245</v>
      </c>
      <c r="S16" s="164"/>
      <c r="T16" s="142">
        <v>43</v>
      </c>
      <c r="U16" s="176"/>
      <c r="V16" s="164"/>
      <c r="W16" s="164"/>
      <c r="X16" s="412"/>
      <c r="Y16" s="185">
        <v>43</v>
      </c>
      <c r="Z16" s="186" t="s">
        <v>250</v>
      </c>
      <c r="AA16" s="414"/>
      <c r="AB16" s="177"/>
      <c r="AC16" s="412"/>
      <c r="AD16" s="185">
        <v>43</v>
      </c>
      <c r="AE16" s="186" t="s">
        <v>250</v>
      </c>
      <c r="AF16" s="414"/>
      <c r="AG16" s="177"/>
      <c r="AH16" s="412"/>
      <c r="AI16" s="185">
        <v>43</v>
      </c>
      <c r="AJ16" s="186" t="s">
        <v>251</v>
      </c>
      <c r="AK16" s="414"/>
      <c r="AL16" s="164"/>
      <c r="AM16" s="412"/>
      <c r="AN16" s="185">
        <v>43</v>
      </c>
      <c r="AO16" s="40"/>
      <c r="AP16" s="414"/>
      <c r="AQ16" s="412"/>
      <c r="AR16" s="185">
        <v>43</v>
      </c>
      <c r="AS16" s="40"/>
      <c r="AT16" s="414"/>
      <c r="AU16" s="412"/>
      <c r="AV16" s="185">
        <v>43</v>
      </c>
      <c r="AW16" s="40"/>
      <c r="AX16" s="414"/>
      <c r="AY16" s="412"/>
      <c r="AZ16" s="185">
        <v>43</v>
      </c>
      <c r="BA16" s="40"/>
      <c r="BB16" s="414"/>
      <c r="BC16" s="164"/>
      <c r="BD16" s="412"/>
      <c r="BE16" s="185">
        <v>43</v>
      </c>
      <c r="BF16" s="186" t="s">
        <v>252</v>
      </c>
      <c r="BG16" s="414"/>
      <c r="BH16" s="164"/>
      <c r="BI16" s="164"/>
      <c r="BJ16" s="187"/>
      <c r="BK16" s="185">
        <v>43</v>
      </c>
      <c r="BL16" s="40"/>
      <c r="BM16" s="414"/>
      <c r="BN16" s="164"/>
    </row>
    <row r="17" spans="1:66" x14ac:dyDescent="0.3">
      <c r="A17" s="164"/>
      <c r="B17" s="164"/>
      <c r="C17" s="164"/>
      <c r="D17" s="164"/>
      <c r="E17" s="142">
        <v>42</v>
      </c>
      <c r="F17" s="190" t="s">
        <v>253</v>
      </c>
      <c r="G17" s="142">
        <v>42</v>
      </c>
      <c r="H17" s="190" t="s">
        <v>253</v>
      </c>
      <c r="I17" s="142">
        <v>42</v>
      </c>
      <c r="J17" s="190" t="s">
        <v>253</v>
      </c>
      <c r="K17" s="142">
        <v>42</v>
      </c>
      <c r="L17" s="191" t="s">
        <v>253</v>
      </c>
      <c r="M17" s="164"/>
      <c r="N17" s="164"/>
      <c r="O17" s="164"/>
      <c r="P17" s="164"/>
      <c r="Q17" s="142">
        <v>42</v>
      </c>
      <c r="R17" s="191" t="s">
        <v>253</v>
      </c>
      <c r="S17" s="164"/>
      <c r="T17" s="142">
        <v>42</v>
      </c>
      <c r="U17" s="191" t="s">
        <v>253</v>
      </c>
      <c r="V17" s="164"/>
      <c r="W17" s="164"/>
      <c r="X17" s="412"/>
      <c r="Y17" s="185">
        <v>42</v>
      </c>
      <c r="Z17" s="164"/>
      <c r="AA17" s="414"/>
      <c r="AB17" s="177"/>
      <c r="AC17" s="412"/>
      <c r="AD17" s="185">
        <v>42</v>
      </c>
      <c r="AE17" s="164"/>
      <c r="AF17" s="414"/>
      <c r="AG17" s="177"/>
      <c r="AH17" s="412"/>
      <c r="AI17" s="185">
        <v>42</v>
      </c>
      <c r="AJ17" s="164"/>
      <c r="AK17" s="414"/>
      <c r="AL17" s="164"/>
      <c r="AM17" s="412"/>
      <c r="AN17" s="185">
        <v>42</v>
      </c>
      <c r="AO17" s="182"/>
      <c r="AP17" s="414"/>
      <c r="AQ17" s="412"/>
      <c r="AR17" s="185">
        <v>42</v>
      </c>
      <c r="AS17" s="182"/>
      <c r="AT17" s="414"/>
      <c r="AU17" s="412"/>
      <c r="AV17" s="185">
        <v>42</v>
      </c>
      <c r="AW17" s="182"/>
      <c r="AX17" s="414"/>
      <c r="AY17" s="412"/>
      <c r="AZ17" s="185">
        <v>42</v>
      </c>
      <c r="BA17" s="182"/>
      <c r="BB17" s="414"/>
      <c r="BC17" s="164"/>
      <c r="BD17" s="412"/>
      <c r="BE17" s="185">
        <v>42</v>
      </c>
      <c r="BF17" s="182"/>
      <c r="BG17" s="414"/>
      <c r="BH17" s="164"/>
      <c r="BI17" s="164"/>
      <c r="BJ17" s="187"/>
      <c r="BK17" s="185">
        <v>42</v>
      </c>
      <c r="BL17" s="409" t="s">
        <v>254</v>
      </c>
      <c r="BM17" s="414"/>
      <c r="BN17" s="164"/>
    </row>
    <row r="18" spans="1:66" x14ac:dyDescent="0.3">
      <c r="A18" s="164"/>
      <c r="B18" s="164"/>
      <c r="C18" s="164"/>
      <c r="D18" s="164"/>
      <c r="E18" s="143">
        <v>41</v>
      </c>
      <c r="F18" s="190" t="s">
        <v>253</v>
      </c>
      <c r="G18" s="143">
        <v>41</v>
      </c>
      <c r="H18" s="190" t="s">
        <v>253</v>
      </c>
      <c r="I18" s="143">
        <v>41</v>
      </c>
      <c r="J18" s="190" t="s">
        <v>253</v>
      </c>
      <c r="K18" s="143">
        <v>41</v>
      </c>
      <c r="L18" s="191" t="s">
        <v>253</v>
      </c>
      <c r="M18" s="164"/>
      <c r="N18" s="164"/>
      <c r="O18" s="164"/>
      <c r="P18" s="164"/>
      <c r="Q18" s="143">
        <v>41</v>
      </c>
      <c r="R18" s="191" t="s">
        <v>253</v>
      </c>
      <c r="S18" s="164"/>
      <c r="T18" s="143">
        <v>41</v>
      </c>
      <c r="U18" s="191" t="s">
        <v>253</v>
      </c>
      <c r="V18" s="164"/>
      <c r="W18" s="164"/>
      <c r="X18" s="412"/>
      <c r="Y18" s="124">
        <v>41</v>
      </c>
      <c r="Z18" s="164"/>
      <c r="AA18" s="414"/>
      <c r="AB18" s="177"/>
      <c r="AC18" s="412"/>
      <c r="AD18" s="124">
        <v>41</v>
      </c>
      <c r="AE18" s="164"/>
      <c r="AF18" s="414"/>
      <c r="AG18" s="177"/>
      <c r="AH18" s="412"/>
      <c r="AI18" s="124">
        <v>41</v>
      </c>
      <c r="AJ18" s="186" t="s">
        <v>255</v>
      </c>
      <c r="AK18" s="414"/>
      <c r="AL18" s="164"/>
      <c r="AM18" s="412"/>
      <c r="AN18" s="124">
        <v>41</v>
      </c>
      <c r="AO18" s="40"/>
      <c r="AP18" s="414"/>
      <c r="AQ18" s="412"/>
      <c r="AR18" s="124">
        <v>41</v>
      </c>
      <c r="AS18" s="40"/>
      <c r="AT18" s="414"/>
      <c r="AU18" s="412"/>
      <c r="AV18" s="124">
        <v>41</v>
      </c>
      <c r="AW18" s="40"/>
      <c r="AX18" s="414"/>
      <c r="AY18" s="412"/>
      <c r="AZ18" s="124">
        <v>41</v>
      </c>
      <c r="BA18" s="40"/>
      <c r="BB18" s="414"/>
      <c r="BC18" s="164"/>
      <c r="BD18" s="412"/>
      <c r="BE18" s="124">
        <v>41</v>
      </c>
      <c r="BF18" s="409" t="s">
        <v>256</v>
      </c>
      <c r="BG18" s="414"/>
      <c r="BH18" s="164"/>
      <c r="BI18" s="164"/>
      <c r="BJ18" s="187"/>
      <c r="BK18" s="124">
        <v>41</v>
      </c>
      <c r="BL18" s="417"/>
      <c r="BM18" s="414"/>
      <c r="BN18" s="164"/>
    </row>
    <row r="19" spans="1:66" x14ac:dyDescent="0.3">
      <c r="A19" s="164"/>
      <c r="B19" s="164"/>
      <c r="C19" s="164"/>
      <c r="D19" s="164"/>
      <c r="E19" s="143">
        <v>40</v>
      </c>
      <c r="F19" s="192" t="s">
        <v>257</v>
      </c>
      <c r="G19" s="143">
        <v>40</v>
      </c>
      <c r="H19" s="192" t="s">
        <v>257</v>
      </c>
      <c r="I19" s="143">
        <v>40</v>
      </c>
      <c r="J19" s="192" t="s">
        <v>257</v>
      </c>
      <c r="K19" s="143">
        <v>40</v>
      </c>
      <c r="L19" s="193" t="s">
        <v>257</v>
      </c>
      <c r="M19" s="164"/>
      <c r="N19" s="164"/>
      <c r="O19" s="164"/>
      <c r="P19" s="164"/>
      <c r="Q19" s="143">
        <v>40</v>
      </c>
      <c r="R19" s="193" t="s">
        <v>257</v>
      </c>
      <c r="S19" s="164"/>
      <c r="T19" s="143">
        <v>40</v>
      </c>
      <c r="U19" s="193" t="s">
        <v>257</v>
      </c>
      <c r="V19" s="164"/>
      <c r="W19" s="164"/>
      <c r="X19" s="412"/>
      <c r="Y19" s="124">
        <v>40</v>
      </c>
      <c r="Z19" s="124"/>
      <c r="AA19" s="414"/>
      <c r="AB19" s="177"/>
      <c r="AC19" s="412"/>
      <c r="AD19" s="124">
        <v>40</v>
      </c>
      <c r="AE19" s="124"/>
      <c r="AF19" s="414"/>
      <c r="AG19" s="177"/>
      <c r="AH19" s="412"/>
      <c r="AI19" s="124">
        <v>40</v>
      </c>
      <c r="AJ19" s="124"/>
      <c r="AK19" s="414"/>
      <c r="AL19" s="164"/>
      <c r="AM19" s="412"/>
      <c r="AN19" s="124">
        <v>40</v>
      </c>
      <c r="AO19" s="418" t="s">
        <v>258</v>
      </c>
      <c r="AP19" s="414"/>
      <c r="AQ19" s="412"/>
      <c r="AR19" s="124">
        <v>40</v>
      </c>
      <c r="AS19" s="124"/>
      <c r="AT19" s="414"/>
      <c r="AU19" s="412"/>
      <c r="AV19" s="124">
        <v>40</v>
      </c>
      <c r="AW19" s="124"/>
      <c r="AX19" s="414"/>
      <c r="AY19" s="412"/>
      <c r="AZ19" s="124">
        <v>40</v>
      </c>
      <c r="BA19" s="124"/>
      <c r="BB19" s="414"/>
      <c r="BC19" s="164"/>
      <c r="BD19" s="412"/>
      <c r="BE19" s="124">
        <v>40</v>
      </c>
      <c r="BF19" s="410"/>
      <c r="BG19" s="414"/>
      <c r="BH19" s="164"/>
      <c r="BI19" s="164"/>
      <c r="BJ19" s="187"/>
      <c r="BK19" s="124">
        <v>40</v>
      </c>
      <c r="BL19" s="164"/>
      <c r="BM19" s="414"/>
      <c r="BN19" s="164"/>
    </row>
    <row r="20" spans="1:66" x14ac:dyDescent="0.3">
      <c r="A20" s="164"/>
      <c r="B20" s="164"/>
      <c r="C20" s="164"/>
      <c r="D20" s="164"/>
      <c r="E20" s="143">
        <v>39</v>
      </c>
      <c r="F20" s="194" t="s">
        <v>259</v>
      </c>
      <c r="G20" s="143">
        <v>39</v>
      </c>
      <c r="H20" s="194" t="s">
        <v>259</v>
      </c>
      <c r="I20" s="143">
        <v>39</v>
      </c>
      <c r="J20" s="194" t="s">
        <v>259</v>
      </c>
      <c r="K20" s="143">
        <v>39</v>
      </c>
      <c r="L20" s="195" t="s">
        <v>259</v>
      </c>
      <c r="M20" s="164"/>
      <c r="N20" s="164"/>
      <c r="O20" s="164"/>
      <c r="P20" s="164"/>
      <c r="Q20" s="143">
        <v>39</v>
      </c>
      <c r="R20" s="195" t="s">
        <v>259</v>
      </c>
      <c r="S20" s="164"/>
      <c r="T20" s="143">
        <v>39</v>
      </c>
      <c r="U20" s="195" t="s">
        <v>259</v>
      </c>
      <c r="V20" s="164"/>
      <c r="W20" s="164"/>
      <c r="X20" s="412"/>
      <c r="Y20" s="124">
        <v>39</v>
      </c>
      <c r="Z20" s="124"/>
      <c r="AA20" s="414"/>
      <c r="AB20" s="177"/>
      <c r="AC20" s="412"/>
      <c r="AD20" s="124">
        <v>39</v>
      </c>
      <c r="AE20" s="124"/>
      <c r="AF20" s="414"/>
      <c r="AG20" s="177"/>
      <c r="AH20" s="412"/>
      <c r="AI20" s="124">
        <v>39</v>
      </c>
      <c r="AJ20" s="124"/>
      <c r="AK20" s="414"/>
      <c r="AL20" s="164"/>
      <c r="AM20" s="412"/>
      <c r="AN20" s="124">
        <v>39</v>
      </c>
      <c r="AO20" s="419"/>
      <c r="AP20" s="414"/>
      <c r="AQ20" s="412"/>
      <c r="AR20" s="124">
        <v>39</v>
      </c>
      <c r="AS20" s="124"/>
      <c r="AT20" s="414"/>
      <c r="AU20" s="412"/>
      <c r="AV20" s="124">
        <v>39</v>
      </c>
      <c r="AW20" s="124"/>
      <c r="AX20" s="414"/>
      <c r="AY20" s="412"/>
      <c r="AZ20" s="124">
        <v>39</v>
      </c>
      <c r="BA20" s="124"/>
      <c r="BB20" s="414"/>
      <c r="BC20" s="164"/>
      <c r="BD20" s="412"/>
      <c r="BE20" s="124">
        <v>39</v>
      </c>
      <c r="BF20" s="124"/>
      <c r="BG20" s="414"/>
      <c r="BH20" s="164"/>
      <c r="BI20" s="164"/>
      <c r="BJ20" s="187"/>
      <c r="BK20" s="124">
        <v>39</v>
      </c>
      <c r="BL20" s="164"/>
      <c r="BM20" s="414"/>
      <c r="BN20" s="164"/>
    </row>
    <row r="21" spans="1:66" x14ac:dyDescent="0.3">
      <c r="A21" s="164"/>
      <c r="B21" s="164"/>
      <c r="C21" s="164"/>
      <c r="D21" s="164"/>
      <c r="E21" s="143">
        <v>38</v>
      </c>
      <c r="F21" s="420" t="s">
        <v>260</v>
      </c>
      <c r="G21" s="143">
        <v>38</v>
      </c>
      <c r="H21" s="420" t="s">
        <v>261</v>
      </c>
      <c r="I21" s="143">
        <v>38</v>
      </c>
      <c r="J21" s="420" t="s">
        <v>262</v>
      </c>
      <c r="K21" s="143">
        <v>38</v>
      </c>
      <c r="L21" s="420" t="s">
        <v>263</v>
      </c>
      <c r="M21" s="164"/>
      <c r="N21" s="164"/>
      <c r="O21" s="164"/>
      <c r="P21" s="164"/>
      <c r="Q21" s="143">
        <v>38</v>
      </c>
      <c r="R21" s="420" t="s">
        <v>264</v>
      </c>
      <c r="S21" s="164"/>
      <c r="T21" s="143">
        <v>38</v>
      </c>
      <c r="U21" s="196"/>
      <c r="V21" s="164"/>
      <c r="W21" s="164"/>
      <c r="X21" s="412"/>
      <c r="Y21" s="124">
        <v>38</v>
      </c>
      <c r="Z21" s="182"/>
      <c r="AA21" s="414"/>
      <c r="AB21" s="177"/>
      <c r="AC21" s="412"/>
      <c r="AD21" s="124">
        <v>38</v>
      </c>
      <c r="AE21" s="182"/>
      <c r="AF21" s="414"/>
      <c r="AG21" s="177"/>
      <c r="AH21" s="412"/>
      <c r="AI21" s="124">
        <v>38</v>
      </c>
      <c r="AJ21" s="182"/>
      <c r="AK21" s="414"/>
      <c r="AL21" s="164"/>
      <c r="AM21" s="412"/>
      <c r="AN21" s="124">
        <v>38</v>
      </c>
      <c r="AO21" s="182"/>
      <c r="AP21" s="414"/>
      <c r="AQ21" s="412"/>
      <c r="AR21" s="124">
        <v>38</v>
      </c>
      <c r="AS21" s="182"/>
      <c r="AT21" s="414"/>
      <c r="AU21" s="412"/>
      <c r="AV21" s="124">
        <v>38</v>
      </c>
      <c r="AW21" s="182"/>
      <c r="AX21" s="414"/>
      <c r="AY21" s="412"/>
      <c r="AZ21" s="124">
        <v>38</v>
      </c>
      <c r="BA21" s="182"/>
      <c r="BB21" s="414"/>
      <c r="BC21" s="164"/>
      <c r="BD21" s="412"/>
      <c r="BE21" s="124">
        <v>38</v>
      </c>
      <c r="BF21" s="409" t="s">
        <v>265</v>
      </c>
      <c r="BG21" s="414"/>
      <c r="BH21" s="164"/>
      <c r="BI21" s="164"/>
      <c r="BJ21" s="187"/>
      <c r="BK21" s="124">
        <v>38</v>
      </c>
      <c r="BL21" s="182"/>
      <c r="BM21" s="414"/>
      <c r="BN21" s="164"/>
    </row>
    <row r="22" spans="1:66" x14ac:dyDescent="0.3">
      <c r="A22" s="164"/>
      <c r="B22" s="164"/>
      <c r="C22" s="164"/>
      <c r="D22" s="164"/>
      <c r="E22" s="143">
        <v>37</v>
      </c>
      <c r="F22" s="421"/>
      <c r="G22" s="143">
        <v>37</v>
      </c>
      <c r="H22" s="421"/>
      <c r="I22" s="143">
        <v>37</v>
      </c>
      <c r="J22" s="421"/>
      <c r="K22" s="143">
        <v>37</v>
      </c>
      <c r="L22" s="421"/>
      <c r="M22" s="164"/>
      <c r="N22" s="164"/>
      <c r="O22" s="164"/>
      <c r="P22" s="164"/>
      <c r="Q22" s="143">
        <v>37</v>
      </c>
      <c r="R22" s="421"/>
      <c r="S22" s="164"/>
      <c r="T22" s="143">
        <v>37</v>
      </c>
      <c r="U22" s="40"/>
      <c r="V22" s="164"/>
      <c r="W22" s="164"/>
      <c r="X22" s="412"/>
      <c r="Y22" s="124">
        <v>37</v>
      </c>
      <c r="Z22" s="418" t="s">
        <v>258</v>
      </c>
      <c r="AA22" s="414"/>
      <c r="AB22" s="177"/>
      <c r="AC22" s="412"/>
      <c r="AD22" s="124">
        <v>37</v>
      </c>
      <c r="AE22" s="177"/>
      <c r="AF22" s="414"/>
      <c r="AG22" s="177"/>
      <c r="AH22" s="412"/>
      <c r="AI22" s="124">
        <v>37</v>
      </c>
      <c r="AJ22" s="182"/>
      <c r="AK22" s="414"/>
      <c r="AL22" s="164"/>
      <c r="AM22" s="412"/>
      <c r="AN22" s="124">
        <v>37</v>
      </c>
      <c r="AO22" s="415" t="s">
        <v>266</v>
      </c>
      <c r="AP22" s="414"/>
      <c r="AQ22" s="412"/>
      <c r="AR22" s="124">
        <v>37</v>
      </c>
      <c r="AS22" s="415" t="s">
        <v>267</v>
      </c>
      <c r="AT22" s="414"/>
      <c r="AU22" s="412"/>
      <c r="AV22" s="124">
        <v>37</v>
      </c>
      <c r="AW22" s="40"/>
      <c r="AX22" s="414"/>
      <c r="AY22" s="412"/>
      <c r="AZ22" s="124">
        <v>37</v>
      </c>
      <c r="BA22" s="40"/>
      <c r="BB22" s="414"/>
      <c r="BC22" s="164"/>
      <c r="BD22" s="412"/>
      <c r="BE22" s="124">
        <v>37</v>
      </c>
      <c r="BF22" s="410"/>
      <c r="BG22" s="414"/>
      <c r="BH22" s="164"/>
      <c r="BI22" s="164"/>
      <c r="BJ22" s="187"/>
      <c r="BK22" s="124">
        <v>37</v>
      </c>
      <c r="BL22" s="164"/>
      <c r="BM22" s="414"/>
      <c r="BN22" s="164"/>
    </row>
    <row r="23" spans="1:66" x14ac:dyDescent="0.3">
      <c r="A23" s="164"/>
      <c r="B23" s="164"/>
      <c r="C23" s="164"/>
      <c r="D23" s="164"/>
      <c r="E23" s="143">
        <v>36</v>
      </c>
      <c r="F23" s="182"/>
      <c r="G23" s="143">
        <v>36</v>
      </c>
      <c r="H23" s="182"/>
      <c r="I23" s="143">
        <v>36</v>
      </c>
      <c r="J23" s="182"/>
      <c r="K23" s="143">
        <v>36</v>
      </c>
      <c r="L23" s="183"/>
      <c r="M23" s="164"/>
      <c r="N23" s="164"/>
      <c r="O23" s="164"/>
      <c r="P23" s="164"/>
      <c r="Q23" s="143">
        <v>36</v>
      </c>
      <c r="R23" s="183"/>
      <c r="S23" s="164"/>
      <c r="T23" s="143">
        <v>36</v>
      </c>
      <c r="U23" s="40"/>
      <c r="V23" s="164"/>
      <c r="W23" s="164"/>
      <c r="X23" s="412"/>
      <c r="Y23" s="124">
        <v>36</v>
      </c>
      <c r="Z23" s="419"/>
      <c r="AA23" s="414"/>
      <c r="AB23" s="177"/>
      <c r="AC23" s="412"/>
      <c r="AD23" s="124">
        <v>36</v>
      </c>
      <c r="AE23" s="182"/>
      <c r="AF23" s="414"/>
      <c r="AG23" s="177"/>
      <c r="AH23" s="412"/>
      <c r="AI23" s="124">
        <v>36</v>
      </c>
      <c r="AJ23" s="182"/>
      <c r="AK23" s="414"/>
      <c r="AL23" s="164"/>
      <c r="AM23" s="412"/>
      <c r="AN23" s="124">
        <v>36</v>
      </c>
      <c r="AO23" s="416"/>
      <c r="AP23" s="414"/>
      <c r="AQ23" s="412"/>
      <c r="AR23" s="124">
        <v>36</v>
      </c>
      <c r="AS23" s="416"/>
      <c r="AT23" s="414"/>
      <c r="AU23" s="412"/>
      <c r="AV23" s="124">
        <v>36</v>
      </c>
      <c r="AW23" s="40"/>
      <c r="AX23" s="414"/>
      <c r="AY23" s="412"/>
      <c r="AZ23" s="124">
        <v>36</v>
      </c>
      <c r="BA23" s="40"/>
      <c r="BB23" s="414"/>
      <c r="BC23" s="164"/>
      <c r="BD23" s="412"/>
      <c r="BE23" s="124">
        <v>36</v>
      </c>
      <c r="BF23" s="196"/>
      <c r="BG23" s="414"/>
      <c r="BH23" s="164"/>
      <c r="BI23" s="164"/>
      <c r="BJ23" s="187"/>
      <c r="BK23" s="124">
        <v>36</v>
      </c>
      <c r="BL23" s="164"/>
      <c r="BM23" s="414"/>
      <c r="BN23" s="164"/>
    </row>
    <row r="24" spans="1:66" x14ac:dyDescent="0.3">
      <c r="A24" s="164"/>
      <c r="B24" s="164"/>
      <c r="C24" s="164"/>
      <c r="D24" s="164"/>
      <c r="E24" s="143">
        <v>35</v>
      </c>
      <c r="F24" s="420" t="s">
        <v>268</v>
      </c>
      <c r="G24" s="143">
        <v>35</v>
      </c>
      <c r="H24" s="420" t="s">
        <v>269</v>
      </c>
      <c r="I24" s="143">
        <v>35</v>
      </c>
      <c r="J24" s="420" t="s">
        <v>270</v>
      </c>
      <c r="K24" s="143">
        <v>35</v>
      </c>
      <c r="L24" s="420" t="s">
        <v>271</v>
      </c>
      <c r="M24" s="164"/>
      <c r="N24" s="164"/>
      <c r="O24" s="164"/>
      <c r="P24" s="164"/>
      <c r="Q24" s="143">
        <v>35</v>
      </c>
      <c r="R24" s="420" t="s">
        <v>272</v>
      </c>
      <c r="S24" s="164"/>
      <c r="T24" s="143">
        <v>35</v>
      </c>
      <c r="U24" s="40"/>
      <c r="V24" s="164"/>
      <c r="W24" s="164"/>
      <c r="X24" s="412"/>
      <c r="Y24" s="124">
        <v>35</v>
      </c>
      <c r="Z24" s="182"/>
      <c r="AA24" s="414"/>
      <c r="AB24" s="177"/>
      <c r="AC24" s="412"/>
      <c r="AD24" s="124">
        <v>35</v>
      </c>
      <c r="AE24" s="182"/>
      <c r="AF24" s="414"/>
      <c r="AG24" s="177"/>
      <c r="AH24" s="412"/>
      <c r="AI24" s="124">
        <v>35</v>
      </c>
      <c r="AJ24" s="182"/>
      <c r="AK24" s="414"/>
      <c r="AL24" s="164"/>
      <c r="AM24" s="412"/>
      <c r="AN24" s="124">
        <v>35</v>
      </c>
      <c r="AO24" s="164"/>
      <c r="AP24" s="414"/>
      <c r="AQ24" s="412"/>
      <c r="AR24" s="124">
        <v>35</v>
      </c>
      <c r="AS24" s="164"/>
      <c r="AT24" s="414"/>
      <c r="AU24" s="412"/>
      <c r="AV24" s="124">
        <v>35</v>
      </c>
      <c r="AW24" s="164"/>
      <c r="AX24" s="414"/>
      <c r="AY24" s="412"/>
      <c r="AZ24" s="124">
        <v>35</v>
      </c>
      <c r="BA24" s="164"/>
      <c r="BB24" s="414"/>
      <c r="BC24" s="164"/>
      <c r="BD24" s="412"/>
      <c r="BE24" s="124">
        <v>35</v>
      </c>
      <c r="BF24" s="409" t="s">
        <v>273</v>
      </c>
      <c r="BG24" s="414"/>
      <c r="BH24" s="164"/>
      <c r="BI24" s="164"/>
      <c r="BJ24" s="187"/>
      <c r="BK24" s="124">
        <v>35</v>
      </c>
      <c r="BL24" s="164"/>
      <c r="BM24" s="414"/>
      <c r="BN24" s="164"/>
    </row>
    <row r="25" spans="1:66" x14ac:dyDescent="0.3">
      <c r="A25" s="164"/>
      <c r="B25" s="164"/>
      <c r="C25" s="164"/>
      <c r="D25" s="164"/>
      <c r="E25" s="143">
        <v>34</v>
      </c>
      <c r="F25" s="421"/>
      <c r="G25" s="143">
        <v>34</v>
      </c>
      <c r="H25" s="421"/>
      <c r="I25" s="143">
        <v>34</v>
      </c>
      <c r="J25" s="421"/>
      <c r="K25" s="143">
        <v>34</v>
      </c>
      <c r="L25" s="421"/>
      <c r="M25" s="164"/>
      <c r="N25" s="164"/>
      <c r="O25" s="164"/>
      <c r="P25" s="164"/>
      <c r="Q25" s="143">
        <v>34</v>
      </c>
      <c r="R25" s="422"/>
      <c r="S25" s="164"/>
      <c r="T25" s="143">
        <v>34</v>
      </c>
      <c r="U25" s="40"/>
      <c r="V25" s="164"/>
      <c r="W25" s="164"/>
      <c r="X25" s="412"/>
      <c r="Y25" s="124">
        <v>34</v>
      </c>
      <c r="Z25" s="415" t="s">
        <v>266</v>
      </c>
      <c r="AA25" s="414"/>
      <c r="AB25" s="177"/>
      <c r="AC25" s="412"/>
      <c r="AD25" s="124">
        <v>34</v>
      </c>
      <c r="AE25" s="182"/>
      <c r="AF25" s="414"/>
      <c r="AG25" s="177"/>
      <c r="AH25" s="412"/>
      <c r="AI25" s="124">
        <v>34</v>
      </c>
      <c r="AJ25" s="182"/>
      <c r="AK25" s="414"/>
      <c r="AL25" s="164"/>
      <c r="AM25" s="412"/>
      <c r="AN25" s="124">
        <v>34</v>
      </c>
      <c r="AO25" s="196"/>
      <c r="AP25" s="414"/>
      <c r="AQ25" s="412"/>
      <c r="AR25" s="124">
        <v>34</v>
      </c>
      <c r="AS25" s="196"/>
      <c r="AT25" s="414"/>
      <c r="AU25" s="412"/>
      <c r="AV25" s="124">
        <v>34</v>
      </c>
      <c r="AW25" s="196"/>
      <c r="AX25" s="414"/>
      <c r="AY25" s="412"/>
      <c r="AZ25" s="124">
        <v>34</v>
      </c>
      <c r="BA25" s="196"/>
      <c r="BB25" s="414"/>
      <c r="BC25" s="164"/>
      <c r="BD25" s="412"/>
      <c r="BE25" s="124">
        <v>34</v>
      </c>
      <c r="BF25" s="410"/>
      <c r="BG25" s="414"/>
      <c r="BH25" s="164"/>
      <c r="BI25" s="164"/>
      <c r="BJ25" s="187"/>
      <c r="BK25" s="124">
        <v>34</v>
      </c>
      <c r="BL25" s="164"/>
      <c r="BM25" s="414"/>
      <c r="BN25" s="164"/>
    </row>
    <row r="26" spans="1:66" x14ac:dyDescent="0.3">
      <c r="A26" s="164"/>
      <c r="B26" s="164"/>
      <c r="C26" s="164"/>
      <c r="D26" s="164"/>
      <c r="E26" s="143">
        <v>33</v>
      </c>
      <c r="F26" s="182"/>
      <c r="G26" s="143">
        <v>33</v>
      </c>
      <c r="H26" s="182"/>
      <c r="I26" s="143">
        <v>33</v>
      </c>
      <c r="J26" s="182"/>
      <c r="K26" s="143">
        <v>33</v>
      </c>
      <c r="L26" s="183"/>
      <c r="M26" s="164"/>
      <c r="N26" s="164"/>
      <c r="O26" s="164"/>
      <c r="P26" s="164"/>
      <c r="Q26" s="143">
        <v>33</v>
      </c>
      <c r="R26" s="164"/>
      <c r="S26" s="164"/>
      <c r="T26" s="143">
        <v>33</v>
      </c>
      <c r="U26" s="197"/>
      <c r="V26" s="164"/>
      <c r="W26" s="164"/>
      <c r="X26" s="412"/>
      <c r="Y26" s="124">
        <v>33</v>
      </c>
      <c r="Z26" s="423"/>
      <c r="AA26" s="414"/>
      <c r="AB26" s="177"/>
      <c r="AC26" s="412"/>
      <c r="AD26" s="124">
        <v>33</v>
      </c>
      <c r="AE26" s="182"/>
      <c r="AF26" s="414"/>
      <c r="AG26" s="177"/>
      <c r="AH26" s="412"/>
      <c r="AI26" s="124">
        <v>33</v>
      </c>
      <c r="AJ26" s="182"/>
      <c r="AK26" s="414"/>
      <c r="AL26" s="164"/>
      <c r="AM26" s="412"/>
      <c r="AN26" s="124">
        <v>33</v>
      </c>
      <c r="AO26" s="409" t="s">
        <v>274</v>
      </c>
      <c r="AP26" s="414"/>
      <c r="AQ26" s="412"/>
      <c r="AR26" s="124">
        <v>33</v>
      </c>
      <c r="AS26" s="409" t="s">
        <v>274</v>
      </c>
      <c r="AT26" s="414"/>
      <c r="AU26" s="412"/>
      <c r="AV26" s="124">
        <v>33</v>
      </c>
      <c r="AW26" s="196"/>
      <c r="AX26" s="414"/>
      <c r="AY26" s="412"/>
      <c r="AZ26" s="124">
        <v>33</v>
      </c>
      <c r="BA26" s="196"/>
      <c r="BB26" s="414"/>
      <c r="BC26" s="164"/>
      <c r="BD26" s="412"/>
      <c r="BE26" s="124">
        <v>33</v>
      </c>
      <c r="BF26" s="196"/>
      <c r="BG26" s="414"/>
      <c r="BH26" s="164"/>
      <c r="BI26" s="164"/>
      <c r="BJ26" s="187"/>
      <c r="BK26" s="124">
        <v>33</v>
      </c>
      <c r="BL26" s="164"/>
      <c r="BM26" s="414"/>
      <c r="BN26" s="164"/>
    </row>
    <row r="27" spans="1:66" x14ac:dyDescent="0.3">
      <c r="A27" s="164"/>
      <c r="B27" s="164"/>
      <c r="C27" s="164"/>
      <c r="D27" s="164"/>
      <c r="E27" s="143">
        <v>32</v>
      </c>
      <c r="F27" s="420" t="s">
        <v>275</v>
      </c>
      <c r="G27" s="143">
        <v>32</v>
      </c>
      <c r="H27" s="420" t="s">
        <v>276</v>
      </c>
      <c r="I27" s="143">
        <v>32</v>
      </c>
      <c r="J27" s="420" t="s">
        <v>277</v>
      </c>
      <c r="K27" s="143">
        <v>32</v>
      </c>
      <c r="L27" s="420" t="s">
        <v>278</v>
      </c>
      <c r="M27" s="164"/>
      <c r="N27" s="164"/>
      <c r="O27" s="164"/>
      <c r="P27" s="164"/>
      <c r="Q27" s="143">
        <v>32</v>
      </c>
      <c r="R27" s="420" t="s">
        <v>279</v>
      </c>
      <c r="S27" s="164"/>
      <c r="T27" s="143">
        <v>32</v>
      </c>
      <c r="U27" s="196"/>
      <c r="V27" s="164"/>
      <c r="W27" s="164"/>
      <c r="X27" s="412"/>
      <c r="Y27" s="124">
        <v>32</v>
      </c>
      <c r="Z27" s="409" t="s">
        <v>280</v>
      </c>
      <c r="AA27" s="414"/>
      <c r="AB27" s="177"/>
      <c r="AC27" s="412"/>
      <c r="AD27" s="124">
        <v>32</v>
      </c>
      <c r="AE27" s="409" t="s">
        <v>280</v>
      </c>
      <c r="AF27" s="414"/>
      <c r="AG27" s="177"/>
      <c r="AH27" s="412"/>
      <c r="AI27" s="124">
        <v>32</v>
      </c>
      <c r="AJ27" s="409" t="s">
        <v>281</v>
      </c>
      <c r="AK27" s="414"/>
      <c r="AL27" s="164"/>
      <c r="AM27" s="412"/>
      <c r="AN27" s="124">
        <v>32</v>
      </c>
      <c r="AO27" s="410"/>
      <c r="AP27" s="414"/>
      <c r="AQ27" s="412"/>
      <c r="AR27" s="124">
        <v>32</v>
      </c>
      <c r="AS27" s="410"/>
      <c r="AT27" s="414"/>
      <c r="AU27" s="412"/>
      <c r="AV27" s="124">
        <v>32</v>
      </c>
      <c r="AW27" s="196"/>
      <c r="AX27" s="414"/>
      <c r="AY27" s="412"/>
      <c r="AZ27" s="124">
        <v>32</v>
      </c>
      <c r="BA27" s="196"/>
      <c r="BB27" s="414"/>
      <c r="BC27" s="164"/>
      <c r="BD27" s="412"/>
      <c r="BE27" s="124">
        <v>32</v>
      </c>
      <c r="BF27" s="409" t="s">
        <v>282</v>
      </c>
      <c r="BG27" s="414"/>
      <c r="BH27" s="164"/>
      <c r="BI27" s="164"/>
      <c r="BJ27" s="187"/>
      <c r="BK27" s="124">
        <v>32</v>
      </c>
      <c r="BL27" s="164"/>
      <c r="BM27" s="414"/>
      <c r="BN27" s="164"/>
    </row>
    <row r="28" spans="1:66" x14ac:dyDescent="0.3">
      <c r="A28" s="164"/>
      <c r="B28" s="164"/>
      <c r="C28" s="164"/>
      <c r="D28" s="164"/>
      <c r="E28" s="143">
        <v>31</v>
      </c>
      <c r="F28" s="421"/>
      <c r="G28" s="143">
        <v>31</v>
      </c>
      <c r="H28" s="421"/>
      <c r="I28" s="143">
        <v>31</v>
      </c>
      <c r="J28" s="421"/>
      <c r="K28" s="143">
        <v>31</v>
      </c>
      <c r="L28" s="421"/>
      <c r="M28" s="164"/>
      <c r="N28" s="164"/>
      <c r="O28" s="164"/>
      <c r="P28" s="164"/>
      <c r="Q28" s="143">
        <v>31</v>
      </c>
      <c r="R28" s="422"/>
      <c r="S28" s="164"/>
      <c r="T28" s="143">
        <v>31</v>
      </c>
      <c r="U28" s="197"/>
      <c r="V28" s="164"/>
      <c r="W28" s="164"/>
      <c r="X28" s="412"/>
      <c r="Y28" s="124">
        <v>31</v>
      </c>
      <c r="Z28" s="410"/>
      <c r="AA28" s="414"/>
      <c r="AB28" s="177"/>
      <c r="AC28" s="412"/>
      <c r="AD28" s="124">
        <v>31</v>
      </c>
      <c r="AE28" s="410"/>
      <c r="AF28" s="414"/>
      <c r="AG28" s="177"/>
      <c r="AH28" s="412"/>
      <c r="AI28" s="124">
        <v>31</v>
      </c>
      <c r="AJ28" s="410"/>
      <c r="AK28" s="414"/>
      <c r="AL28" s="164"/>
      <c r="AM28" s="412"/>
      <c r="AN28" s="124">
        <v>31</v>
      </c>
      <c r="AO28" s="196"/>
      <c r="AP28" s="414"/>
      <c r="AQ28" s="412"/>
      <c r="AR28" s="124">
        <v>31</v>
      </c>
      <c r="AS28" s="196"/>
      <c r="AT28" s="414"/>
      <c r="AU28" s="412"/>
      <c r="AV28" s="124">
        <v>31</v>
      </c>
      <c r="AW28" s="196"/>
      <c r="AX28" s="414"/>
      <c r="AY28" s="412"/>
      <c r="AZ28" s="124">
        <v>31</v>
      </c>
      <c r="BA28" s="196"/>
      <c r="BB28" s="414"/>
      <c r="BC28" s="164"/>
      <c r="BD28" s="412"/>
      <c r="BE28" s="124">
        <v>31</v>
      </c>
      <c r="BF28" s="410"/>
      <c r="BG28" s="414"/>
      <c r="BH28" s="164"/>
      <c r="BI28" s="164"/>
      <c r="BJ28" s="187"/>
      <c r="BK28" s="124">
        <v>31</v>
      </c>
      <c r="BL28" s="164"/>
      <c r="BM28" s="414"/>
      <c r="BN28" s="164"/>
    </row>
    <row r="29" spans="1:66" x14ac:dyDescent="0.3">
      <c r="A29" s="164"/>
      <c r="B29" s="164"/>
      <c r="C29" s="164"/>
      <c r="D29" s="164"/>
      <c r="E29" s="143">
        <v>30</v>
      </c>
      <c r="F29" s="182"/>
      <c r="G29" s="143">
        <v>30</v>
      </c>
      <c r="H29" s="182"/>
      <c r="I29" s="143">
        <v>30</v>
      </c>
      <c r="J29" s="182"/>
      <c r="K29" s="143">
        <v>30</v>
      </c>
      <c r="L29" s="183"/>
      <c r="M29" s="164"/>
      <c r="N29" s="164"/>
      <c r="O29" s="164"/>
      <c r="P29" s="164"/>
      <c r="Q29" s="143">
        <v>30</v>
      </c>
      <c r="R29" s="164"/>
      <c r="S29" s="164"/>
      <c r="T29" s="143">
        <v>30</v>
      </c>
      <c r="U29" s="197"/>
      <c r="V29" s="164"/>
      <c r="W29" s="164"/>
      <c r="X29" s="412"/>
      <c r="Y29" s="124">
        <v>30</v>
      </c>
      <c r="Z29" s="182"/>
      <c r="AA29" s="414"/>
      <c r="AB29" s="177"/>
      <c r="AC29" s="412"/>
      <c r="AD29" s="124">
        <v>30</v>
      </c>
      <c r="AE29" s="182"/>
      <c r="AF29" s="414"/>
      <c r="AG29" s="177"/>
      <c r="AH29" s="412"/>
      <c r="AI29" s="124">
        <v>30</v>
      </c>
      <c r="AJ29" s="182"/>
      <c r="AK29" s="414"/>
      <c r="AL29" s="164"/>
      <c r="AM29" s="412"/>
      <c r="AN29" s="124">
        <v>30</v>
      </c>
      <c r="AO29" s="196"/>
      <c r="AP29" s="414"/>
      <c r="AQ29" s="412"/>
      <c r="AR29" s="124">
        <v>30</v>
      </c>
      <c r="AS29" s="196"/>
      <c r="AT29" s="414"/>
      <c r="AU29" s="412"/>
      <c r="AV29" s="124">
        <v>30</v>
      </c>
      <c r="AW29" s="196"/>
      <c r="AX29" s="414"/>
      <c r="AY29" s="412"/>
      <c r="AZ29" s="124">
        <v>30</v>
      </c>
      <c r="BA29" s="196"/>
      <c r="BB29" s="414"/>
      <c r="BC29" s="164"/>
      <c r="BD29" s="412"/>
      <c r="BE29" s="124">
        <v>30</v>
      </c>
      <c r="BF29" s="196"/>
      <c r="BG29" s="414"/>
      <c r="BH29" s="164"/>
      <c r="BI29" s="164"/>
      <c r="BJ29" s="187"/>
      <c r="BK29" s="124">
        <v>30</v>
      </c>
      <c r="BL29" s="164"/>
      <c r="BM29" s="414"/>
      <c r="BN29" s="164"/>
    </row>
    <row r="30" spans="1:66" x14ac:dyDescent="0.3">
      <c r="A30" s="164"/>
      <c r="B30" s="164"/>
      <c r="C30" s="164"/>
      <c r="D30" s="164"/>
      <c r="E30" s="143">
        <v>29</v>
      </c>
      <c r="F30" s="420" t="s">
        <v>283</v>
      </c>
      <c r="G30" s="143">
        <v>29</v>
      </c>
      <c r="H30" s="420" t="s">
        <v>284</v>
      </c>
      <c r="I30" s="143">
        <v>29</v>
      </c>
      <c r="J30" s="420" t="s">
        <v>285</v>
      </c>
      <c r="K30" s="143">
        <v>29</v>
      </c>
      <c r="L30" s="420" t="s">
        <v>286</v>
      </c>
      <c r="M30" s="164"/>
      <c r="N30" s="164"/>
      <c r="O30" s="164"/>
      <c r="P30" s="164"/>
      <c r="Q30" s="143">
        <v>29</v>
      </c>
      <c r="R30" s="420" t="s">
        <v>287</v>
      </c>
      <c r="S30" s="164"/>
      <c r="T30" s="143">
        <v>29</v>
      </c>
      <c r="U30" s="189" t="s">
        <v>243</v>
      </c>
      <c r="V30" s="164"/>
      <c r="W30" s="164"/>
      <c r="X30" s="412"/>
      <c r="Y30" s="124">
        <v>29</v>
      </c>
      <c r="Z30" s="409" t="s">
        <v>288</v>
      </c>
      <c r="AA30" s="414"/>
      <c r="AB30" s="177"/>
      <c r="AC30" s="412"/>
      <c r="AD30" s="124">
        <v>29</v>
      </c>
      <c r="AE30" s="409" t="s">
        <v>288</v>
      </c>
      <c r="AF30" s="414"/>
      <c r="AG30" s="177"/>
      <c r="AH30" s="412"/>
      <c r="AI30" s="124">
        <v>29</v>
      </c>
      <c r="AJ30" s="409" t="s">
        <v>289</v>
      </c>
      <c r="AK30" s="414"/>
      <c r="AL30" s="164"/>
      <c r="AM30" s="412"/>
      <c r="AN30" s="124">
        <v>29</v>
      </c>
      <c r="AO30" s="409" t="s">
        <v>290</v>
      </c>
      <c r="AP30" s="414"/>
      <c r="AQ30" s="412"/>
      <c r="AR30" s="124">
        <v>29</v>
      </c>
      <c r="AS30" s="409" t="s">
        <v>291</v>
      </c>
      <c r="AT30" s="414"/>
      <c r="AU30" s="412"/>
      <c r="AV30" s="124">
        <v>29</v>
      </c>
      <c r="AW30" s="409" t="s">
        <v>292</v>
      </c>
      <c r="AX30" s="414"/>
      <c r="AY30" s="412"/>
      <c r="AZ30" s="124">
        <v>29</v>
      </c>
      <c r="BA30" s="409" t="s">
        <v>293</v>
      </c>
      <c r="BB30" s="414"/>
      <c r="BC30" s="164"/>
      <c r="BD30" s="412"/>
      <c r="BE30" s="124">
        <v>29</v>
      </c>
      <c r="BF30" s="409" t="s">
        <v>294</v>
      </c>
      <c r="BG30" s="414"/>
      <c r="BH30" s="164"/>
      <c r="BI30" s="164"/>
      <c r="BJ30" s="187"/>
      <c r="BK30" s="124">
        <v>29</v>
      </c>
      <c r="BL30" s="164"/>
      <c r="BM30" s="414"/>
      <c r="BN30" s="164"/>
    </row>
    <row r="31" spans="1:66" x14ac:dyDescent="0.3">
      <c r="A31" s="164"/>
      <c r="B31" s="164"/>
      <c r="C31" s="164"/>
      <c r="D31" s="164"/>
      <c r="E31" s="143">
        <v>28</v>
      </c>
      <c r="F31" s="421"/>
      <c r="G31" s="143">
        <v>28</v>
      </c>
      <c r="H31" s="421"/>
      <c r="I31" s="143">
        <v>28</v>
      </c>
      <c r="J31" s="421"/>
      <c r="K31" s="143">
        <v>28</v>
      </c>
      <c r="L31" s="421"/>
      <c r="M31" s="164"/>
      <c r="N31" s="164"/>
      <c r="O31" s="164"/>
      <c r="P31" s="164"/>
      <c r="Q31" s="143">
        <v>28</v>
      </c>
      <c r="R31" s="422"/>
      <c r="S31" s="164"/>
      <c r="T31" s="143">
        <v>28</v>
      </c>
      <c r="U31" s="189" t="s">
        <v>245</v>
      </c>
      <c r="V31" s="164"/>
      <c r="W31" s="164"/>
      <c r="X31" s="412"/>
      <c r="Y31" s="124">
        <v>28</v>
      </c>
      <c r="Z31" s="410"/>
      <c r="AA31" s="414"/>
      <c r="AB31" s="177"/>
      <c r="AC31" s="412"/>
      <c r="AD31" s="124">
        <v>28</v>
      </c>
      <c r="AE31" s="410"/>
      <c r="AF31" s="414"/>
      <c r="AG31" s="177"/>
      <c r="AH31" s="412"/>
      <c r="AI31" s="124">
        <v>28</v>
      </c>
      <c r="AJ31" s="410"/>
      <c r="AK31" s="414"/>
      <c r="AL31" s="164"/>
      <c r="AM31" s="412"/>
      <c r="AN31" s="124">
        <v>28</v>
      </c>
      <c r="AO31" s="410"/>
      <c r="AP31" s="414"/>
      <c r="AQ31" s="412"/>
      <c r="AR31" s="124">
        <v>28</v>
      </c>
      <c r="AS31" s="410"/>
      <c r="AT31" s="414"/>
      <c r="AU31" s="412"/>
      <c r="AV31" s="124">
        <v>28</v>
      </c>
      <c r="AW31" s="410"/>
      <c r="AX31" s="414"/>
      <c r="AY31" s="412"/>
      <c r="AZ31" s="124">
        <v>28</v>
      </c>
      <c r="BA31" s="410"/>
      <c r="BB31" s="414"/>
      <c r="BC31" s="164"/>
      <c r="BD31" s="412"/>
      <c r="BE31" s="124">
        <v>28</v>
      </c>
      <c r="BF31" s="410"/>
      <c r="BG31" s="414"/>
      <c r="BH31" s="164"/>
      <c r="BI31" s="164"/>
      <c r="BJ31" s="187"/>
      <c r="BK31" s="124">
        <v>28</v>
      </c>
      <c r="BL31" s="164"/>
      <c r="BM31" s="414"/>
      <c r="BN31" s="164"/>
    </row>
    <row r="32" spans="1:66" x14ac:dyDescent="0.3">
      <c r="A32" s="164"/>
      <c r="B32" s="164"/>
      <c r="C32" s="164"/>
      <c r="D32" s="164"/>
      <c r="E32" s="143">
        <v>27</v>
      </c>
      <c r="F32" s="182"/>
      <c r="G32" s="143">
        <v>27</v>
      </c>
      <c r="H32" s="182"/>
      <c r="I32" s="143">
        <v>27</v>
      </c>
      <c r="J32" s="182"/>
      <c r="K32" s="143">
        <v>27</v>
      </c>
      <c r="L32" s="183"/>
      <c r="M32" s="164"/>
      <c r="N32" s="164"/>
      <c r="O32" s="164"/>
      <c r="P32" s="164"/>
      <c r="Q32" s="143">
        <v>27</v>
      </c>
      <c r="R32" s="164"/>
      <c r="S32" s="164"/>
      <c r="T32" s="143">
        <v>27</v>
      </c>
      <c r="U32" s="189" t="s">
        <v>245</v>
      </c>
      <c r="V32" s="164"/>
      <c r="W32" s="164"/>
      <c r="X32" s="412"/>
      <c r="Y32" s="124">
        <v>27</v>
      </c>
      <c r="Z32" s="182"/>
      <c r="AA32" s="414"/>
      <c r="AB32" s="177"/>
      <c r="AC32" s="412"/>
      <c r="AD32" s="124">
        <v>27</v>
      </c>
      <c r="AE32" s="182"/>
      <c r="AF32" s="414"/>
      <c r="AG32" s="177"/>
      <c r="AH32" s="412"/>
      <c r="AI32" s="124">
        <v>27</v>
      </c>
      <c r="AJ32" s="182"/>
      <c r="AK32" s="414"/>
      <c r="AL32" s="164"/>
      <c r="AM32" s="412"/>
      <c r="AN32" s="124">
        <v>27</v>
      </c>
      <c r="AO32" s="196"/>
      <c r="AP32" s="414"/>
      <c r="AQ32" s="412"/>
      <c r="AR32" s="124">
        <v>27</v>
      </c>
      <c r="AS32" s="196"/>
      <c r="AT32" s="414"/>
      <c r="AU32" s="412"/>
      <c r="AV32" s="124">
        <v>27</v>
      </c>
      <c r="AW32" s="196"/>
      <c r="AX32" s="414"/>
      <c r="AY32" s="412"/>
      <c r="AZ32" s="124">
        <v>27</v>
      </c>
      <c r="BA32" s="196"/>
      <c r="BB32" s="414"/>
      <c r="BC32" s="164"/>
      <c r="BD32" s="412"/>
      <c r="BE32" s="124">
        <v>27</v>
      </c>
      <c r="BF32" s="196"/>
      <c r="BG32" s="414"/>
      <c r="BH32" s="164"/>
      <c r="BI32" s="164"/>
      <c r="BJ32" s="187"/>
      <c r="BK32" s="124">
        <v>27</v>
      </c>
      <c r="BL32" s="164"/>
      <c r="BM32" s="414"/>
      <c r="BN32" s="164"/>
    </row>
    <row r="33" spans="1:66" x14ac:dyDescent="0.3">
      <c r="A33" s="164"/>
      <c r="B33" s="164"/>
      <c r="C33" s="164"/>
      <c r="D33" s="164"/>
      <c r="E33" s="143">
        <v>26</v>
      </c>
      <c r="F33" s="188" t="s">
        <v>243</v>
      </c>
      <c r="G33" s="143">
        <v>26</v>
      </c>
      <c r="H33" s="188" t="s">
        <v>243</v>
      </c>
      <c r="I33" s="143">
        <v>26</v>
      </c>
      <c r="J33" s="188" t="s">
        <v>243</v>
      </c>
      <c r="K33" s="143">
        <v>26</v>
      </c>
      <c r="L33" s="189" t="s">
        <v>243</v>
      </c>
      <c r="M33" s="164"/>
      <c r="N33" s="164"/>
      <c r="O33" s="164"/>
      <c r="P33" s="164"/>
      <c r="Q33" s="143">
        <v>26</v>
      </c>
      <c r="R33" s="189" t="s">
        <v>243</v>
      </c>
      <c r="S33" s="164"/>
      <c r="T33" s="143">
        <v>26</v>
      </c>
      <c r="U33" s="189" t="s">
        <v>245</v>
      </c>
      <c r="V33" s="164"/>
      <c r="W33" s="164"/>
      <c r="X33" s="412"/>
      <c r="Y33" s="124">
        <v>26</v>
      </c>
      <c r="Z33" s="409" t="s">
        <v>247</v>
      </c>
      <c r="AA33" s="414"/>
      <c r="AB33" s="177"/>
      <c r="AC33" s="412"/>
      <c r="AD33" s="124">
        <v>26</v>
      </c>
      <c r="AE33" s="409" t="s">
        <v>247</v>
      </c>
      <c r="AF33" s="414"/>
      <c r="AG33" s="177"/>
      <c r="AH33" s="412"/>
      <c r="AI33" s="124">
        <v>26</v>
      </c>
      <c r="AJ33" s="409" t="s">
        <v>295</v>
      </c>
      <c r="AK33" s="414"/>
      <c r="AL33" s="164"/>
      <c r="AM33" s="412"/>
      <c r="AN33" s="124">
        <v>26</v>
      </c>
      <c r="AO33" s="409" t="s">
        <v>296</v>
      </c>
      <c r="AP33" s="414"/>
      <c r="AQ33" s="412"/>
      <c r="AR33" s="124">
        <v>26</v>
      </c>
      <c r="AS33" s="409" t="s">
        <v>297</v>
      </c>
      <c r="AT33" s="414"/>
      <c r="AU33" s="412"/>
      <c r="AV33" s="124">
        <v>26</v>
      </c>
      <c r="AW33" s="409" t="s">
        <v>298</v>
      </c>
      <c r="AX33" s="414"/>
      <c r="AY33" s="412"/>
      <c r="AZ33" s="124">
        <v>26</v>
      </c>
      <c r="BA33" s="409" t="s">
        <v>299</v>
      </c>
      <c r="BB33" s="414"/>
      <c r="BC33" s="164"/>
      <c r="BD33" s="412"/>
      <c r="BE33" s="124">
        <v>26</v>
      </c>
      <c r="BF33" s="409" t="s">
        <v>300</v>
      </c>
      <c r="BG33" s="414"/>
      <c r="BH33" s="164"/>
      <c r="BI33" s="164"/>
      <c r="BJ33" s="187"/>
      <c r="BK33" s="124">
        <v>26</v>
      </c>
      <c r="BL33" s="164"/>
      <c r="BM33" s="414"/>
      <c r="BN33" s="164"/>
    </row>
    <row r="34" spans="1:66" x14ac:dyDescent="0.3">
      <c r="A34" s="164"/>
      <c r="B34" s="164"/>
      <c r="C34" s="164"/>
      <c r="D34" s="164"/>
      <c r="E34" s="143">
        <v>25</v>
      </c>
      <c r="F34" s="188" t="s">
        <v>245</v>
      </c>
      <c r="G34" s="143">
        <v>25</v>
      </c>
      <c r="H34" s="188" t="s">
        <v>245</v>
      </c>
      <c r="I34" s="143">
        <v>25</v>
      </c>
      <c r="J34" s="188" t="s">
        <v>245</v>
      </c>
      <c r="K34" s="143">
        <v>25</v>
      </c>
      <c r="L34" s="189" t="s">
        <v>245</v>
      </c>
      <c r="M34" s="164"/>
      <c r="N34" s="164"/>
      <c r="O34" s="164"/>
      <c r="P34" s="164"/>
      <c r="Q34" s="143">
        <v>25</v>
      </c>
      <c r="R34" s="189" t="s">
        <v>245</v>
      </c>
      <c r="S34" s="164"/>
      <c r="T34" s="143">
        <v>25</v>
      </c>
      <c r="U34" s="197"/>
      <c r="V34" s="164"/>
      <c r="W34" s="164"/>
      <c r="X34" s="412"/>
      <c r="Y34" s="124">
        <v>25</v>
      </c>
      <c r="Z34" s="410"/>
      <c r="AA34" s="414"/>
      <c r="AB34" s="177"/>
      <c r="AC34" s="412"/>
      <c r="AD34" s="124">
        <v>25</v>
      </c>
      <c r="AE34" s="410"/>
      <c r="AF34" s="414"/>
      <c r="AG34" s="177"/>
      <c r="AH34" s="412"/>
      <c r="AI34" s="124">
        <v>25</v>
      </c>
      <c r="AJ34" s="410"/>
      <c r="AK34" s="414"/>
      <c r="AL34" s="164"/>
      <c r="AM34" s="412"/>
      <c r="AN34" s="124">
        <v>25</v>
      </c>
      <c r="AO34" s="410"/>
      <c r="AP34" s="414"/>
      <c r="AQ34" s="412"/>
      <c r="AR34" s="124">
        <v>25</v>
      </c>
      <c r="AS34" s="410"/>
      <c r="AT34" s="414"/>
      <c r="AU34" s="412"/>
      <c r="AV34" s="124">
        <v>25</v>
      </c>
      <c r="AW34" s="410"/>
      <c r="AX34" s="414"/>
      <c r="AY34" s="412"/>
      <c r="AZ34" s="124">
        <v>25</v>
      </c>
      <c r="BA34" s="410"/>
      <c r="BB34" s="414"/>
      <c r="BC34" s="164"/>
      <c r="BD34" s="412"/>
      <c r="BE34" s="124">
        <v>25</v>
      </c>
      <c r="BF34" s="410"/>
      <c r="BG34" s="414"/>
      <c r="BH34" s="164"/>
      <c r="BI34" s="164"/>
      <c r="BJ34" s="187"/>
      <c r="BK34" s="124">
        <v>25</v>
      </c>
      <c r="BL34" s="164"/>
      <c r="BM34" s="414"/>
      <c r="BN34" s="164"/>
    </row>
    <row r="35" spans="1:66" x14ac:dyDescent="0.3">
      <c r="A35" s="164"/>
      <c r="B35" s="164"/>
      <c r="C35" s="164"/>
      <c r="D35" s="164"/>
      <c r="E35" s="143">
        <v>24</v>
      </c>
      <c r="F35" s="188" t="s">
        <v>245</v>
      </c>
      <c r="G35" s="143">
        <v>24</v>
      </c>
      <c r="H35" s="188" t="s">
        <v>245</v>
      </c>
      <c r="I35" s="143">
        <v>24</v>
      </c>
      <c r="J35" s="188" t="s">
        <v>245</v>
      </c>
      <c r="K35" s="143">
        <v>24</v>
      </c>
      <c r="L35" s="189" t="s">
        <v>245</v>
      </c>
      <c r="M35" s="164"/>
      <c r="N35" s="164"/>
      <c r="O35" s="164"/>
      <c r="P35" s="164"/>
      <c r="Q35" s="143">
        <v>24</v>
      </c>
      <c r="R35" s="189" t="s">
        <v>245</v>
      </c>
      <c r="S35" s="164"/>
      <c r="T35" s="143">
        <v>24</v>
      </c>
      <c r="U35" s="197"/>
      <c r="V35" s="164"/>
      <c r="W35" s="164"/>
      <c r="X35" s="412"/>
      <c r="Y35" s="124">
        <v>24</v>
      </c>
      <c r="Z35" s="182"/>
      <c r="AA35" s="414"/>
      <c r="AB35" s="177"/>
      <c r="AC35" s="412"/>
      <c r="AD35" s="124">
        <v>24</v>
      </c>
      <c r="AE35" s="182"/>
      <c r="AF35" s="414"/>
      <c r="AG35" s="177"/>
      <c r="AH35" s="412"/>
      <c r="AI35" s="124">
        <v>24</v>
      </c>
      <c r="AJ35" s="182"/>
      <c r="AK35" s="414"/>
      <c r="AL35" s="164"/>
      <c r="AM35" s="412"/>
      <c r="AN35" s="124">
        <v>24</v>
      </c>
      <c r="AO35" s="196"/>
      <c r="AP35" s="414"/>
      <c r="AQ35" s="412"/>
      <c r="AR35" s="124">
        <v>24</v>
      </c>
      <c r="AS35" s="196"/>
      <c r="AT35" s="414"/>
      <c r="AU35" s="412"/>
      <c r="AV35" s="124">
        <v>24</v>
      </c>
      <c r="AW35" s="196"/>
      <c r="AX35" s="414"/>
      <c r="AY35" s="412"/>
      <c r="AZ35" s="124">
        <v>24</v>
      </c>
      <c r="BA35" s="196"/>
      <c r="BB35" s="414"/>
      <c r="BC35" s="164"/>
      <c r="BD35" s="412"/>
      <c r="BE35" s="124">
        <v>24</v>
      </c>
      <c r="BF35" s="196"/>
      <c r="BG35" s="414"/>
      <c r="BH35" s="164"/>
      <c r="BI35" s="164"/>
      <c r="BJ35" s="187"/>
      <c r="BK35" s="124">
        <v>24</v>
      </c>
      <c r="BL35" s="164"/>
      <c r="BM35" s="414"/>
      <c r="BN35" s="164"/>
    </row>
    <row r="36" spans="1:66" x14ac:dyDescent="0.3">
      <c r="A36" s="164"/>
      <c r="B36" s="164"/>
      <c r="C36" s="164"/>
      <c r="D36" s="164"/>
      <c r="E36" s="143">
        <v>23</v>
      </c>
      <c r="F36" s="188" t="s">
        <v>245</v>
      </c>
      <c r="G36" s="143">
        <v>23</v>
      </c>
      <c r="H36" s="188" t="s">
        <v>245</v>
      </c>
      <c r="I36" s="143">
        <v>23</v>
      </c>
      <c r="J36" s="188" t="s">
        <v>245</v>
      </c>
      <c r="K36" s="143">
        <v>23</v>
      </c>
      <c r="L36" s="189" t="s">
        <v>245</v>
      </c>
      <c r="M36" s="164"/>
      <c r="N36" s="164"/>
      <c r="O36" s="164"/>
      <c r="P36" s="164"/>
      <c r="Q36" s="143">
        <v>23</v>
      </c>
      <c r="R36" s="189" t="s">
        <v>245</v>
      </c>
      <c r="S36" s="164"/>
      <c r="T36" s="143">
        <v>23</v>
      </c>
      <c r="U36" s="196"/>
      <c r="V36" s="164"/>
      <c r="W36" s="164"/>
      <c r="X36" s="412"/>
      <c r="Y36" s="124">
        <v>23</v>
      </c>
      <c r="Z36" s="409" t="s">
        <v>301</v>
      </c>
      <c r="AA36" s="414"/>
      <c r="AB36" s="177"/>
      <c r="AC36" s="412"/>
      <c r="AD36" s="124">
        <v>23</v>
      </c>
      <c r="AE36" s="409" t="s">
        <v>301</v>
      </c>
      <c r="AF36" s="414"/>
      <c r="AG36" s="177"/>
      <c r="AH36" s="412"/>
      <c r="AI36" s="124">
        <v>23</v>
      </c>
      <c r="AJ36" s="409" t="s">
        <v>302</v>
      </c>
      <c r="AK36" s="414"/>
      <c r="AL36" s="164"/>
      <c r="AM36" s="412"/>
      <c r="AN36" s="124">
        <v>23</v>
      </c>
      <c r="AO36" s="409" t="s">
        <v>303</v>
      </c>
      <c r="AP36" s="414"/>
      <c r="AQ36" s="412"/>
      <c r="AR36" s="124">
        <v>23</v>
      </c>
      <c r="AS36" s="409" t="s">
        <v>304</v>
      </c>
      <c r="AT36" s="414"/>
      <c r="AU36" s="412"/>
      <c r="AV36" s="124">
        <v>23</v>
      </c>
      <c r="AW36" s="409" t="s">
        <v>305</v>
      </c>
      <c r="AX36" s="414"/>
      <c r="AY36" s="412"/>
      <c r="AZ36" s="124">
        <v>23</v>
      </c>
      <c r="BA36" s="409" t="s">
        <v>306</v>
      </c>
      <c r="BB36" s="414"/>
      <c r="BC36" s="164"/>
      <c r="BD36" s="412"/>
      <c r="BE36" s="124">
        <v>23</v>
      </c>
      <c r="BF36" s="409" t="s">
        <v>307</v>
      </c>
      <c r="BG36" s="414"/>
      <c r="BH36" s="164"/>
      <c r="BI36" s="164"/>
      <c r="BJ36" s="187"/>
      <c r="BK36" s="124">
        <v>23</v>
      </c>
      <c r="BL36" s="164"/>
      <c r="BM36" s="414"/>
      <c r="BN36" s="164"/>
    </row>
    <row r="37" spans="1:66" x14ac:dyDescent="0.3">
      <c r="A37" s="164"/>
      <c r="B37" s="164"/>
      <c r="C37" s="164"/>
      <c r="D37" s="164"/>
      <c r="E37" s="143">
        <v>22</v>
      </c>
      <c r="F37" s="420" t="s">
        <v>308</v>
      </c>
      <c r="G37" s="143">
        <v>22</v>
      </c>
      <c r="H37" s="420" t="s">
        <v>309</v>
      </c>
      <c r="I37" s="143">
        <v>22</v>
      </c>
      <c r="J37" s="420" t="s">
        <v>310</v>
      </c>
      <c r="K37" s="143">
        <v>22</v>
      </c>
      <c r="L37" s="420" t="s">
        <v>311</v>
      </c>
      <c r="M37" s="164"/>
      <c r="N37" s="164"/>
      <c r="O37" s="164"/>
      <c r="P37" s="164"/>
      <c r="Q37" s="143">
        <v>22</v>
      </c>
      <c r="R37" s="420" t="s">
        <v>312</v>
      </c>
      <c r="S37" s="164"/>
      <c r="T37" s="143">
        <v>22</v>
      </c>
      <c r="U37" s="420" t="s">
        <v>312</v>
      </c>
      <c r="V37" s="164"/>
      <c r="W37" s="164"/>
      <c r="X37" s="412"/>
      <c r="Y37" s="124">
        <v>22</v>
      </c>
      <c r="Z37" s="410"/>
      <c r="AA37" s="414"/>
      <c r="AB37" s="177"/>
      <c r="AC37" s="412"/>
      <c r="AD37" s="124">
        <v>22</v>
      </c>
      <c r="AE37" s="410"/>
      <c r="AF37" s="414"/>
      <c r="AG37" s="177"/>
      <c r="AH37" s="412"/>
      <c r="AI37" s="124">
        <v>22</v>
      </c>
      <c r="AJ37" s="410"/>
      <c r="AK37" s="414"/>
      <c r="AL37" s="164"/>
      <c r="AM37" s="412"/>
      <c r="AN37" s="124">
        <v>22</v>
      </c>
      <c r="AO37" s="410"/>
      <c r="AP37" s="414"/>
      <c r="AQ37" s="412"/>
      <c r="AR37" s="124">
        <v>22</v>
      </c>
      <c r="AS37" s="410"/>
      <c r="AT37" s="414"/>
      <c r="AU37" s="412"/>
      <c r="AV37" s="124">
        <v>22</v>
      </c>
      <c r="AW37" s="410"/>
      <c r="AX37" s="414"/>
      <c r="AY37" s="412"/>
      <c r="AZ37" s="124">
        <v>22</v>
      </c>
      <c r="BA37" s="410"/>
      <c r="BB37" s="414"/>
      <c r="BC37" s="164"/>
      <c r="BD37" s="412"/>
      <c r="BE37" s="124">
        <v>22</v>
      </c>
      <c r="BF37" s="410"/>
      <c r="BG37" s="414"/>
      <c r="BH37" s="164"/>
      <c r="BI37" s="164"/>
      <c r="BJ37" s="187"/>
      <c r="BK37" s="124">
        <v>22</v>
      </c>
      <c r="BL37" s="164"/>
      <c r="BM37" s="414"/>
      <c r="BN37" s="164"/>
    </row>
    <row r="38" spans="1:66" x14ac:dyDescent="0.3">
      <c r="A38" s="164"/>
      <c r="B38" s="164"/>
      <c r="C38" s="164"/>
      <c r="D38" s="164"/>
      <c r="E38" s="143">
        <v>21</v>
      </c>
      <c r="F38" s="421"/>
      <c r="G38" s="143">
        <v>21</v>
      </c>
      <c r="H38" s="421"/>
      <c r="I38" s="143">
        <v>21</v>
      </c>
      <c r="J38" s="421"/>
      <c r="K38" s="143">
        <v>21</v>
      </c>
      <c r="L38" s="421"/>
      <c r="M38" s="164"/>
      <c r="N38" s="164"/>
      <c r="O38" s="164"/>
      <c r="P38" s="164"/>
      <c r="Q38" s="143">
        <v>21</v>
      </c>
      <c r="R38" s="421"/>
      <c r="S38" s="164"/>
      <c r="T38" s="143">
        <v>21</v>
      </c>
      <c r="U38" s="421"/>
      <c r="V38" s="164"/>
      <c r="W38" s="164"/>
      <c r="X38" s="412"/>
      <c r="Y38" s="124">
        <v>21</v>
      </c>
      <c r="Z38" s="182"/>
      <c r="AA38" s="414"/>
      <c r="AB38" s="177"/>
      <c r="AC38" s="412"/>
      <c r="AD38" s="124">
        <v>21</v>
      </c>
      <c r="AE38" s="182"/>
      <c r="AF38" s="414"/>
      <c r="AG38" s="177"/>
      <c r="AH38" s="412"/>
      <c r="AI38" s="124">
        <v>21</v>
      </c>
      <c r="AJ38" s="182"/>
      <c r="AK38" s="414"/>
      <c r="AL38" s="164"/>
      <c r="AM38" s="412"/>
      <c r="AN38" s="124">
        <v>21</v>
      </c>
      <c r="AO38" s="182"/>
      <c r="AP38" s="414"/>
      <c r="AQ38" s="412"/>
      <c r="AR38" s="124">
        <v>21</v>
      </c>
      <c r="AS38" s="182"/>
      <c r="AT38" s="414"/>
      <c r="AU38" s="412"/>
      <c r="AV38" s="124">
        <v>21</v>
      </c>
      <c r="AW38" s="182"/>
      <c r="AX38" s="414"/>
      <c r="AY38" s="412"/>
      <c r="AZ38" s="124">
        <v>21</v>
      </c>
      <c r="BA38" s="182"/>
      <c r="BB38" s="414"/>
      <c r="BC38" s="164"/>
      <c r="BD38" s="412"/>
      <c r="BE38" s="124">
        <v>21</v>
      </c>
      <c r="BF38" s="182"/>
      <c r="BG38" s="414"/>
      <c r="BH38" s="164"/>
      <c r="BI38" s="164"/>
      <c r="BJ38" s="187"/>
      <c r="BK38" s="124">
        <v>21</v>
      </c>
      <c r="BL38" s="182"/>
      <c r="BM38" s="414"/>
      <c r="BN38" s="164"/>
    </row>
    <row r="39" spans="1:66" x14ac:dyDescent="0.3">
      <c r="A39" s="164"/>
      <c r="B39" s="164"/>
      <c r="C39" s="164"/>
      <c r="D39" s="164"/>
      <c r="E39" s="143">
        <v>20</v>
      </c>
      <c r="F39" s="182"/>
      <c r="G39" s="143">
        <v>20</v>
      </c>
      <c r="H39" s="182"/>
      <c r="I39" s="143">
        <v>20</v>
      </c>
      <c r="J39" s="182"/>
      <c r="K39" s="143">
        <v>20</v>
      </c>
      <c r="L39" s="183"/>
      <c r="M39" s="164"/>
      <c r="N39" s="164"/>
      <c r="O39" s="164"/>
      <c r="P39" s="164"/>
      <c r="Q39" s="143">
        <v>20</v>
      </c>
      <c r="R39" s="183"/>
      <c r="S39" s="164"/>
      <c r="T39" s="143">
        <v>20</v>
      </c>
      <c r="U39" s="183"/>
      <c r="V39" s="164"/>
      <c r="W39" s="164"/>
      <c r="X39" s="412"/>
      <c r="Y39" s="124">
        <v>20</v>
      </c>
      <c r="Z39" s="409" t="s">
        <v>313</v>
      </c>
      <c r="AA39" s="414"/>
      <c r="AB39" s="177"/>
      <c r="AC39" s="412"/>
      <c r="AD39" s="124">
        <v>20</v>
      </c>
      <c r="AE39" s="409" t="s">
        <v>313</v>
      </c>
      <c r="AF39" s="414"/>
      <c r="AG39" s="177"/>
      <c r="AH39" s="412"/>
      <c r="AI39" s="124">
        <v>20</v>
      </c>
      <c r="AJ39" s="409" t="s">
        <v>314</v>
      </c>
      <c r="AK39" s="414"/>
      <c r="AL39" s="164"/>
      <c r="AM39" s="412"/>
      <c r="AN39" s="124">
        <v>20</v>
      </c>
      <c r="AO39" s="409" t="s">
        <v>315</v>
      </c>
      <c r="AP39" s="414"/>
      <c r="AQ39" s="412"/>
      <c r="AR39" s="124">
        <v>20</v>
      </c>
      <c r="AS39" s="409" t="s">
        <v>316</v>
      </c>
      <c r="AT39" s="414"/>
      <c r="AU39" s="412"/>
      <c r="AV39" s="124">
        <v>20</v>
      </c>
      <c r="AW39" s="409" t="s">
        <v>317</v>
      </c>
      <c r="AX39" s="414"/>
      <c r="AY39" s="412"/>
      <c r="AZ39" s="124">
        <v>20</v>
      </c>
      <c r="BA39" s="409" t="s">
        <v>318</v>
      </c>
      <c r="BB39" s="414"/>
      <c r="BC39" s="164"/>
      <c r="BD39" s="412"/>
      <c r="BE39" s="124">
        <v>20</v>
      </c>
      <c r="BF39" s="409" t="s">
        <v>319</v>
      </c>
      <c r="BG39" s="414"/>
      <c r="BH39" s="164"/>
      <c r="BI39" s="164"/>
      <c r="BJ39" s="187"/>
      <c r="BK39" s="124">
        <v>20</v>
      </c>
      <c r="BL39" s="198" t="s">
        <v>320</v>
      </c>
      <c r="BM39" s="414"/>
      <c r="BN39" s="164"/>
    </row>
    <row r="40" spans="1:66" x14ac:dyDescent="0.3">
      <c r="A40" s="164"/>
      <c r="B40" s="164"/>
      <c r="C40" s="164"/>
      <c r="D40" s="164"/>
      <c r="E40" s="143">
        <v>19</v>
      </c>
      <c r="F40" s="420" t="s">
        <v>321</v>
      </c>
      <c r="G40" s="143">
        <v>19</v>
      </c>
      <c r="H40" s="420" t="s">
        <v>322</v>
      </c>
      <c r="I40" s="143">
        <v>19</v>
      </c>
      <c r="J40" s="420" t="s">
        <v>323</v>
      </c>
      <c r="K40" s="143">
        <v>19</v>
      </c>
      <c r="L40" s="420" t="s">
        <v>324</v>
      </c>
      <c r="M40" s="164"/>
      <c r="N40" s="164"/>
      <c r="O40" s="164"/>
      <c r="P40" s="164"/>
      <c r="Q40" s="143">
        <v>19</v>
      </c>
      <c r="R40" s="420" t="s">
        <v>325</v>
      </c>
      <c r="S40" s="164"/>
      <c r="T40" s="143">
        <v>19</v>
      </c>
      <c r="U40" s="420" t="s">
        <v>325</v>
      </c>
      <c r="V40" s="164"/>
      <c r="W40" s="164"/>
      <c r="X40" s="412"/>
      <c r="Y40" s="124">
        <v>19</v>
      </c>
      <c r="Z40" s="410"/>
      <c r="AA40" s="414"/>
      <c r="AB40" s="177"/>
      <c r="AC40" s="412"/>
      <c r="AD40" s="124">
        <v>19</v>
      </c>
      <c r="AE40" s="410"/>
      <c r="AF40" s="414"/>
      <c r="AG40" s="177"/>
      <c r="AH40" s="412"/>
      <c r="AI40" s="124">
        <v>19</v>
      </c>
      <c r="AJ40" s="410"/>
      <c r="AK40" s="414"/>
      <c r="AL40" s="164"/>
      <c r="AM40" s="412"/>
      <c r="AN40" s="124">
        <v>19</v>
      </c>
      <c r="AO40" s="410"/>
      <c r="AP40" s="414"/>
      <c r="AQ40" s="412"/>
      <c r="AR40" s="124">
        <v>19</v>
      </c>
      <c r="AS40" s="410"/>
      <c r="AT40" s="414"/>
      <c r="AU40" s="412"/>
      <c r="AV40" s="124">
        <v>19</v>
      </c>
      <c r="AW40" s="410"/>
      <c r="AX40" s="414"/>
      <c r="AY40" s="412"/>
      <c r="AZ40" s="124">
        <v>19</v>
      </c>
      <c r="BA40" s="410"/>
      <c r="BB40" s="414"/>
      <c r="BC40" s="164"/>
      <c r="BD40" s="412"/>
      <c r="BE40" s="124">
        <v>19</v>
      </c>
      <c r="BF40" s="410"/>
      <c r="BG40" s="414"/>
      <c r="BH40" s="164"/>
      <c r="BI40" s="164"/>
      <c r="BJ40" s="187"/>
      <c r="BK40" s="124">
        <v>19</v>
      </c>
      <c r="BL40" s="198" t="s">
        <v>326</v>
      </c>
      <c r="BM40" s="414"/>
      <c r="BN40" s="164"/>
    </row>
    <row r="41" spans="1:66" x14ac:dyDescent="0.3">
      <c r="A41" s="164"/>
      <c r="B41" s="164"/>
      <c r="C41" s="164"/>
      <c r="D41" s="164"/>
      <c r="E41" s="143">
        <v>18</v>
      </c>
      <c r="F41" s="421"/>
      <c r="G41" s="143">
        <v>18</v>
      </c>
      <c r="H41" s="421"/>
      <c r="I41" s="143">
        <v>18</v>
      </c>
      <c r="J41" s="421"/>
      <c r="K41" s="143">
        <v>18</v>
      </c>
      <c r="L41" s="421"/>
      <c r="M41" s="164"/>
      <c r="N41" s="164"/>
      <c r="O41" s="164"/>
      <c r="P41" s="164"/>
      <c r="Q41" s="143">
        <v>18</v>
      </c>
      <c r="R41" s="421"/>
      <c r="S41" s="164"/>
      <c r="T41" s="143">
        <v>18</v>
      </c>
      <c r="U41" s="421"/>
      <c r="V41" s="164"/>
      <c r="W41" s="164"/>
      <c r="X41" s="412"/>
      <c r="Y41" s="124">
        <v>18</v>
      </c>
      <c r="Z41" s="182"/>
      <c r="AA41" s="414"/>
      <c r="AB41" s="177"/>
      <c r="AC41" s="412"/>
      <c r="AD41" s="124">
        <v>18</v>
      </c>
      <c r="AE41" s="182"/>
      <c r="AF41" s="414"/>
      <c r="AG41" s="177"/>
      <c r="AH41" s="412"/>
      <c r="AI41" s="124">
        <v>18</v>
      </c>
      <c r="AJ41" s="182"/>
      <c r="AK41" s="414"/>
      <c r="AL41" s="164"/>
      <c r="AM41" s="412"/>
      <c r="AN41" s="124">
        <v>18</v>
      </c>
      <c r="AO41" s="182"/>
      <c r="AP41" s="414"/>
      <c r="AQ41" s="412"/>
      <c r="AR41" s="124">
        <v>18</v>
      </c>
      <c r="AS41" s="182"/>
      <c r="AT41" s="414"/>
      <c r="AU41" s="412"/>
      <c r="AV41" s="124">
        <v>18</v>
      </c>
      <c r="AW41" s="182"/>
      <c r="AX41" s="414"/>
      <c r="AY41" s="412"/>
      <c r="AZ41" s="124">
        <v>18</v>
      </c>
      <c r="BA41" s="182"/>
      <c r="BB41" s="414"/>
      <c r="BC41" s="164"/>
      <c r="BD41" s="412"/>
      <c r="BE41" s="124">
        <v>18</v>
      </c>
      <c r="BF41" s="182"/>
      <c r="BG41" s="414"/>
      <c r="BH41" s="164"/>
      <c r="BI41" s="164"/>
      <c r="BJ41" s="187"/>
      <c r="BK41" s="124">
        <v>18</v>
      </c>
      <c r="BL41" s="198" t="s">
        <v>327</v>
      </c>
      <c r="BM41" s="414"/>
      <c r="BN41" s="164"/>
    </row>
    <row r="42" spans="1:66" x14ac:dyDescent="0.3">
      <c r="A42" s="164"/>
      <c r="B42" s="164"/>
      <c r="C42" s="164"/>
      <c r="D42" s="164"/>
      <c r="E42" s="143">
        <v>17</v>
      </c>
      <c r="F42" s="182"/>
      <c r="G42" s="143">
        <v>17</v>
      </c>
      <c r="H42" s="182"/>
      <c r="I42" s="143">
        <v>17</v>
      </c>
      <c r="J42" s="182"/>
      <c r="K42" s="143">
        <v>17</v>
      </c>
      <c r="L42" s="183"/>
      <c r="M42" s="164"/>
      <c r="N42" s="164"/>
      <c r="O42" s="164"/>
      <c r="P42" s="164"/>
      <c r="Q42" s="143">
        <v>17</v>
      </c>
      <c r="R42" s="183"/>
      <c r="S42" s="164"/>
      <c r="T42" s="143">
        <v>17</v>
      </c>
      <c r="U42" s="183"/>
      <c r="V42" s="164"/>
      <c r="W42" s="164"/>
      <c r="X42" s="412"/>
      <c r="Y42" s="124">
        <v>17</v>
      </c>
      <c r="Z42" s="409" t="s">
        <v>328</v>
      </c>
      <c r="AA42" s="414"/>
      <c r="AB42" s="177"/>
      <c r="AC42" s="412"/>
      <c r="AD42" s="124">
        <v>17</v>
      </c>
      <c r="AE42" s="409" t="s">
        <v>328</v>
      </c>
      <c r="AF42" s="414"/>
      <c r="AG42" s="177"/>
      <c r="AH42" s="412"/>
      <c r="AI42" s="124">
        <v>17</v>
      </c>
      <c r="AJ42" s="409" t="s">
        <v>329</v>
      </c>
      <c r="AK42" s="414"/>
      <c r="AL42" s="164"/>
      <c r="AM42" s="412"/>
      <c r="AN42" s="124">
        <v>17</v>
      </c>
      <c r="AO42" s="409" t="s">
        <v>330</v>
      </c>
      <c r="AP42" s="414"/>
      <c r="AQ42" s="412"/>
      <c r="AR42" s="124">
        <v>17</v>
      </c>
      <c r="AS42" s="409" t="s">
        <v>331</v>
      </c>
      <c r="AT42" s="414"/>
      <c r="AU42" s="412"/>
      <c r="AV42" s="124">
        <v>17</v>
      </c>
      <c r="AW42" s="409" t="s">
        <v>332</v>
      </c>
      <c r="AX42" s="414"/>
      <c r="AY42" s="412"/>
      <c r="AZ42" s="124">
        <v>17</v>
      </c>
      <c r="BA42" s="409" t="s">
        <v>333</v>
      </c>
      <c r="BB42" s="414"/>
      <c r="BC42" s="164"/>
      <c r="BD42" s="412"/>
      <c r="BE42" s="124">
        <v>17</v>
      </c>
      <c r="BF42" s="409" t="s">
        <v>334</v>
      </c>
      <c r="BG42" s="414"/>
      <c r="BH42" s="164"/>
      <c r="BI42" s="164"/>
      <c r="BJ42" s="187"/>
      <c r="BK42" s="124">
        <v>17</v>
      </c>
      <c r="BL42" s="198" t="s">
        <v>335</v>
      </c>
      <c r="BM42" s="414"/>
      <c r="BN42" s="164"/>
    </row>
    <row r="43" spans="1:66" x14ac:dyDescent="0.3">
      <c r="A43" s="164"/>
      <c r="B43" s="164"/>
      <c r="C43" s="164"/>
      <c r="D43" s="164"/>
      <c r="E43" s="143">
        <v>16</v>
      </c>
      <c r="F43" s="420" t="s">
        <v>336</v>
      </c>
      <c r="G43" s="143">
        <v>16</v>
      </c>
      <c r="H43" s="420" t="s">
        <v>337</v>
      </c>
      <c r="I43" s="143">
        <v>16</v>
      </c>
      <c r="J43" s="420" t="s">
        <v>338</v>
      </c>
      <c r="K43" s="143">
        <v>16</v>
      </c>
      <c r="L43" s="420" t="s">
        <v>339</v>
      </c>
      <c r="M43" s="164"/>
      <c r="N43" s="164"/>
      <c r="O43" s="164"/>
      <c r="P43" s="164"/>
      <c r="Q43" s="143">
        <v>16</v>
      </c>
      <c r="R43" s="420" t="s">
        <v>340</v>
      </c>
      <c r="S43" s="164"/>
      <c r="T43" s="143">
        <v>16</v>
      </c>
      <c r="U43" s="420" t="s">
        <v>340</v>
      </c>
      <c r="V43" s="164"/>
      <c r="W43" s="164"/>
      <c r="X43" s="412"/>
      <c r="Y43" s="124">
        <v>16</v>
      </c>
      <c r="Z43" s="410"/>
      <c r="AA43" s="414"/>
      <c r="AB43" s="177"/>
      <c r="AC43" s="412"/>
      <c r="AD43" s="124">
        <v>16</v>
      </c>
      <c r="AE43" s="410"/>
      <c r="AF43" s="414"/>
      <c r="AG43" s="177"/>
      <c r="AH43" s="412"/>
      <c r="AI43" s="124">
        <v>16</v>
      </c>
      <c r="AJ43" s="410"/>
      <c r="AK43" s="414"/>
      <c r="AL43" s="164"/>
      <c r="AM43" s="412"/>
      <c r="AN43" s="124">
        <v>16</v>
      </c>
      <c r="AO43" s="410"/>
      <c r="AP43" s="414"/>
      <c r="AQ43" s="412"/>
      <c r="AR43" s="124">
        <v>16</v>
      </c>
      <c r="AS43" s="410"/>
      <c r="AT43" s="414"/>
      <c r="AU43" s="412"/>
      <c r="AV43" s="124">
        <v>16</v>
      </c>
      <c r="AW43" s="410"/>
      <c r="AX43" s="414"/>
      <c r="AY43" s="412"/>
      <c r="AZ43" s="124">
        <v>16</v>
      </c>
      <c r="BA43" s="410"/>
      <c r="BB43" s="414"/>
      <c r="BC43" s="164"/>
      <c r="BD43" s="412"/>
      <c r="BE43" s="124">
        <v>16</v>
      </c>
      <c r="BF43" s="410"/>
      <c r="BG43" s="414"/>
      <c r="BH43" s="164"/>
      <c r="BI43" s="164"/>
      <c r="BJ43" s="187"/>
      <c r="BK43" s="124">
        <v>16</v>
      </c>
      <c r="BL43" s="198" t="s">
        <v>341</v>
      </c>
      <c r="BM43" s="414"/>
      <c r="BN43" s="164"/>
    </row>
    <row r="44" spans="1:66" x14ac:dyDescent="0.3">
      <c r="A44" s="164"/>
      <c r="B44" s="164"/>
      <c r="C44" s="164"/>
      <c r="D44" s="164"/>
      <c r="E44" s="143">
        <v>15</v>
      </c>
      <c r="F44" s="421"/>
      <c r="G44" s="143">
        <v>15</v>
      </c>
      <c r="H44" s="421"/>
      <c r="I44" s="143">
        <v>15</v>
      </c>
      <c r="J44" s="421"/>
      <c r="K44" s="143">
        <v>15</v>
      </c>
      <c r="L44" s="421"/>
      <c r="M44" s="164"/>
      <c r="N44" s="164"/>
      <c r="O44" s="164"/>
      <c r="P44" s="164"/>
      <c r="Q44" s="143">
        <v>15</v>
      </c>
      <c r="R44" s="421"/>
      <c r="S44" s="164"/>
      <c r="T44" s="143">
        <v>15</v>
      </c>
      <c r="U44" s="421"/>
      <c r="V44" s="164"/>
      <c r="W44" s="164"/>
      <c r="X44" s="412"/>
      <c r="Y44" s="124">
        <v>15</v>
      </c>
      <c r="Z44" s="182"/>
      <c r="AA44" s="414"/>
      <c r="AB44" s="177"/>
      <c r="AC44" s="412"/>
      <c r="AD44" s="124">
        <v>15</v>
      </c>
      <c r="AE44" s="182"/>
      <c r="AF44" s="414"/>
      <c r="AG44" s="177"/>
      <c r="AH44" s="412"/>
      <c r="AI44" s="124">
        <v>15</v>
      </c>
      <c r="AJ44" s="182"/>
      <c r="AK44" s="414"/>
      <c r="AL44" s="164"/>
      <c r="AM44" s="412"/>
      <c r="AN44" s="124">
        <v>15</v>
      </c>
      <c r="AO44" s="182"/>
      <c r="AP44" s="414"/>
      <c r="AQ44" s="412"/>
      <c r="AR44" s="124">
        <v>15</v>
      </c>
      <c r="AS44" s="182"/>
      <c r="AT44" s="414"/>
      <c r="AU44" s="412"/>
      <c r="AV44" s="124">
        <v>15</v>
      </c>
      <c r="AW44" s="182"/>
      <c r="AX44" s="414"/>
      <c r="AY44" s="412"/>
      <c r="AZ44" s="124">
        <v>15</v>
      </c>
      <c r="BA44" s="182"/>
      <c r="BB44" s="414"/>
      <c r="BC44" s="164"/>
      <c r="BD44" s="412"/>
      <c r="BE44" s="124">
        <v>15</v>
      </c>
      <c r="BF44" s="182"/>
      <c r="BG44" s="414"/>
      <c r="BH44" s="164"/>
      <c r="BI44" s="164"/>
      <c r="BJ44" s="187"/>
      <c r="BK44" s="124">
        <v>15</v>
      </c>
      <c r="BL44" s="198" t="s">
        <v>342</v>
      </c>
      <c r="BM44" s="414"/>
      <c r="BN44" s="164"/>
    </row>
    <row r="45" spans="1:66" x14ac:dyDescent="0.3">
      <c r="A45" s="164"/>
      <c r="B45" s="164"/>
      <c r="C45" s="164"/>
      <c r="D45" s="164"/>
      <c r="E45" s="143">
        <v>14</v>
      </c>
      <c r="F45" s="182"/>
      <c r="G45" s="143">
        <v>14</v>
      </c>
      <c r="H45" s="182"/>
      <c r="I45" s="143">
        <v>14</v>
      </c>
      <c r="J45" s="182"/>
      <c r="K45" s="143">
        <v>14</v>
      </c>
      <c r="L45" s="183"/>
      <c r="M45" s="164"/>
      <c r="N45" s="164"/>
      <c r="O45" s="164"/>
      <c r="P45" s="164"/>
      <c r="Q45" s="143">
        <v>14</v>
      </c>
      <c r="R45" s="183"/>
      <c r="S45" s="164"/>
      <c r="T45" s="143">
        <v>14</v>
      </c>
      <c r="U45" s="183"/>
      <c r="V45" s="164"/>
      <c r="W45" s="164"/>
      <c r="X45" s="412"/>
      <c r="Y45" s="124">
        <v>14</v>
      </c>
      <c r="Z45" s="409" t="s">
        <v>343</v>
      </c>
      <c r="AA45" s="414"/>
      <c r="AB45" s="177"/>
      <c r="AC45" s="412"/>
      <c r="AD45" s="124">
        <v>14</v>
      </c>
      <c r="AE45" s="409" t="s">
        <v>343</v>
      </c>
      <c r="AF45" s="414"/>
      <c r="AG45" s="177"/>
      <c r="AH45" s="412"/>
      <c r="AI45" s="124">
        <v>14</v>
      </c>
      <c r="AJ45" s="409" t="s">
        <v>344</v>
      </c>
      <c r="AK45" s="414"/>
      <c r="AL45" s="164"/>
      <c r="AM45" s="412"/>
      <c r="AN45" s="124">
        <v>14</v>
      </c>
      <c r="AO45" s="409" t="s">
        <v>345</v>
      </c>
      <c r="AP45" s="414"/>
      <c r="AQ45" s="412"/>
      <c r="AR45" s="124">
        <v>14</v>
      </c>
      <c r="AS45" s="409" t="s">
        <v>346</v>
      </c>
      <c r="AT45" s="414"/>
      <c r="AU45" s="412"/>
      <c r="AV45" s="124">
        <v>14</v>
      </c>
      <c r="AW45" s="409" t="s">
        <v>347</v>
      </c>
      <c r="AX45" s="414"/>
      <c r="AY45" s="412"/>
      <c r="AZ45" s="124">
        <v>14</v>
      </c>
      <c r="BA45" s="409" t="s">
        <v>348</v>
      </c>
      <c r="BB45" s="414"/>
      <c r="BC45" s="164"/>
      <c r="BD45" s="412"/>
      <c r="BE45" s="124">
        <v>14</v>
      </c>
      <c r="BF45" s="409" t="s">
        <v>349</v>
      </c>
      <c r="BG45" s="414"/>
      <c r="BH45" s="164"/>
      <c r="BI45" s="164"/>
      <c r="BJ45" s="187"/>
      <c r="BK45" s="124">
        <v>14</v>
      </c>
      <c r="BL45" s="198" t="s">
        <v>350</v>
      </c>
      <c r="BM45" s="414"/>
      <c r="BN45" s="164"/>
    </row>
    <row r="46" spans="1:66" x14ac:dyDescent="0.3">
      <c r="A46" s="164"/>
      <c r="B46" s="164"/>
      <c r="C46" s="164"/>
      <c r="D46" s="164"/>
      <c r="E46" s="143">
        <v>13</v>
      </c>
      <c r="F46" s="420" t="s">
        <v>351</v>
      </c>
      <c r="G46" s="143">
        <v>13</v>
      </c>
      <c r="H46" s="420" t="s">
        <v>352</v>
      </c>
      <c r="I46" s="143">
        <v>13</v>
      </c>
      <c r="J46" s="420" t="s">
        <v>353</v>
      </c>
      <c r="K46" s="143">
        <v>13</v>
      </c>
      <c r="L46" s="420" t="s">
        <v>354</v>
      </c>
      <c r="M46" s="164"/>
      <c r="N46" s="164"/>
      <c r="O46" s="164"/>
      <c r="P46" s="164"/>
      <c r="Q46" s="143">
        <v>13</v>
      </c>
      <c r="R46" s="420" t="s">
        <v>355</v>
      </c>
      <c r="S46" s="164"/>
      <c r="T46" s="143">
        <v>13</v>
      </c>
      <c r="U46" s="420" t="s">
        <v>355</v>
      </c>
      <c r="V46" s="164"/>
      <c r="W46" s="164"/>
      <c r="X46" s="412"/>
      <c r="Y46" s="124">
        <v>13</v>
      </c>
      <c r="Z46" s="410"/>
      <c r="AA46" s="414"/>
      <c r="AB46" s="177"/>
      <c r="AC46" s="412"/>
      <c r="AD46" s="124">
        <v>13</v>
      </c>
      <c r="AE46" s="410"/>
      <c r="AF46" s="414"/>
      <c r="AG46" s="177"/>
      <c r="AH46" s="412"/>
      <c r="AI46" s="124">
        <v>13</v>
      </c>
      <c r="AJ46" s="410"/>
      <c r="AK46" s="414"/>
      <c r="AL46" s="164"/>
      <c r="AM46" s="412"/>
      <c r="AN46" s="124">
        <v>13</v>
      </c>
      <c r="AO46" s="410"/>
      <c r="AP46" s="414"/>
      <c r="AQ46" s="412"/>
      <c r="AR46" s="124">
        <v>13</v>
      </c>
      <c r="AS46" s="410"/>
      <c r="AT46" s="414"/>
      <c r="AU46" s="412"/>
      <c r="AV46" s="124">
        <v>13</v>
      </c>
      <c r="AW46" s="410"/>
      <c r="AX46" s="414"/>
      <c r="AY46" s="412"/>
      <c r="AZ46" s="124">
        <v>13</v>
      </c>
      <c r="BA46" s="410"/>
      <c r="BB46" s="414"/>
      <c r="BC46" s="164"/>
      <c r="BD46" s="412"/>
      <c r="BE46" s="124">
        <v>13</v>
      </c>
      <c r="BF46" s="410"/>
      <c r="BG46" s="414"/>
      <c r="BH46" s="164"/>
      <c r="BI46" s="164"/>
      <c r="BJ46" s="187"/>
      <c r="BK46" s="124">
        <v>13</v>
      </c>
      <c r="BL46" s="198" t="s">
        <v>356</v>
      </c>
      <c r="BM46" s="414"/>
      <c r="BN46" s="164"/>
    </row>
    <row r="47" spans="1:66" x14ac:dyDescent="0.3">
      <c r="A47" s="164"/>
      <c r="B47" s="164"/>
      <c r="C47" s="164"/>
      <c r="D47" s="164"/>
      <c r="E47" s="143">
        <v>12</v>
      </c>
      <c r="F47" s="422"/>
      <c r="G47" s="143">
        <v>12</v>
      </c>
      <c r="H47" s="422"/>
      <c r="I47" s="143">
        <v>12</v>
      </c>
      <c r="J47" s="422"/>
      <c r="K47" s="143">
        <v>12</v>
      </c>
      <c r="L47" s="422"/>
      <c r="M47" s="164"/>
      <c r="N47" s="164"/>
      <c r="O47" s="164"/>
      <c r="P47" s="164"/>
      <c r="Q47" s="143">
        <v>12</v>
      </c>
      <c r="R47" s="422"/>
      <c r="S47" s="164"/>
      <c r="T47" s="143">
        <v>12</v>
      </c>
      <c r="U47" s="422"/>
      <c r="V47" s="164"/>
      <c r="W47" s="164"/>
      <c r="X47" s="412"/>
      <c r="Y47" s="124">
        <v>12</v>
      </c>
      <c r="Z47" s="182"/>
      <c r="AA47" s="414"/>
      <c r="AB47" s="177"/>
      <c r="AC47" s="412"/>
      <c r="AD47" s="124">
        <v>12</v>
      </c>
      <c r="AE47" s="182"/>
      <c r="AF47" s="414"/>
      <c r="AG47" s="177"/>
      <c r="AH47" s="412"/>
      <c r="AI47" s="124">
        <v>12</v>
      </c>
      <c r="AJ47" s="182"/>
      <c r="AK47" s="414"/>
      <c r="AL47" s="164"/>
      <c r="AM47" s="412"/>
      <c r="AN47" s="124">
        <v>12</v>
      </c>
      <c r="AO47" s="182"/>
      <c r="AP47" s="414"/>
      <c r="AQ47" s="412"/>
      <c r="AR47" s="124">
        <v>12</v>
      </c>
      <c r="AS47" s="182"/>
      <c r="AT47" s="414"/>
      <c r="AU47" s="412"/>
      <c r="AV47" s="124">
        <v>12</v>
      </c>
      <c r="AW47" s="182"/>
      <c r="AX47" s="414"/>
      <c r="AY47" s="412"/>
      <c r="AZ47" s="124">
        <v>12</v>
      </c>
      <c r="BA47" s="182"/>
      <c r="BB47" s="414"/>
      <c r="BC47" s="164"/>
      <c r="BD47" s="412"/>
      <c r="BE47" s="124">
        <v>12</v>
      </c>
      <c r="BF47" s="182"/>
      <c r="BG47" s="414"/>
      <c r="BH47" s="164"/>
      <c r="BI47" s="164"/>
      <c r="BJ47" s="187"/>
      <c r="BK47" s="124">
        <v>12</v>
      </c>
      <c r="BL47" s="198" t="s">
        <v>357</v>
      </c>
      <c r="BM47" s="414"/>
      <c r="BN47" s="164"/>
    </row>
    <row r="48" spans="1:66" x14ac:dyDescent="0.3">
      <c r="A48" s="164"/>
      <c r="B48" s="164"/>
      <c r="C48" s="164"/>
      <c r="D48" s="164"/>
      <c r="E48" s="143">
        <v>11</v>
      </c>
      <c r="F48" s="194" t="s">
        <v>358</v>
      </c>
      <c r="G48" s="143">
        <v>11</v>
      </c>
      <c r="H48" s="194" t="s">
        <v>358</v>
      </c>
      <c r="I48" s="143">
        <v>11</v>
      </c>
      <c r="J48" s="194" t="s">
        <v>358</v>
      </c>
      <c r="K48" s="143">
        <v>11</v>
      </c>
      <c r="L48" s="195" t="s">
        <v>358</v>
      </c>
      <c r="M48" s="164"/>
      <c r="N48" s="164"/>
      <c r="O48" s="164"/>
      <c r="P48" s="164"/>
      <c r="Q48" s="143">
        <v>11</v>
      </c>
      <c r="R48" s="195" t="s">
        <v>358</v>
      </c>
      <c r="S48" s="164"/>
      <c r="T48" s="143">
        <v>11</v>
      </c>
      <c r="U48" s="195" t="s">
        <v>358</v>
      </c>
      <c r="V48" s="164"/>
      <c r="W48" s="164"/>
      <c r="X48" s="412"/>
      <c r="Y48" s="124">
        <v>11</v>
      </c>
      <c r="Z48" s="409" t="s">
        <v>359</v>
      </c>
      <c r="AA48" s="414"/>
      <c r="AB48" s="177"/>
      <c r="AC48" s="412"/>
      <c r="AD48" s="124">
        <v>11</v>
      </c>
      <c r="AE48" s="409" t="s">
        <v>359</v>
      </c>
      <c r="AF48" s="414"/>
      <c r="AG48" s="177"/>
      <c r="AH48" s="412"/>
      <c r="AI48" s="124">
        <v>11</v>
      </c>
      <c r="AJ48" s="409" t="s">
        <v>360</v>
      </c>
      <c r="AK48" s="414"/>
      <c r="AL48" s="164"/>
      <c r="AM48" s="412"/>
      <c r="AN48" s="124">
        <v>11</v>
      </c>
      <c r="AO48" s="124"/>
      <c r="AP48" s="414"/>
      <c r="AQ48" s="412"/>
      <c r="AR48" s="124">
        <v>11</v>
      </c>
      <c r="AS48" s="124"/>
      <c r="AT48" s="414"/>
      <c r="AU48" s="412"/>
      <c r="AV48" s="124">
        <v>11</v>
      </c>
      <c r="AW48" s="124"/>
      <c r="AX48" s="414"/>
      <c r="AY48" s="412"/>
      <c r="AZ48" s="124">
        <v>11</v>
      </c>
      <c r="BA48" s="124"/>
      <c r="BB48" s="414"/>
      <c r="BC48" s="164"/>
      <c r="BD48" s="412"/>
      <c r="BE48" s="124">
        <v>11</v>
      </c>
      <c r="BF48" s="124"/>
      <c r="BG48" s="414"/>
      <c r="BH48" s="164"/>
      <c r="BI48" s="164"/>
      <c r="BJ48" s="187"/>
      <c r="BK48" s="124">
        <v>11</v>
      </c>
      <c r="BL48" s="198" t="s">
        <v>361</v>
      </c>
      <c r="BM48" s="414"/>
      <c r="BN48" s="164"/>
    </row>
    <row r="49" spans="1:66" x14ac:dyDescent="0.3">
      <c r="A49" s="164"/>
      <c r="B49" s="164"/>
      <c r="C49" s="164"/>
      <c r="D49" s="164"/>
      <c r="E49" s="143">
        <v>10</v>
      </c>
      <c r="F49" s="199" t="s">
        <v>253</v>
      </c>
      <c r="G49" s="143">
        <v>10</v>
      </c>
      <c r="H49" s="199" t="s">
        <v>253</v>
      </c>
      <c r="I49" s="143">
        <v>10</v>
      </c>
      <c r="J49" s="199" t="s">
        <v>253</v>
      </c>
      <c r="K49" s="143">
        <v>10</v>
      </c>
      <c r="L49" s="200" t="s">
        <v>253</v>
      </c>
      <c r="M49" s="164"/>
      <c r="N49" s="164"/>
      <c r="O49" s="164"/>
      <c r="P49" s="164"/>
      <c r="Q49" s="143">
        <v>10</v>
      </c>
      <c r="R49" s="200" t="s">
        <v>253</v>
      </c>
      <c r="S49" s="164"/>
      <c r="T49" s="143">
        <v>10</v>
      </c>
      <c r="U49" s="200" t="s">
        <v>253</v>
      </c>
      <c r="V49" s="164"/>
      <c r="W49" s="164"/>
      <c r="X49" s="412"/>
      <c r="Y49" s="124">
        <v>10</v>
      </c>
      <c r="Z49" s="410"/>
      <c r="AA49" s="414"/>
      <c r="AB49" s="177"/>
      <c r="AC49" s="412"/>
      <c r="AD49" s="124">
        <v>10</v>
      </c>
      <c r="AE49" s="410"/>
      <c r="AF49" s="414"/>
      <c r="AG49" s="177"/>
      <c r="AH49" s="412"/>
      <c r="AI49" s="124">
        <v>10</v>
      </c>
      <c r="AJ49" s="410"/>
      <c r="AK49" s="414"/>
      <c r="AL49" s="164"/>
      <c r="AM49" s="412"/>
      <c r="AN49" s="124">
        <v>10</v>
      </c>
      <c r="AO49" s="40"/>
      <c r="AP49" s="414"/>
      <c r="AQ49" s="412"/>
      <c r="AR49" s="124">
        <v>10</v>
      </c>
      <c r="AS49" s="40"/>
      <c r="AT49" s="414"/>
      <c r="AU49" s="412"/>
      <c r="AV49" s="124">
        <v>10</v>
      </c>
      <c r="AW49" s="40"/>
      <c r="AX49" s="414"/>
      <c r="AY49" s="412"/>
      <c r="AZ49" s="124">
        <v>10</v>
      </c>
      <c r="BA49" s="40"/>
      <c r="BB49" s="414"/>
      <c r="BC49" s="164"/>
      <c r="BD49" s="412"/>
      <c r="BE49" s="124">
        <v>10</v>
      </c>
      <c r="BF49" s="40"/>
      <c r="BG49" s="414"/>
      <c r="BH49" s="164"/>
      <c r="BI49" s="164"/>
      <c r="BJ49" s="187"/>
      <c r="BK49" s="124">
        <v>10</v>
      </c>
      <c r="BL49" s="198" t="s">
        <v>362</v>
      </c>
      <c r="BM49" s="414"/>
      <c r="BN49" s="164"/>
    </row>
    <row r="50" spans="1:66" x14ac:dyDescent="0.3">
      <c r="A50" s="164"/>
      <c r="B50" s="164"/>
      <c r="C50" s="164"/>
      <c r="D50" s="164"/>
      <c r="E50" s="143">
        <v>9</v>
      </c>
      <c r="F50" s="190" t="s">
        <v>253</v>
      </c>
      <c r="G50" s="143">
        <v>9</v>
      </c>
      <c r="H50" s="190" t="s">
        <v>253</v>
      </c>
      <c r="I50" s="143">
        <v>9</v>
      </c>
      <c r="J50" s="190" t="s">
        <v>253</v>
      </c>
      <c r="K50" s="143">
        <v>9</v>
      </c>
      <c r="L50" s="191" t="s">
        <v>253</v>
      </c>
      <c r="M50" s="164"/>
      <c r="N50" s="164"/>
      <c r="O50" s="164"/>
      <c r="P50" s="164"/>
      <c r="Q50" s="143">
        <v>9</v>
      </c>
      <c r="R50" s="191" t="s">
        <v>253</v>
      </c>
      <c r="S50" s="164"/>
      <c r="T50" s="143">
        <v>9</v>
      </c>
      <c r="U50" s="191" t="s">
        <v>253</v>
      </c>
      <c r="V50" s="164"/>
      <c r="W50" s="164"/>
      <c r="X50" s="412"/>
      <c r="Y50" s="124">
        <v>9</v>
      </c>
      <c r="Z50" s="182"/>
      <c r="AA50" s="414"/>
      <c r="AB50" s="177"/>
      <c r="AC50" s="412"/>
      <c r="AD50" s="124">
        <v>9</v>
      </c>
      <c r="AE50" s="182"/>
      <c r="AF50" s="414"/>
      <c r="AG50" s="177"/>
      <c r="AH50" s="412"/>
      <c r="AI50" s="124">
        <v>9</v>
      </c>
      <c r="AJ50" s="182"/>
      <c r="AK50" s="414"/>
      <c r="AL50" s="164"/>
      <c r="AM50" s="412"/>
      <c r="AN50" s="124">
        <v>9</v>
      </c>
      <c r="AO50" s="182"/>
      <c r="AP50" s="414"/>
      <c r="AQ50" s="412"/>
      <c r="AR50" s="124">
        <v>9</v>
      </c>
      <c r="AS50" s="182"/>
      <c r="AT50" s="414"/>
      <c r="AU50" s="412"/>
      <c r="AV50" s="124">
        <v>9</v>
      </c>
      <c r="AW50" s="182"/>
      <c r="AX50" s="414"/>
      <c r="AY50" s="412"/>
      <c r="AZ50" s="124">
        <v>9</v>
      </c>
      <c r="BA50" s="182"/>
      <c r="BB50" s="414"/>
      <c r="BC50" s="164"/>
      <c r="BD50" s="412"/>
      <c r="BE50" s="124">
        <v>9</v>
      </c>
      <c r="BF50" s="182"/>
      <c r="BG50" s="414"/>
      <c r="BH50" s="164"/>
      <c r="BI50" s="164"/>
      <c r="BJ50" s="187"/>
      <c r="BK50" s="124">
        <v>9</v>
      </c>
      <c r="BL50" s="198" t="s">
        <v>363</v>
      </c>
      <c r="BM50" s="414"/>
      <c r="BN50" s="164"/>
    </row>
    <row r="51" spans="1:66" x14ac:dyDescent="0.3">
      <c r="A51" s="164"/>
      <c r="B51" s="164"/>
      <c r="C51" s="164"/>
      <c r="D51" s="164"/>
      <c r="E51" s="143">
        <v>8</v>
      </c>
      <c r="F51" s="182"/>
      <c r="G51" s="143">
        <v>8</v>
      </c>
      <c r="H51" s="182"/>
      <c r="I51" s="143">
        <v>8</v>
      </c>
      <c r="J51" s="182"/>
      <c r="K51" s="143">
        <v>8</v>
      </c>
      <c r="L51" s="183"/>
      <c r="M51" s="164"/>
      <c r="N51" s="164"/>
      <c r="O51" s="164"/>
      <c r="P51" s="164"/>
      <c r="Q51" s="143">
        <v>8</v>
      </c>
      <c r="R51" s="183"/>
      <c r="S51" s="164"/>
      <c r="T51" s="143">
        <v>8</v>
      </c>
      <c r="U51" s="183"/>
      <c r="V51" s="164"/>
      <c r="W51" s="164"/>
      <c r="X51" s="412"/>
      <c r="Y51" s="124">
        <v>8</v>
      </c>
      <c r="Z51" s="409" t="s">
        <v>364</v>
      </c>
      <c r="AA51" s="414"/>
      <c r="AB51" s="177"/>
      <c r="AC51" s="412"/>
      <c r="AD51" s="124">
        <v>8</v>
      </c>
      <c r="AE51" s="409" t="s">
        <v>364</v>
      </c>
      <c r="AF51" s="414"/>
      <c r="AG51" s="177"/>
      <c r="AH51" s="412"/>
      <c r="AI51" s="124">
        <v>8</v>
      </c>
      <c r="AJ51" s="409" t="s">
        <v>365</v>
      </c>
      <c r="AK51" s="414"/>
      <c r="AL51" s="164"/>
      <c r="AM51" s="412"/>
      <c r="AN51" s="124">
        <v>8</v>
      </c>
      <c r="AO51" s="40"/>
      <c r="AP51" s="414"/>
      <c r="AQ51" s="412"/>
      <c r="AR51" s="124">
        <v>8</v>
      </c>
      <c r="AS51" s="40"/>
      <c r="AT51" s="414"/>
      <c r="AU51" s="412"/>
      <c r="AV51" s="124">
        <v>8</v>
      </c>
      <c r="AW51" s="40"/>
      <c r="AX51" s="414"/>
      <c r="AY51" s="412"/>
      <c r="AZ51" s="124">
        <v>8</v>
      </c>
      <c r="BA51" s="40"/>
      <c r="BB51" s="414"/>
      <c r="BC51" s="164"/>
      <c r="BD51" s="412"/>
      <c r="BE51" s="124">
        <v>8</v>
      </c>
      <c r="BF51" s="40"/>
      <c r="BG51" s="414"/>
      <c r="BH51" s="164"/>
      <c r="BI51" s="164"/>
      <c r="BJ51" s="187"/>
      <c r="BK51" s="124">
        <v>8</v>
      </c>
      <c r="BL51" s="198" t="s">
        <v>366</v>
      </c>
      <c r="BM51" s="414"/>
      <c r="BN51" s="164"/>
    </row>
    <row r="52" spans="1:66" x14ac:dyDescent="0.3">
      <c r="A52" s="164"/>
      <c r="B52" s="164"/>
      <c r="C52" s="164"/>
      <c r="D52" s="164"/>
      <c r="E52" s="143">
        <v>7</v>
      </c>
      <c r="F52" s="182"/>
      <c r="G52" s="143">
        <v>7</v>
      </c>
      <c r="H52" s="182"/>
      <c r="I52" s="143">
        <v>7</v>
      </c>
      <c r="J52" s="182"/>
      <c r="K52" s="143">
        <v>7</v>
      </c>
      <c r="L52" s="183"/>
      <c r="M52" s="164"/>
      <c r="N52" s="164"/>
      <c r="O52" s="164"/>
      <c r="P52" s="164"/>
      <c r="Q52" s="143">
        <v>7</v>
      </c>
      <c r="R52" s="183"/>
      <c r="S52" s="164"/>
      <c r="T52" s="143">
        <v>7</v>
      </c>
      <c r="U52" s="197"/>
      <c r="V52" s="164"/>
      <c r="W52" s="164"/>
      <c r="X52" s="412"/>
      <c r="Y52" s="124">
        <v>7</v>
      </c>
      <c r="Z52" s="410"/>
      <c r="AA52" s="414"/>
      <c r="AB52" s="177"/>
      <c r="AC52" s="412"/>
      <c r="AD52" s="124">
        <v>7</v>
      </c>
      <c r="AE52" s="410"/>
      <c r="AF52" s="414"/>
      <c r="AG52" s="177"/>
      <c r="AH52" s="412"/>
      <c r="AI52" s="124">
        <v>7</v>
      </c>
      <c r="AJ52" s="410"/>
      <c r="AK52" s="414"/>
      <c r="AL52" s="164"/>
      <c r="AM52" s="412"/>
      <c r="AN52" s="124">
        <v>7</v>
      </c>
      <c r="AO52" s="182"/>
      <c r="AP52" s="414"/>
      <c r="AQ52" s="412"/>
      <c r="AR52" s="124">
        <v>7</v>
      </c>
      <c r="AS52" s="182"/>
      <c r="AT52" s="414"/>
      <c r="AU52" s="412"/>
      <c r="AV52" s="124">
        <v>7</v>
      </c>
      <c r="AW52" s="182"/>
      <c r="AX52" s="414"/>
      <c r="AY52" s="412"/>
      <c r="AZ52" s="124">
        <v>7</v>
      </c>
      <c r="BA52" s="182"/>
      <c r="BB52" s="414"/>
      <c r="BC52" s="164"/>
      <c r="BD52" s="412"/>
      <c r="BE52" s="124">
        <v>7</v>
      </c>
      <c r="BF52" s="182"/>
      <c r="BG52" s="414"/>
      <c r="BH52" s="164"/>
      <c r="BI52" s="164"/>
      <c r="BJ52" s="187"/>
      <c r="BK52" s="124">
        <v>7</v>
      </c>
      <c r="BL52" s="198" t="s">
        <v>367</v>
      </c>
      <c r="BM52" s="414"/>
      <c r="BN52" s="164"/>
    </row>
    <row r="53" spans="1:66" x14ac:dyDescent="0.3">
      <c r="A53" s="164"/>
      <c r="B53" s="164"/>
      <c r="C53" s="164"/>
      <c r="D53" s="164"/>
      <c r="E53" s="143">
        <v>6</v>
      </c>
      <c r="F53" s="182"/>
      <c r="G53" s="143">
        <v>6</v>
      </c>
      <c r="H53" s="182"/>
      <c r="I53" s="143">
        <v>6</v>
      </c>
      <c r="J53" s="182"/>
      <c r="K53" s="143">
        <v>6</v>
      </c>
      <c r="L53" s="183"/>
      <c r="M53" s="164"/>
      <c r="N53" s="164"/>
      <c r="O53" s="164"/>
      <c r="P53" s="164"/>
      <c r="Q53" s="143">
        <v>6</v>
      </c>
      <c r="R53" s="183"/>
      <c r="S53" s="164"/>
      <c r="T53" s="143">
        <v>6</v>
      </c>
      <c r="U53" s="197"/>
      <c r="V53" s="164"/>
      <c r="W53" s="164"/>
      <c r="X53" s="412"/>
      <c r="Y53" s="124">
        <v>6</v>
      </c>
      <c r="Z53" s="182"/>
      <c r="AA53" s="414"/>
      <c r="AB53" s="177"/>
      <c r="AC53" s="412"/>
      <c r="AD53" s="124">
        <v>6</v>
      </c>
      <c r="AE53" s="182"/>
      <c r="AF53" s="414"/>
      <c r="AG53" s="177"/>
      <c r="AH53" s="412"/>
      <c r="AI53" s="124">
        <v>6</v>
      </c>
      <c r="AJ53" s="182"/>
      <c r="AK53" s="414"/>
      <c r="AL53" s="164"/>
      <c r="AM53" s="412"/>
      <c r="AN53" s="124">
        <v>6</v>
      </c>
      <c r="AO53" s="182"/>
      <c r="AP53" s="414"/>
      <c r="AQ53" s="412"/>
      <c r="AR53" s="124">
        <v>6</v>
      </c>
      <c r="AS53" s="182"/>
      <c r="AT53" s="414"/>
      <c r="AU53" s="412"/>
      <c r="AV53" s="124">
        <v>6</v>
      </c>
      <c r="AW53" s="182"/>
      <c r="AX53" s="414"/>
      <c r="AY53" s="412"/>
      <c r="AZ53" s="124">
        <v>6</v>
      </c>
      <c r="BA53" s="182"/>
      <c r="BB53" s="414"/>
      <c r="BC53" s="164"/>
      <c r="BD53" s="412"/>
      <c r="BE53" s="124">
        <v>6</v>
      </c>
      <c r="BF53" s="182"/>
      <c r="BG53" s="414"/>
      <c r="BH53" s="164"/>
      <c r="BI53" s="164"/>
      <c r="BJ53" s="187"/>
      <c r="BK53" s="124">
        <v>6</v>
      </c>
      <c r="BL53" s="198" t="s">
        <v>368</v>
      </c>
      <c r="BM53" s="414"/>
      <c r="BN53" s="164"/>
    </row>
    <row r="54" spans="1:66" x14ac:dyDescent="0.3">
      <c r="A54" s="164"/>
      <c r="B54" s="164"/>
      <c r="C54" s="164"/>
      <c r="D54" s="164"/>
      <c r="E54" s="143">
        <v>5</v>
      </c>
      <c r="F54" s="182"/>
      <c r="G54" s="143">
        <v>5</v>
      </c>
      <c r="H54" s="182"/>
      <c r="I54" s="143">
        <v>5</v>
      </c>
      <c r="J54" s="182"/>
      <c r="K54" s="143">
        <v>5</v>
      </c>
      <c r="L54" s="182"/>
      <c r="M54" s="164"/>
      <c r="N54" s="164"/>
      <c r="O54" s="164"/>
      <c r="P54" s="164"/>
      <c r="Q54" s="143">
        <v>5</v>
      </c>
      <c r="R54" s="183"/>
      <c r="S54" s="164"/>
      <c r="T54" s="143">
        <v>5</v>
      </c>
      <c r="U54" s="197"/>
      <c r="V54" s="164"/>
      <c r="W54" s="164"/>
      <c r="X54" s="412"/>
      <c r="Y54" s="124">
        <v>5</v>
      </c>
      <c r="Z54" s="182"/>
      <c r="AA54" s="414"/>
      <c r="AB54" s="177"/>
      <c r="AC54" s="412"/>
      <c r="AD54" s="124">
        <v>5</v>
      </c>
      <c r="AE54" s="182"/>
      <c r="AF54" s="414"/>
      <c r="AG54" s="177"/>
      <c r="AH54" s="412"/>
      <c r="AI54" s="124">
        <v>5</v>
      </c>
      <c r="AJ54" s="182"/>
      <c r="AK54" s="414"/>
      <c r="AL54" s="164"/>
      <c r="AM54" s="412"/>
      <c r="AN54" s="124">
        <v>5</v>
      </c>
      <c r="AO54" s="182"/>
      <c r="AP54" s="414"/>
      <c r="AQ54" s="412"/>
      <c r="AR54" s="124">
        <v>5</v>
      </c>
      <c r="AS54" s="182"/>
      <c r="AT54" s="414"/>
      <c r="AU54" s="412"/>
      <c r="AV54" s="124">
        <v>5</v>
      </c>
      <c r="AW54" s="182"/>
      <c r="AX54" s="414"/>
      <c r="AY54" s="412"/>
      <c r="AZ54" s="124">
        <v>5</v>
      </c>
      <c r="BA54" s="182"/>
      <c r="BB54" s="414"/>
      <c r="BC54" s="164"/>
      <c r="BD54" s="412"/>
      <c r="BE54" s="124">
        <v>5</v>
      </c>
      <c r="BF54" s="182"/>
      <c r="BG54" s="414"/>
      <c r="BH54" s="164"/>
      <c r="BI54" s="164"/>
      <c r="BJ54" s="187"/>
      <c r="BK54" s="124">
        <v>5</v>
      </c>
      <c r="BL54" s="198" t="s">
        <v>369</v>
      </c>
      <c r="BM54" s="414"/>
      <c r="BN54" s="164"/>
    </row>
    <row r="55" spans="1:66" x14ac:dyDescent="0.3">
      <c r="A55" s="164"/>
      <c r="B55" s="164"/>
      <c r="C55" s="164"/>
      <c r="D55" s="164"/>
      <c r="E55" s="143">
        <v>4</v>
      </c>
      <c r="F55" s="182"/>
      <c r="G55" s="143">
        <v>4</v>
      </c>
      <c r="H55" s="182"/>
      <c r="I55" s="143">
        <v>4</v>
      </c>
      <c r="J55" s="182"/>
      <c r="K55" s="143">
        <v>4</v>
      </c>
      <c r="L55" s="182"/>
      <c r="M55" s="164"/>
      <c r="N55" s="164"/>
      <c r="O55" s="164"/>
      <c r="P55" s="164"/>
      <c r="Q55" s="143">
        <v>4</v>
      </c>
      <c r="R55" s="183"/>
      <c r="S55" s="164"/>
      <c r="T55" s="143">
        <v>4</v>
      </c>
      <c r="U55" s="197"/>
      <c r="V55" s="164"/>
      <c r="W55" s="164"/>
      <c r="X55" s="412"/>
      <c r="Y55" s="124">
        <v>4</v>
      </c>
      <c r="Z55" s="182"/>
      <c r="AA55" s="414"/>
      <c r="AB55" s="177"/>
      <c r="AC55" s="412"/>
      <c r="AD55" s="124">
        <v>4</v>
      </c>
      <c r="AE55" s="182"/>
      <c r="AF55" s="414"/>
      <c r="AG55" s="177"/>
      <c r="AH55" s="412"/>
      <c r="AI55" s="124">
        <v>4</v>
      </c>
      <c r="AJ55" s="182"/>
      <c r="AK55" s="414"/>
      <c r="AL55" s="164"/>
      <c r="AM55" s="412"/>
      <c r="AN55" s="124">
        <v>4</v>
      </c>
      <c r="AO55" s="182"/>
      <c r="AP55" s="414"/>
      <c r="AQ55" s="412"/>
      <c r="AR55" s="124">
        <v>4</v>
      </c>
      <c r="AS55" s="182"/>
      <c r="AT55" s="414"/>
      <c r="AU55" s="412"/>
      <c r="AV55" s="124">
        <v>4</v>
      </c>
      <c r="AW55" s="182"/>
      <c r="AX55" s="414"/>
      <c r="AY55" s="412"/>
      <c r="AZ55" s="124">
        <v>4</v>
      </c>
      <c r="BA55" s="182"/>
      <c r="BB55" s="414"/>
      <c r="BC55" s="164"/>
      <c r="BD55" s="412"/>
      <c r="BE55" s="124">
        <v>4</v>
      </c>
      <c r="BF55" s="182"/>
      <c r="BG55" s="414"/>
      <c r="BH55" s="164"/>
      <c r="BI55" s="164"/>
      <c r="BJ55" s="187"/>
      <c r="BK55" s="124">
        <v>4</v>
      </c>
      <c r="BL55" s="164"/>
      <c r="BM55" s="414"/>
      <c r="BN55" s="164"/>
    </row>
    <row r="56" spans="1:66" x14ac:dyDescent="0.3">
      <c r="A56" s="164"/>
      <c r="B56" s="164"/>
      <c r="C56" s="164"/>
      <c r="D56" s="164"/>
      <c r="E56" s="143">
        <v>3</v>
      </c>
      <c r="F56" s="182"/>
      <c r="G56" s="143">
        <v>3</v>
      </c>
      <c r="H56" s="182"/>
      <c r="I56" s="143">
        <v>3</v>
      </c>
      <c r="J56" s="182"/>
      <c r="K56" s="143">
        <v>3</v>
      </c>
      <c r="L56" s="182"/>
      <c r="M56" s="164"/>
      <c r="N56" s="164"/>
      <c r="O56" s="164"/>
      <c r="P56" s="164"/>
      <c r="Q56" s="143">
        <v>3</v>
      </c>
      <c r="R56" s="183"/>
      <c r="S56" s="164"/>
      <c r="T56" s="143">
        <v>3</v>
      </c>
      <c r="U56" s="197"/>
      <c r="V56" s="164"/>
      <c r="W56" s="164"/>
      <c r="X56" s="412"/>
      <c r="Y56" s="124">
        <v>3</v>
      </c>
      <c r="Z56" s="182"/>
      <c r="AA56" s="414"/>
      <c r="AB56" s="177"/>
      <c r="AC56" s="412"/>
      <c r="AD56" s="124">
        <v>3</v>
      </c>
      <c r="AE56" s="182"/>
      <c r="AF56" s="414"/>
      <c r="AG56" s="177"/>
      <c r="AH56" s="412"/>
      <c r="AI56" s="124">
        <v>3</v>
      </c>
      <c r="AJ56" s="182"/>
      <c r="AK56" s="414"/>
      <c r="AL56" s="164"/>
      <c r="AM56" s="412"/>
      <c r="AN56" s="124">
        <v>3</v>
      </c>
      <c r="AO56" s="182"/>
      <c r="AP56" s="414"/>
      <c r="AQ56" s="412"/>
      <c r="AR56" s="124">
        <v>3</v>
      </c>
      <c r="AS56" s="182"/>
      <c r="AT56" s="414"/>
      <c r="AU56" s="412"/>
      <c r="AV56" s="124">
        <v>3</v>
      </c>
      <c r="AW56" s="182"/>
      <c r="AX56" s="414"/>
      <c r="AY56" s="412"/>
      <c r="AZ56" s="124">
        <v>3</v>
      </c>
      <c r="BA56" s="182"/>
      <c r="BB56" s="414"/>
      <c r="BC56" s="164"/>
      <c r="BD56" s="412"/>
      <c r="BE56" s="124">
        <v>3</v>
      </c>
      <c r="BF56" s="182"/>
      <c r="BG56" s="414"/>
      <c r="BH56" s="164"/>
      <c r="BI56" s="164"/>
      <c r="BJ56" s="187"/>
      <c r="BK56" s="124">
        <v>3</v>
      </c>
      <c r="BL56" s="182"/>
      <c r="BM56" s="414"/>
      <c r="BN56" s="164"/>
    </row>
    <row r="57" spans="1:66" x14ac:dyDescent="0.3">
      <c r="A57" s="164"/>
      <c r="B57" s="164"/>
      <c r="C57" s="164"/>
      <c r="D57" s="164"/>
      <c r="E57" s="143">
        <v>2</v>
      </c>
      <c r="F57" s="182"/>
      <c r="G57" s="143">
        <v>2</v>
      </c>
      <c r="H57" s="182"/>
      <c r="I57" s="143">
        <v>2</v>
      </c>
      <c r="J57" s="182"/>
      <c r="K57" s="143">
        <v>2</v>
      </c>
      <c r="L57" s="182"/>
      <c r="M57" s="164"/>
      <c r="N57" s="164"/>
      <c r="O57" s="164"/>
      <c r="P57" s="164"/>
      <c r="Q57" s="143">
        <v>2</v>
      </c>
      <c r="R57" s="183"/>
      <c r="S57" s="164"/>
      <c r="T57" s="143">
        <v>2</v>
      </c>
      <c r="U57" s="182"/>
      <c r="V57" s="164"/>
      <c r="W57" s="164"/>
      <c r="X57" s="412"/>
      <c r="Y57" s="124">
        <v>2</v>
      </c>
      <c r="Z57" s="182"/>
      <c r="AA57" s="414"/>
      <c r="AB57" s="177"/>
      <c r="AC57" s="412"/>
      <c r="AD57" s="124">
        <v>2</v>
      </c>
      <c r="AE57" s="182"/>
      <c r="AF57" s="414"/>
      <c r="AG57" s="177"/>
      <c r="AH57" s="412"/>
      <c r="AI57" s="124">
        <v>2</v>
      </c>
      <c r="AJ57" s="182"/>
      <c r="AK57" s="414"/>
      <c r="AL57" s="164"/>
      <c r="AM57" s="412"/>
      <c r="AN57" s="124">
        <v>2</v>
      </c>
      <c r="AO57" s="182"/>
      <c r="AP57" s="414"/>
      <c r="AQ57" s="412"/>
      <c r="AR57" s="124">
        <v>2</v>
      </c>
      <c r="AS57" s="182"/>
      <c r="AT57" s="414"/>
      <c r="AU57" s="412"/>
      <c r="AV57" s="124">
        <v>2</v>
      </c>
      <c r="AW57" s="182"/>
      <c r="AX57" s="414"/>
      <c r="AY57" s="412"/>
      <c r="AZ57" s="124">
        <v>2</v>
      </c>
      <c r="BA57" s="182"/>
      <c r="BB57" s="414"/>
      <c r="BC57" s="164"/>
      <c r="BD57" s="412"/>
      <c r="BE57" s="124">
        <v>2</v>
      </c>
      <c r="BF57" s="182"/>
      <c r="BG57" s="414"/>
      <c r="BH57" s="164"/>
      <c r="BI57" s="164"/>
      <c r="BJ57" s="187"/>
      <c r="BK57" s="124">
        <v>2</v>
      </c>
      <c r="BL57" s="182"/>
      <c r="BM57" s="414"/>
      <c r="BN57" s="164"/>
    </row>
    <row r="58" spans="1:66" ht="15" thickBot="1" x14ac:dyDescent="0.35">
      <c r="A58" s="164"/>
      <c r="B58" s="164"/>
      <c r="C58" s="164"/>
      <c r="D58" s="164"/>
      <c r="E58" s="144">
        <v>1</v>
      </c>
      <c r="F58" s="182"/>
      <c r="G58" s="144">
        <v>1</v>
      </c>
      <c r="H58" s="182"/>
      <c r="I58" s="144">
        <v>1</v>
      </c>
      <c r="J58" s="182"/>
      <c r="K58" s="144">
        <v>1</v>
      </c>
      <c r="L58" s="182"/>
      <c r="M58" s="164"/>
      <c r="N58" s="164"/>
      <c r="O58" s="164"/>
      <c r="P58" s="164"/>
      <c r="Q58" s="144">
        <v>1</v>
      </c>
      <c r="R58" s="183"/>
      <c r="S58" s="164"/>
      <c r="T58" s="144">
        <v>1</v>
      </c>
      <c r="U58" s="182"/>
      <c r="V58" s="164"/>
      <c r="W58" s="164"/>
      <c r="X58" s="412"/>
      <c r="Y58" s="201">
        <v>1</v>
      </c>
      <c r="Z58" s="202"/>
      <c r="AA58" s="414"/>
      <c r="AB58" s="203"/>
      <c r="AC58" s="412"/>
      <c r="AD58" s="201">
        <v>1</v>
      </c>
      <c r="AE58" s="202"/>
      <c r="AF58" s="414"/>
      <c r="AG58" s="203"/>
      <c r="AH58" s="412"/>
      <c r="AI58" s="201">
        <v>1</v>
      </c>
      <c r="AJ58" s="202"/>
      <c r="AK58" s="414"/>
      <c r="AL58" s="164"/>
      <c r="AM58" s="412"/>
      <c r="AN58" s="201">
        <v>1</v>
      </c>
      <c r="AO58" s="202"/>
      <c r="AP58" s="414"/>
      <c r="AQ58" s="412"/>
      <c r="AR58" s="201">
        <v>1</v>
      </c>
      <c r="AS58" s="202"/>
      <c r="AT58" s="414"/>
      <c r="AU58" s="412"/>
      <c r="AV58" s="201">
        <v>1</v>
      </c>
      <c r="AW58" s="202"/>
      <c r="AX58" s="414"/>
      <c r="AY58" s="412"/>
      <c r="AZ58" s="201">
        <v>1</v>
      </c>
      <c r="BA58" s="202"/>
      <c r="BB58" s="414"/>
      <c r="BC58" s="164"/>
      <c r="BD58" s="412"/>
      <c r="BE58" s="201">
        <v>1</v>
      </c>
      <c r="BF58" s="202"/>
      <c r="BG58" s="414"/>
      <c r="BH58" s="164"/>
      <c r="BI58" s="164"/>
      <c r="BJ58" s="204"/>
      <c r="BK58" s="201">
        <v>1</v>
      </c>
      <c r="BL58" s="202"/>
      <c r="BM58" s="414"/>
      <c r="BN58" s="164"/>
    </row>
    <row r="59" spans="1:66" x14ac:dyDescent="0.3">
      <c r="A59" s="164"/>
      <c r="B59" s="164"/>
      <c r="C59" s="164"/>
      <c r="D59" s="164"/>
      <c r="E59" s="406"/>
      <c r="F59" s="406"/>
      <c r="G59" s="406"/>
      <c r="H59" s="406"/>
      <c r="I59" s="406"/>
      <c r="J59" s="406"/>
      <c r="K59" s="406"/>
      <c r="L59" s="406"/>
      <c r="M59" s="164"/>
      <c r="N59" s="164"/>
      <c r="O59" s="164"/>
      <c r="P59" s="164"/>
      <c r="Q59" s="406"/>
      <c r="R59" s="406"/>
      <c r="S59" s="164"/>
      <c r="T59" s="406"/>
      <c r="U59" s="406"/>
      <c r="V59" s="164"/>
      <c r="W59" s="164"/>
      <c r="X59" s="40"/>
      <c r="Y59" s="40" t="s">
        <v>370</v>
      </c>
      <c r="Z59" s="40" t="s">
        <v>62</v>
      </c>
      <c r="AA59" s="406"/>
      <c r="AB59" s="406"/>
      <c r="AC59" s="40"/>
      <c r="AD59" s="40" t="s">
        <v>370</v>
      </c>
      <c r="AE59" s="40" t="s">
        <v>62</v>
      </c>
      <c r="AF59" s="406"/>
      <c r="AG59" s="406"/>
      <c r="AH59" s="40"/>
      <c r="AI59" s="40" t="s">
        <v>370</v>
      </c>
      <c r="AJ59" s="40" t="s">
        <v>62</v>
      </c>
      <c r="AK59" s="406"/>
      <c r="AL59" s="406"/>
      <c r="AM59" s="40"/>
      <c r="AN59" s="40" t="s">
        <v>370</v>
      </c>
      <c r="AO59" s="40" t="s">
        <v>62</v>
      </c>
      <c r="AP59" s="406"/>
      <c r="AQ59" s="406"/>
      <c r="AR59" s="40" t="s">
        <v>370</v>
      </c>
      <c r="AS59" s="40" t="s">
        <v>62</v>
      </c>
      <c r="AT59" s="406"/>
      <c r="AU59" s="406"/>
      <c r="AV59" s="40" t="s">
        <v>370</v>
      </c>
      <c r="AW59" s="40" t="s">
        <v>62</v>
      </c>
      <c r="AX59" s="406"/>
      <c r="AY59" s="406"/>
      <c r="AZ59" s="40" t="s">
        <v>370</v>
      </c>
      <c r="BA59" s="40" t="s">
        <v>62</v>
      </c>
      <c r="BB59" s="406"/>
      <c r="BC59" s="406"/>
      <c r="BD59" s="40"/>
      <c r="BE59" s="40" t="s">
        <v>370</v>
      </c>
      <c r="BF59" s="40" t="s">
        <v>62</v>
      </c>
      <c r="BG59" s="406"/>
      <c r="BH59" s="406"/>
      <c r="BI59" s="40"/>
      <c r="BJ59" s="40"/>
      <c r="BK59" s="40" t="s">
        <v>370</v>
      </c>
      <c r="BL59" s="40" t="s">
        <v>62</v>
      </c>
      <c r="BM59" s="406"/>
      <c r="BN59" s="406"/>
    </row>
    <row r="60" spans="1:66" x14ac:dyDescent="0.3">
      <c r="A60" s="164"/>
      <c r="B60" s="164"/>
      <c r="C60" s="164"/>
      <c r="D60" s="164"/>
      <c r="E60" s="406"/>
      <c r="F60" s="406"/>
      <c r="G60" s="406"/>
      <c r="H60" s="406"/>
      <c r="I60" s="406"/>
      <c r="J60" s="406"/>
      <c r="K60" s="406"/>
      <c r="L60" s="406"/>
      <c r="M60" s="164"/>
      <c r="N60" s="164"/>
      <c r="O60" s="164"/>
      <c r="P60" s="164"/>
      <c r="Q60" s="406"/>
      <c r="R60" s="406"/>
      <c r="S60" s="164"/>
      <c r="T60" s="406"/>
      <c r="U60" s="406"/>
      <c r="V60" s="164"/>
      <c r="W60" s="164"/>
      <c r="X60" s="406"/>
      <c r="Y60" s="406"/>
      <c r="Z60" s="40"/>
      <c r="AA60" s="406"/>
      <c r="AB60" s="406"/>
      <c r="AC60" s="406"/>
      <c r="AD60" s="406"/>
      <c r="AE60" s="40"/>
      <c r="AF60" s="406"/>
      <c r="AG60" s="406"/>
      <c r="AH60" s="40"/>
      <c r="AI60" s="406"/>
      <c r="AJ60" s="406"/>
      <c r="AK60" s="406"/>
      <c r="AL60" s="406"/>
      <c r="AM60" s="406"/>
      <c r="AN60" s="406"/>
      <c r="AO60" s="40"/>
      <c r="AP60" s="406"/>
      <c r="AQ60" s="406"/>
      <c r="AR60" s="406"/>
      <c r="AS60" s="406"/>
      <c r="AT60" s="406"/>
      <c r="AU60" s="406"/>
      <c r="AV60" s="406"/>
      <c r="AW60" s="406"/>
      <c r="AX60" s="406"/>
      <c r="AY60" s="406"/>
      <c r="AZ60" s="406"/>
      <c r="BA60" s="406"/>
      <c r="BB60" s="406"/>
      <c r="BC60" s="406"/>
      <c r="BD60" s="406"/>
      <c r="BE60" s="406"/>
      <c r="BF60" s="40"/>
      <c r="BG60" s="406"/>
      <c r="BH60" s="406"/>
      <c r="BI60" s="40"/>
      <c r="BJ60" s="406"/>
      <c r="BK60" s="406"/>
      <c r="BL60" s="40"/>
      <c r="BM60" s="406"/>
      <c r="BN60" s="406"/>
    </row>
    <row r="61" spans="1:66" x14ac:dyDescent="0.3">
      <c r="A61" s="164"/>
      <c r="B61" s="164"/>
      <c r="C61" s="164"/>
      <c r="D61" s="164"/>
      <c r="E61" s="406"/>
      <c r="F61" s="406"/>
      <c r="G61" s="406"/>
      <c r="H61" s="406"/>
      <c r="I61" s="406"/>
      <c r="J61" s="406"/>
      <c r="K61" s="406"/>
      <c r="L61" s="406"/>
      <c r="M61" s="164"/>
      <c r="N61" s="164"/>
      <c r="O61" s="164"/>
      <c r="P61" s="164"/>
      <c r="Q61" s="406"/>
      <c r="R61" s="406"/>
      <c r="S61" s="164"/>
      <c r="T61" s="406"/>
      <c r="U61" s="406"/>
      <c r="V61" s="164"/>
      <c r="W61" s="164"/>
      <c r="X61" s="406"/>
      <c r="Y61" s="406"/>
      <c r="Z61" s="40"/>
      <c r="AA61" s="406"/>
      <c r="AB61" s="406"/>
      <c r="AC61" s="406"/>
      <c r="AD61" s="406"/>
      <c r="AE61" s="40"/>
      <c r="AF61" s="406"/>
      <c r="AG61" s="406"/>
      <c r="AH61" s="40"/>
      <c r="AI61" s="406"/>
      <c r="AJ61" s="406"/>
      <c r="AK61" s="406"/>
      <c r="AL61" s="406"/>
      <c r="AM61" s="406"/>
      <c r="AN61" s="406"/>
      <c r="AO61" s="40"/>
      <c r="AP61" s="406"/>
      <c r="AQ61" s="406"/>
      <c r="AR61" s="406"/>
      <c r="AS61" s="406"/>
      <c r="AT61" s="406"/>
      <c r="AU61" s="406"/>
      <c r="AV61" s="406"/>
      <c r="AW61" s="406"/>
      <c r="AX61" s="406"/>
      <c r="AY61" s="406"/>
      <c r="AZ61" s="406"/>
      <c r="BA61" s="406"/>
      <c r="BB61" s="406"/>
      <c r="BC61" s="406"/>
      <c r="BD61" s="406"/>
      <c r="BE61" s="406"/>
      <c r="BF61" s="40"/>
      <c r="BG61" s="406"/>
      <c r="BH61" s="406"/>
      <c r="BI61" s="40"/>
      <c r="BJ61" s="406"/>
      <c r="BK61" s="406"/>
      <c r="BL61" s="40"/>
      <c r="BM61" s="406"/>
      <c r="BN61" s="406"/>
    </row>
    <row r="62" spans="1:66" ht="15" thickBot="1" x14ac:dyDescent="0.35">
      <c r="A62" s="164"/>
      <c r="B62" s="164"/>
      <c r="C62" s="164"/>
      <c r="D62" s="164"/>
      <c r="E62" s="424"/>
      <c r="F62" s="424"/>
      <c r="G62" s="424"/>
      <c r="H62" s="424"/>
      <c r="I62" s="424"/>
      <c r="J62" s="424"/>
      <c r="K62" s="424"/>
      <c r="L62" s="424"/>
      <c r="M62" s="164"/>
      <c r="N62" s="164"/>
      <c r="O62" s="164"/>
      <c r="P62" s="164"/>
      <c r="Q62" s="424"/>
      <c r="R62" s="424"/>
      <c r="S62" s="164"/>
      <c r="T62" s="424"/>
      <c r="U62" s="424"/>
      <c r="V62" s="164"/>
      <c r="W62" s="164"/>
      <c r="X62" s="406"/>
      <c r="Y62" s="406"/>
      <c r="Z62" s="40"/>
      <c r="AA62" s="406"/>
      <c r="AB62" s="406"/>
      <c r="AC62" s="406"/>
      <c r="AD62" s="406"/>
      <c r="AE62" s="40"/>
      <c r="AF62" s="406"/>
      <c r="AG62" s="406"/>
      <c r="AH62" s="40"/>
      <c r="AI62" s="406"/>
      <c r="AJ62" s="406"/>
      <c r="AK62" s="406"/>
      <c r="AL62" s="406"/>
      <c r="AM62" s="406"/>
      <c r="AN62" s="406"/>
      <c r="AO62" s="40"/>
      <c r="AP62" s="406"/>
      <c r="AQ62" s="406"/>
      <c r="AR62" s="424"/>
      <c r="AS62" s="424"/>
      <c r="AT62" s="406"/>
      <c r="AU62" s="406"/>
      <c r="AV62" s="424"/>
      <c r="AW62" s="424"/>
      <c r="AX62" s="406"/>
      <c r="AY62" s="406"/>
      <c r="AZ62" s="424"/>
      <c r="BA62" s="424"/>
      <c r="BB62" s="406"/>
      <c r="BC62" s="406"/>
      <c r="BD62" s="406"/>
      <c r="BE62" s="406"/>
      <c r="BF62" s="40"/>
      <c r="BG62" s="406"/>
      <c r="BH62" s="406"/>
      <c r="BI62" s="40"/>
      <c r="BJ62" s="406"/>
      <c r="BK62" s="406"/>
      <c r="BL62" s="40"/>
      <c r="BM62" s="406"/>
      <c r="BN62" s="406"/>
    </row>
    <row r="63" spans="1:66" x14ac:dyDescent="0.3">
      <c r="A63" s="205" t="s">
        <v>371</v>
      </c>
      <c r="B63" s="205"/>
      <c r="C63" s="164"/>
      <c r="D63" s="164"/>
      <c r="E63" s="141">
        <v>48</v>
      </c>
      <c r="F63" s="176"/>
      <c r="G63" s="141">
        <v>48</v>
      </c>
      <c r="H63" s="176"/>
      <c r="I63" s="141">
        <v>48</v>
      </c>
      <c r="J63" s="176"/>
      <c r="K63" s="141">
        <v>48</v>
      </c>
      <c r="L63" s="176"/>
      <c r="M63" s="164"/>
      <c r="N63" s="164"/>
      <c r="O63" s="164"/>
      <c r="P63" s="164"/>
      <c r="Q63" s="141">
        <v>48</v>
      </c>
      <c r="R63" s="176"/>
      <c r="S63" s="164"/>
      <c r="T63" s="141">
        <v>48</v>
      </c>
      <c r="U63" s="176"/>
      <c r="V63" s="164"/>
      <c r="W63" s="164"/>
      <c r="X63" s="40"/>
      <c r="Y63" s="141">
        <v>48</v>
      </c>
      <c r="Z63" s="176"/>
      <c r="AA63" s="425"/>
      <c r="AB63" s="406"/>
      <c r="AC63" s="40"/>
      <c r="AD63" s="141">
        <v>48</v>
      </c>
      <c r="AE63" s="176"/>
      <c r="AF63" s="425"/>
      <c r="AG63" s="406"/>
      <c r="AH63" s="40"/>
      <c r="AI63" s="406"/>
      <c r="AJ63" s="406"/>
      <c r="AK63" s="406"/>
      <c r="AL63" s="406"/>
      <c r="AM63" s="40"/>
      <c r="AN63" s="141">
        <v>48</v>
      </c>
      <c r="AO63" s="176"/>
      <c r="AP63" s="425"/>
      <c r="AQ63" s="426"/>
      <c r="AR63" s="141">
        <v>48</v>
      </c>
      <c r="AS63" s="176"/>
      <c r="AT63" s="425"/>
      <c r="AU63" s="426"/>
      <c r="AV63" s="141">
        <v>48</v>
      </c>
      <c r="AW63" s="176"/>
      <c r="AX63" s="425"/>
      <c r="AY63" s="426"/>
      <c r="AZ63" s="141">
        <v>48</v>
      </c>
      <c r="BA63" s="176"/>
      <c r="BB63" s="425"/>
      <c r="BC63" s="406"/>
      <c r="BD63" s="40"/>
      <c r="BE63" s="141">
        <v>48</v>
      </c>
      <c r="BF63" s="176"/>
      <c r="BG63" s="425"/>
      <c r="BH63" s="406"/>
      <c r="BI63" s="40"/>
      <c r="BJ63" s="40"/>
      <c r="BK63" s="141">
        <v>48</v>
      </c>
      <c r="BL63" s="206" t="s">
        <v>242</v>
      </c>
      <c r="BM63" s="425"/>
      <c r="BN63" s="406"/>
    </row>
    <row r="64" spans="1:66" x14ac:dyDescent="0.3">
      <c r="A64" s="164"/>
      <c r="B64" s="164"/>
      <c r="C64" s="164"/>
      <c r="D64" s="164"/>
      <c r="E64" s="142">
        <v>47</v>
      </c>
      <c r="F64" s="183"/>
      <c r="G64" s="142">
        <v>47</v>
      </c>
      <c r="H64" s="183"/>
      <c r="I64" s="142">
        <v>47</v>
      </c>
      <c r="J64" s="183"/>
      <c r="K64" s="142">
        <v>47</v>
      </c>
      <c r="L64" s="183"/>
      <c r="M64" s="164"/>
      <c r="N64" s="164"/>
      <c r="O64" s="164"/>
      <c r="P64" s="164"/>
      <c r="Q64" s="142">
        <v>47</v>
      </c>
      <c r="R64" s="184"/>
      <c r="S64" s="164"/>
      <c r="T64" s="142">
        <v>47</v>
      </c>
      <c r="U64" s="183"/>
      <c r="V64" s="164"/>
      <c r="W64" s="164"/>
      <c r="X64" s="40"/>
      <c r="Y64" s="142">
        <v>47</v>
      </c>
      <c r="Z64" s="183"/>
      <c r="AA64" s="425"/>
      <c r="AB64" s="406"/>
      <c r="AC64" s="40"/>
      <c r="AD64" s="142">
        <v>47</v>
      </c>
      <c r="AE64" s="183"/>
      <c r="AF64" s="425"/>
      <c r="AG64" s="406"/>
      <c r="AH64" s="40"/>
      <c r="AI64" s="406"/>
      <c r="AJ64" s="406"/>
      <c r="AK64" s="406"/>
      <c r="AL64" s="406"/>
      <c r="AM64" s="40"/>
      <c r="AN64" s="142">
        <v>47</v>
      </c>
      <c r="AO64" s="207" t="s">
        <v>242</v>
      </c>
      <c r="AP64" s="425"/>
      <c r="AQ64" s="426"/>
      <c r="AR64" s="142">
        <v>47</v>
      </c>
      <c r="AS64" s="183"/>
      <c r="AT64" s="425"/>
      <c r="AU64" s="426"/>
      <c r="AV64" s="142">
        <v>47</v>
      </c>
      <c r="AW64" s="183"/>
      <c r="AX64" s="425"/>
      <c r="AY64" s="426"/>
      <c r="AZ64" s="142">
        <v>47</v>
      </c>
      <c r="BA64" s="183"/>
      <c r="BB64" s="425"/>
      <c r="BC64" s="406"/>
      <c r="BD64" s="40"/>
      <c r="BE64" s="142">
        <v>47</v>
      </c>
      <c r="BF64" s="207" t="s">
        <v>242</v>
      </c>
      <c r="BG64" s="425"/>
      <c r="BH64" s="406"/>
      <c r="BI64" s="40"/>
      <c r="BJ64" s="40"/>
      <c r="BK64" s="142">
        <v>47</v>
      </c>
      <c r="BL64" s="183"/>
      <c r="BM64" s="425"/>
      <c r="BN64" s="406"/>
    </row>
    <row r="65" spans="1:66" x14ac:dyDescent="0.3">
      <c r="A65" s="164"/>
      <c r="B65" s="164"/>
      <c r="C65" s="164"/>
      <c r="D65" s="164"/>
      <c r="E65" s="142">
        <v>46</v>
      </c>
      <c r="F65" s="189" t="s">
        <v>243</v>
      </c>
      <c r="G65" s="142">
        <v>46</v>
      </c>
      <c r="H65" s="189" t="s">
        <v>243</v>
      </c>
      <c r="I65" s="142">
        <v>46</v>
      </c>
      <c r="J65" s="189" t="s">
        <v>243</v>
      </c>
      <c r="K65" s="142">
        <v>46</v>
      </c>
      <c r="L65" s="189" t="s">
        <v>243</v>
      </c>
      <c r="M65" s="164"/>
      <c r="N65" s="164"/>
      <c r="O65" s="164"/>
      <c r="P65" s="164"/>
      <c r="Q65" s="142">
        <v>46</v>
      </c>
      <c r="R65" s="189" t="s">
        <v>243</v>
      </c>
      <c r="S65" s="164"/>
      <c r="T65" s="142">
        <v>46</v>
      </c>
      <c r="U65" s="183"/>
      <c r="V65" s="164"/>
      <c r="W65" s="164"/>
      <c r="X65" s="40"/>
      <c r="Y65" s="142">
        <v>46</v>
      </c>
      <c r="Z65" s="183"/>
      <c r="AA65" s="425"/>
      <c r="AB65" s="406"/>
      <c r="AC65" s="40"/>
      <c r="AD65" s="142">
        <v>46</v>
      </c>
      <c r="AE65" s="183"/>
      <c r="AF65" s="425"/>
      <c r="AG65" s="406"/>
      <c r="AH65" s="40"/>
      <c r="AI65" s="406"/>
      <c r="AJ65" s="406"/>
      <c r="AK65" s="406"/>
      <c r="AL65" s="406"/>
      <c r="AM65" s="40"/>
      <c r="AN65" s="142">
        <v>46</v>
      </c>
      <c r="AO65" s="183"/>
      <c r="AP65" s="425"/>
      <c r="AQ65" s="426"/>
      <c r="AR65" s="142">
        <v>46</v>
      </c>
      <c r="AS65" s="183"/>
      <c r="AT65" s="425"/>
      <c r="AU65" s="426"/>
      <c r="AV65" s="142">
        <v>46</v>
      </c>
      <c r="AW65" s="183"/>
      <c r="AX65" s="425"/>
      <c r="AY65" s="426"/>
      <c r="AZ65" s="142">
        <v>46</v>
      </c>
      <c r="BA65" s="183"/>
      <c r="BB65" s="425"/>
      <c r="BC65" s="406"/>
      <c r="BD65" s="40"/>
      <c r="BE65" s="142">
        <v>46</v>
      </c>
      <c r="BF65" s="207" t="s">
        <v>244</v>
      </c>
      <c r="BG65" s="425"/>
      <c r="BH65" s="406"/>
      <c r="BI65" s="40"/>
      <c r="BJ65" s="40"/>
      <c r="BK65" s="142">
        <v>46</v>
      </c>
      <c r="BL65" s="208"/>
      <c r="BM65" s="425"/>
      <c r="BN65" s="406"/>
    </row>
    <row r="66" spans="1:66" x14ac:dyDescent="0.3">
      <c r="A66" s="164"/>
      <c r="B66" s="164"/>
      <c r="C66" s="164"/>
      <c r="D66" s="164"/>
      <c r="E66" s="142">
        <v>45</v>
      </c>
      <c r="F66" s="189" t="s">
        <v>245</v>
      </c>
      <c r="G66" s="142">
        <v>45</v>
      </c>
      <c r="H66" s="189" t="s">
        <v>245</v>
      </c>
      <c r="I66" s="142">
        <v>45</v>
      </c>
      <c r="J66" s="189" t="s">
        <v>245</v>
      </c>
      <c r="K66" s="142">
        <v>45</v>
      </c>
      <c r="L66" s="189" t="s">
        <v>245</v>
      </c>
      <c r="M66" s="164"/>
      <c r="N66" s="164"/>
      <c r="O66" s="164"/>
      <c r="P66" s="164"/>
      <c r="Q66" s="142">
        <v>45</v>
      </c>
      <c r="R66" s="189" t="s">
        <v>245</v>
      </c>
      <c r="S66" s="164"/>
      <c r="T66" s="142">
        <v>45</v>
      </c>
      <c r="U66" s="183"/>
      <c r="V66" s="164"/>
      <c r="W66" s="164"/>
      <c r="X66" s="40"/>
      <c r="Y66" s="142">
        <v>45</v>
      </c>
      <c r="Z66" s="207" t="s">
        <v>372</v>
      </c>
      <c r="AA66" s="425"/>
      <c r="AB66" s="406"/>
      <c r="AC66" s="40"/>
      <c r="AD66" s="142">
        <v>45</v>
      </c>
      <c r="AE66" s="207" t="s">
        <v>255</v>
      </c>
      <c r="AF66" s="425"/>
      <c r="AG66" s="406"/>
      <c r="AH66" s="40"/>
      <c r="AI66" s="406"/>
      <c r="AJ66" s="406"/>
      <c r="AK66" s="406"/>
      <c r="AL66" s="406"/>
      <c r="AM66" s="40"/>
      <c r="AN66" s="142">
        <v>45</v>
      </c>
      <c r="AO66" s="183"/>
      <c r="AP66" s="425"/>
      <c r="AQ66" s="426"/>
      <c r="AR66" s="142">
        <v>45</v>
      </c>
      <c r="AS66" s="183"/>
      <c r="AT66" s="425"/>
      <c r="AU66" s="426"/>
      <c r="AV66" s="142">
        <v>45</v>
      </c>
      <c r="AW66" s="183"/>
      <c r="AX66" s="425"/>
      <c r="AY66" s="426"/>
      <c r="AZ66" s="142">
        <v>45</v>
      </c>
      <c r="BA66" s="183"/>
      <c r="BB66" s="425"/>
      <c r="BC66" s="406"/>
      <c r="BD66" s="40"/>
      <c r="BE66" s="142">
        <v>45</v>
      </c>
      <c r="BF66" s="207" t="s">
        <v>246</v>
      </c>
      <c r="BG66" s="425"/>
      <c r="BH66" s="406"/>
      <c r="BI66" s="40"/>
      <c r="BJ66" s="40"/>
      <c r="BK66" s="142">
        <v>45</v>
      </c>
      <c r="BL66" s="208"/>
      <c r="BM66" s="425"/>
      <c r="BN66" s="406"/>
    </row>
    <row r="67" spans="1:66" x14ac:dyDescent="0.3">
      <c r="A67" s="164"/>
      <c r="B67" s="164"/>
      <c r="C67" s="164"/>
      <c r="D67" s="164"/>
      <c r="E67" s="142">
        <v>44</v>
      </c>
      <c r="F67" s="189" t="s">
        <v>245</v>
      </c>
      <c r="G67" s="142">
        <v>44</v>
      </c>
      <c r="H67" s="189" t="s">
        <v>245</v>
      </c>
      <c r="I67" s="142">
        <v>44</v>
      </c>
      <c r="J67" s="189" t="s">
        <v>245</v>
      </c>
      <c r="K67" s="142">
        <v>44</v>
      </c>
      <c r="L67" s="189" t="s">
        <v>245</v>
      </c>
      <c r="M67" s="164"/>
      <c r="N67" s="164"/>
      <c r="O67" s="164"/>
      <c r="P67" s="164"/>
      <c r="Q67" s="142">
        <v>44</v>
      </c>
      <c r="R67" s="189" t="s">
        <v>245</v>
      </c>
      <c r="S67" s="164"/>
      <c r="T67" s="142">
        <v>44</v>
      </c>
      <c r="U67" s="183"/>
      <c r="V67" s="164"/>
      <c r="W67" s="164"/>
      <c r="X67" s="40"/>
      <c r="Y67" s="142">
        <v>44</v>
      </c>
      <c r="Z67" s="207" t="s">
        <v>242</v>
      </c>
      <c r="AA67" s="425"/>
      <c r="AB67" s="406"/>
      <c r="AC67" s="40"/>
      <c r="AD67" s="142">
        <v>44</v>
      </c>
      <c r="AE67" s="207" t="s">
        <v>248</v>
      </c>
      <c r="AF67" s="425"/>
      <c r="AG67" s="406"/>
      <c r="AH67" s="40"/>
      <c r="AI67" s="406"/>
      <c r="AJ67" s="406"/>
      <c r="AK67" s="406"/>
      <c r="AL67" s="406"/>
      <c r="AM67" s="40"/>
      <c r="AN67" s="142">
        <v>44</v>
      </c>
      <c r="AO67" s="209"/>
      <c r="AP67" s="425"/>
      <c r="AQ67" s="426"/>
      <c r="AR67" s="142">
        <v>44</v>
      </c>
      <c r="AS67" s="209"/>
      <c r="AT67" s="425"/>
      <c r="AU67" s="426"/>
      <c r="AV67" s="142">
        <v>44</v>
      </c>
      <c r="AW67" s="209"/>
      <c r="AX67" s="425"/>
      <c r="AY67" s="426"/>
      <c r="AZ67" s="142">
        <v>44</v>
      </c>
      <c r="BA67" s="209"/>
      <c r="BB67" s="425"/>
      <c r="BC67" s="406"/>
      <c r="BD67" s="40"/>
      <c r="BE67" s="142">
        <v>44</v>
      </c>
      <c r="BF67" s="207" t="s">
        <v>249</v>
      </c>
      <c r="BG67" s="425"/>
      <c r="BH67" s="406"/>
      <c r="BI67" s="40"/>
      <c r="BJ67" s="40"/>
      <c r="BK67" s="142">
        <v>44</v>
      </c>
      <c r="BL67" s="208"/>
      <c r="BM67" s="425"/>
      <c r="BN67" s="406"/>
    </row>
    <row r="68" spans="1:66" x14ac:dyDescent="0.3">
      <c r="A68" s="164"/>
      <c r="B68" s="164"/>
      <c r="C68" s="164"/>
      <c r="D68" s="164"/>
      <c r="E68" s="142">
        <v>43</v>
      </c>
      <c r="F68" s="189" t="s">
        <v>245</v>
      </c>
      <c r="G68" s="142">
        <v>43</v>
      </c>
      <c r="H68" s="189" t="s">
        <v>245</v>
      </c>
      <c r="I68" s="142">
        <v>43</v>
      </c>
      <c r="J68" s="189" t="s">
        <v>245</v>
      </c>
      <c r="K68" s="142">
        <v>43</v>
      </c>
      <c r="L68" s="189" t="s">
        <v>245</v>
      </c>
      <c r="M68" s="164"/>
      <c r="N68" s="164"/>
      <c r="O68" s="164"/>
      <c r="P68" s="164"/>
      <c r="Q68" s="142">
        <v>43</v>
      </c>
      <c r="R68" s="189" t="s">
        <v>245</v>
      </c>
      <c r="S68" s="164"/>
      <c r="T68" s="142">
        <v>43</v>
      </c>
      <c r="U68" s="183"/>
      <c r="V68" s="164"/>
      <c r="W68" s="164"/>
      <c r="X68" s="40"/>
      <c r="Y68" s="142">
        <v>43</v>
      </c>
      <c r="Z68" s="207" t="s">
        <v>250</v>
      </c>
      <c r="AA68" s="425"/>
      <c r="AB68" s="406"/>
      <c r="AC68" s="40"/>
      <c r="AD68" s="142">
        <v>43</v>
      </c>
      <c r="AE68" s="207" t="s">
        <v>251</v>
      </c>
      <c r="AF68" s="425"/>
      <c r="AG68" s="406"/>
      <c r="AH68" s="40"/>
      <c r="AI68" s="406"/>
      <c r="AJ68" s="406"/>
      <c r="AK68" s="406"/>
      <c r="AL68" s="406"/>
      <c r="AM68" s="40"/>
      <c r="AN68" s="142">
        <v>43</v>
      </c>
      <c r="AO68" s="209"/>
      <c r="AP68" s="425"/>
      <c r="AQ68" s="426"/>
      <c r="AR68" s="142">
        <v>43</v>
      </c>
      <c r="AS68" s="209"/>
      <c r="AT68" s="425"/>
      <c r="AU68" s="426"/>
      <c r="AV68" s="142">
        <v>43</v>
      </c>
      <c r="AW68" s="209"/>
      <c r="AX68" s="425"/>
      <c r="AY68" s="426"/>
      <c r="AZ68" s="142">
        <v>43</v>
      </c>
      <c r="BA68" s="209"/>
      <c r="BB68" s="425"/>
      <c r="BC68" s="406"/>
      <c r="BD68" s="40"/>
      <c r="BE68" s="142">
        <v>43</v>
      </c>
      <c r="BF68" s="207" t="s">
        <v>252</v>
      </c>
      <c r="BG68" s="425"/>
      <c r="BH68" s="406"/>
      <c r="BI68" s="40"/>
      <c r="BJ68" s="40"/>
      <c r="BK68" s="142">
        <v>43</v>
      </c>
      <c r="BL68" s="208"/>
      <c r="BM68" s="425"/>
      <c r="BN68" s="406"/>
    </row>
    <row r="69" spans="1:66" x14ac:dyDescent="0.3">
      <c r="A69" s="164"/>
      <c r="B69" s="164"/>
      <c r="C69" s="164"/>
      <c r="D69" s="164"/>
      <c r="E69" s="142">
        <v>42</v>
      </c>
      <c r="F69" s="183"/>
      <c r="G69" s="142">
        <v>42</v>
      </c>
      <c r="H69" s="183"/>
      <c r="I69" s="142">
        <v>42</v>
      </c>
      <c r="J69" s="183"/>
      <c r="K69" s="142">
        <v>42</v>
      </c>
      <c r="L69" s="183"/>
      <c r="M69" s="164"/>
      <c r="N69" s="164"/>
      <c r="O69" s="164"/>
      <c r="P69" s="164"/>
      <c r="Q69" s="142">
        <v>42</v>
      </c>
      <c r="R69" s="183"/>
      <c r="S69" s="164"/>
      <c r="T69" s="142">
        <v>42</v>
      </c>
      <c r="U69" s="183"/>
      <c r="V69" s="164"/>
      <c r="W69" s="164"/>
      <c r="X69" s="40"/>
      <c r="Y69" s="142">
        <v>42</v>
      </c>
      <c r="Z69" s="210"/>
      <c r="AA69" s="425"/>
      <c r="AB69" s="406"/>
      <c r="AC69" s="40"/>
      <c r="AD69" s="142">
        <v>42</v>
      </c>
      <c r="AE69" s="210"/>
      <c r="AF69" s="425"/>
      <c r="AG69" s="406"/>
      <c r="AH69" s="40"/>
      <c r="AI69" s="406"/>
      <c r="AJ69" s="406"/>
      <c r="AK69" s="406"/>
      <c r="AL69" s="406"/>
      <c r="AM69" s="40"/>
      <c r="AN69" s="142">
        <v>42</v>
      </c>
      <c r="AO69" s="183"/>
      <c r="AP69" s="425"/>
      <c r="AQ69" s="426"/>
      <c r="AR69" s="142">
        <v>42</v>
      </c>
      <c r="AS69" s="183"/>
      <c r="AT69" s="425"/>
      <c r="AU69" s="426"/>
      <c r="AV69" s="142">
        <v>42</v>
      </c>
      <c r="AW69" s="183"/>
      <c r="AX69" s="425"/>
      <c r="AY69" s="426"/>
      <c r="AZ69" s="142">
        <v>42</v>
      </c>
      <c r="BA69" s="183"/>
      <c r="BB69" s="425"/>
      <c r="BC69" s="406"/>
      <c r="BD69" s="40"/>
      <c r="BE69" s="142">
        <v>42</v>
      </c>
      <c r="BF69" s="183"/>
      <c r="BG69" s="425"/>
      <c r="BH69" s="406"/>
      <c r="BI69" s="40"/>
      <c r="BJ69" s="40"/>
      <c r="BK69" s="142">
        <v>42</v>
      </c>
      <c r="BL69" s="200" t="s">
        <v>253</v>
      </c>
      <c r="BM69" s="425"/>
      <c r="BN69" s="406"/>
    </row>
    <row r="70" spans="1:66" x14ac:dyDescent="0.3">
      <c r="A70" s="164"/>
      <c r="B70" s="164"/>
      <c r="C70" s="164"/>
      <c r="D70" s="164"/>
      <c r="E70" s="143">
        <v>41</v>
      </c>
      <c r="F70" s="211" t="s">
        <v>253</v>
      </c>
      <c r="G70" s="143">
        <v>41</v>
      </c>
      <c r="H70" s="211" t="s">
        <v>253</v>
      </c>
      <c r="I70" s="143">
        <v>41</v>
      </c>
      <c r="J70" s="211" t="s">
        <v>253</v>
      </c>
      <c r="K70" s="143">
        <v>41</v>
      </c>
      <c r="L70" s="191" t="s">
        <v>253</v>
      </c>
      <c r="M70" s="164"/>
      <c r="N70" s="164"/>
      <c r="O70" s="164"/>
      <c r="P70" s="164"/>
      <c r="Q70" s="143">
        <v>41</v>
      </c>
      <c r="R70" s="191" t="s">
        <v>253</v>
      </c>
      <c r="S70" s="164"/>
      <c r="T70" s="143">
        <v>41</v>
      </c>
      <c r="U70" s="212" t="s">
        <v>253</v>
      </c>
      <c r="V70" s="164"/>
      <c r="W70" s="164"/>
      <c r="X70" s="40"/>
      <c r="Y70" s="143">
        <v>41</v>
      </c>
      <c r="Z70" s="191" t="s">
        <v>253</v>
      </c>
      <c r="AA70" s="425"/>
      <c r="AB70" s="406"/>
      <c r="AC70" s="40"/>
      <c r="AD70" s="143">
        <v>41</v>
      </c>
      <c r="AE70" s="191" t="s">
        <v>253</v>
      </c>
      <c r="AF70" s="425"/>
      <c r="AG70" s="406"/>
      <c r="AH70" s="40"/>
      <c r="AI70" s="406"/>
      <c r="AJ70" s="406"/>
      <c r="AK70" s="406"/>
      <c r="AL70" s="406"/>
      <c r="AM70" s="40"/>
      <c r="AN70" s="143">
        <v>41</v>
      </c>
      <c r="AO70" s="212" t="s">
        <v>253</v>
      </c>
      <c r="AP70" s="425"/>
      <c r="AQ70" s="426"/>
      <c r="AR70" s="143">
        <v>41</v>
      </c>
      <c r="AS70" s="212" t="s">
        <v>253</v>
      </c>
      <c r="AT70" s="425"/>
      <c r="AU70" s="426"/>
      <c r="AV70" s="143">
        <v>41</v>
      </c>
      <c r="AW70" s="212" t="s">
        <v>253</v>
      </c>
      <c r="AX70" s="425"/>
      <c r="AY70" s="426"/>
      <c r="AZ70" s="143">
        <v>41</v>
      </c>
      <c r="BA70" s="212" t="s">
        <v>253</v>
      </c>
      <c r="BB70" s="425"/>
      <c r="BC70" s="406"/>
      <c r="BD70" s="40"/>
      <c r="BE70" s="143">
        <v>41</v>
      </c>
      <c r="BF70" s="200" t="s">
        <v>253</v>
      </c>
      <c r="BG70" s="425"/>
      <c r="BH70" s="406"/>
      <c r="BI70" s="40"/>
      <c r="BJ70" s="40"/>
      <c r="BK70" s="143">
        <v>41</v>
      </c>
      <c r="BL70" s="200" t="s">
        <v>253</v>
      </c>
      <c r="BM70" s="425"/>
      <c r="BN70" s="406"/>
    </row>
    <row r="71" spans="1:66" x14ac:dyDescent="0.3">
      <c r="A71" s="164"/>
      <c r="B71" s="164"/>
      <c r="C71" s="164"/>
      <c r="D71" s="164"/>
      <c r="E71" s="143">
        <v>40</v>
      </c>
      <c r="F71" s="213" t="s">
        <v>257</v>
      </c>
      <c r="G71" s="143">
        <v>40</v>
      </c>
      <c r="H71" s="213" t="s">
        <v>257</v>
      </c>
      <c r="I71" s="143">
        <v>40</v>
      </c>
      <c r="J71" s="213" t="s">
        <v>257</v>
      </c>
      <c r="K71" s="143">
        <v>40</v>
      </c>
      <c r="L71" s="193" t="s">
        <v>257</v>
      </c>
      <c r="M71" s="164"/>
      <c r="N71" s="164"/>
      <c r="O71" s="164"/>
      <c r="P71" s="164"/>
      <c r="Q71" s="143">
        <v>40</v>
      </c>
      <c r="R71" s="193" t="s">
        <v>257</v>
      </c>
      <c r="S71" s="164"/>
      <c r="T71" s="143">
        <v>40</v>
      </c>
      <c r="U71" s="214" t="s">
        <v>257</v>
      </c>
      <c r="V71" s="164"/>
      <c r="W71" s="164"/>
      <c r="X71" s="40"/>
      <c r="Y71" s="143">
        <v>40</v>
      </c>
      <c r="Z71" s="183"/>
      <c r="AA71" s="425"/>
      <c r="AB71" s="406"/>
      <c r="AC71" s="40"/>
      <c r="AD71" s="143">
        <v>40</v>
      </c>
      <c r="AE71" s="183"/>
      <c r="AF71" s="425"/>
      <c r="AG71" s="406"/>
      <c r="AH71" s="40"/>
      <c r="AI71" s="406"/>
      <c r="AJ71" s="406"/>
      <c r="AK71" s="406"/>
      <c r="AL71" s="406"/>
      <c r="AM71" s="40"/>
      <c r="AN71" s="143">
        <v>40</v>
      </c>
      <c r="AO71" s="215"/>
      <c r="AP71" s="425"/>
      <c r="AQ71" s="426"/>
      <c r="AR71" s="143">
        <v>40</v>
      </c>
      <c r="AS71" s="209"/>
      <c r="AT71" s="425"/>
      <c r="AU71" s="426"/>
      <c r="AV71" s="143">
        <v>40</v>
      </c>
      <c r="AW71" s="209"/>
      <c r="AX71" s="425"/>
      <c r="AY71" s="426"/>
      <c r="AZ71" s="143">
        <v>40</v>
      </c>
      <c r="BA71" s="216"/>
      <c r="BB71" s="425"/>
      <c r="BC71" s="406"/>
      <c r="BD71" s="40"/>
      <c r="BE71" s="143">
        <v>40</v>
      </c>
      <c r="BF71" s="183"/>
      <c r="BG71" s="425"/>
      <c r="BH71" s="406"/>
      <c r="BI71" s="40"/>
      <c r="BJ71" s="40"/>
      <c r="BK71" s="143">
        <v>40</v>
      </c>
      <c r="BL71" s="428" t="s">
        <v>247</v>
      </c>
      <c r="BM71" s="425"/>
      <c r="BN71" s="406"/>
    </row>
    <row r="72" spans="1:66" x14ac:dyDescent="0.3">
      <c r="A72" s="164"/>
      <c r="B72" s="164"/>
      <c r="C72" s="164"/>
      <c r="D72" s="164"/>
      <c r="E72" s="143">
        <v>39</v>
      </c>
      <c r="F72" s="195" t="s">
        <v>259</v>
      </c>
      <c r="G72" s="143">
        <v>39</v>
      </c>
      <c r="H72" s="195" t="s">
        <v>259</v>
      </c>
      <c r="I72" s="143">
        <v>39</v>
      </c>
      <c r="J72" s="195" t="s">
        <v>259</v>
      </c>
      <c r="K72" s="143">
        <v>39</v>
      </c>
      <c r="L72" s="195" t="s">
        <v>259</v>
      </c>
      <c r="M72" s="164"/>
      <c r="N72" s="164"/>
      <c r="O72" s="164"/>
      <c r="P72" s="164"/>
      <c r="Q72" s="143">
        <v>39</v>
      </c>
      <c r="R72" s="195" t="s">
        <v>259</v>
      </c>
      <c r="S72" s="164"/>
      <c r="T72" s="143">
        <v>39</v>
      </c>
      <c r="U72" s="217" t="s">
        <v>259</v>
      </c>
      <c r="V72" s="164"/>
      <c r="W72" s="164"/>
      <c r="X72" s="40"/>
      <c r="Y72" s="143">
        <v>39</v>
      </c>
      <c r="Z72" s="195" t="s">
        <v>259</v>
      </c>
      <c r="AA72" s="425"/>
      <c r="AB72" s="406"/>
      <c r="AC72" s="40"/>
      <c r="AD72" s="143">
        <v>39</v>
      </c>
      <c r="AE72" s="195" t="s">
        <v>259</v>
      </c>
      <c r="AF72" s="425"/>
      <c r="AG72" s="406"/>
      <c r="AH72" s="40"/>
      <c r="AI72" s="406"/>
      <c r="AJ72" s="406"/>
      <c r="AK72" s="406"/>
      <c r="AL72" s="406"/>
      <c r="AM72" s="40"/>
      <c r="AN72" s="218">
        <v>39</v>
      </c>
      <c r="AO72" s="429" t="s">
        <v>258</v>
      </c>
      <c r="AP72" s="427"/>
      <c r="AQ72" s="426"/>
      <c r="AR72" s="143">
        <v>39</v>
      </c>
      <c r="AS72" s="209"/>
      <c r="AT72" s="425"/>
      <c r="AU72" s="426"/>
      <c r="AV72" s="143">
        <v>39</v>
      </c>
      <c r="AW72" s="209"/>
      <c r="AX72" s="425"/>
      <c r="AY72" s="426"/>
      <c r="AZ72" s="143">
        <v>39</v>
      </c>
      <c r="BA72" s="216"/>
      <c r="BB72" s="425"/>
      <c r="BC72" s="406"/>
      <c r="BD72" s="40"/>
      <c r="BE72" s="143">
        <v>39</v>
      </c>
      <c r="BF72" s="420" t="s">
        <v>256</v>
      </c>
      <c r="BG72" s="425"/>
      <c r="BH72" s="406"/>
      <c r="BI72" s="40"/>
      <c r="BJ72" s="40"/>
      <c r="BK72" s="143">
        <v>39</v>
      </c>
      <c r="BL72" s="421"/>
      <c r="BM72" s="425"/>
      <c r="BN72" s="406"/>
    </row>
    <row r="73" spans="1:66" x14ac:dyDescent="0.3">
      <c r="A73" s="164"/>
      <c r="B73" s="164"/>
      <c r="C73" s="164"/>
      <c r="D73" s="164"/>
      <c r="E73" s="143">
        <v>38</v>
      </c>
      <c r="F73" s="420" t="s">
        <v>260</v>
      </c>
      <c r="G73" s="143">
        <v>38</v>
      </c>
      <c r="H73" s="420" t="s">
        <v>261</v>
      </c>
      <c r="I73" s="143">
        <v>38</v>
      </c>
      <c r="J73" s="420" t="s">
        <v>262</v>
      </c>
      <c r="K73" s="143">
        <v>38</v>
      </c>
      <c r="L73" s="420" t="s">
        <v>263</v>
      </c>
      <c r="M73" s="164"/>
      <c r="N73" s="164"/>
      <c r="O73" s="164"/>
      <c r="P73" s="164"/>
      <c r="Q73" s="143">
        <v>38</v>
      </c>
      <c r="R73" s="420" t="s">
        <v>264</v>
      </c>
      <c r="S73" s="164"/>
      <c r="T73" s="143">
        <v>38</v>
      </c>
      <c r="U73" s="184"/>
      <c r="V73" s="164"/>
      <c r="W73" s="164"/>
      <c r="X73" s="40"/>
      <c r="Y73" s="143">
        <v>38</v>
      </c>
      <c r="Z73" s="183"/>
      <c r="AA73" s="425"/>
      <c r="AB73" s="406"/>
      <c r="AC73" s="40"/>
      <c r="AD73" s="143">
        <v>38</v>
      </c>
      <c r="AE73" s="183"/>
      <c r="AF73" s="425"/>
      <c r="AG73" s="406"/>
      <c r="AH73" s="40"/>
      <c r="AI73" s="406"/>
      <c r="AJ73" s="406"/>
      <c r="AK73" s="406"/>
      <c r="AL73" s="406"/>
      <c r="AM73" s="40"/>
      <c r="AN73" s="218">
        <v>38</v>
      </c>
      <c r="AO73" s="430"/>
      <c r="AP73" s="427"/>
      <c r="AQ73" s="426"/>
      <c r="AR73" s="143">
        <v>38</v>
      </c>
      <c r="AS73" s="183"/>
      <c r="AT73" s="425"/>
      <c r="AU73" s="426"/>
      <c r="AV73" s="143">
        <v>38</v>
      </c>
      <c r="AW73" s="183"/>
      <c r="AX73" s="425"/>
      <c r="AY73" s="426"/>
      <c r="AZ73" s="143">
        <v>38</v>
      </c>
      <c r="BA73" s="183"/>
      <c r="BB73" s="425"/>
      <c r="BC73" s="406"/>
      <c r="BD73" s="40"/>
      <c r="BE73" s="143">
        <v>38</v>
      </c>
      <c r="BF73" s="421"/>
      <c r="BG73" s="425"/>
      <c r="BH73" s="406"/>
      <c r="BI73" s="40"/>
      <c r="BJ73" s="40"/>
      <c r="BK73" s="143">
        <v>38</v>
      </c>
      <c r="BL73" s="208"/>
      <c r="BM73" s="425"/>
      <c r="BN73" s="406"/>
    </row>
    <row r="74" spans="1:66" x14ac:dyDescent="0.3">
      <c r="A74" s="164"/>
      <c r="B74" s="164"/>
      <c r="C74" s="164"/>
      <c r="D74" s="164"/>
      <c r="E74" s="143">
        <v>37</v>
      </c>
      <c r="F74" s="421"/>
      <c r="G74" s="143">
        <v>37</v>
      </c>
      <c r="H74" s="421"/>
      <c r="I74" s="143">
        <v>37</v>
      </c>
      <c r="J74" s="421"/>
      <c r="K74" s="143">
        <v>37</v>
      </c>
      <c r="L74" s="421"/>
      <c r="M74" s="164"/>
      <c r="N74" s="164"/>
      <c r="O74" s="164"/>
      <c r="P74" s="164"/>
      <c r="Q74" s="143">
        <v>37</v>
      </c>
      <c r="R74" s="421"/>
      <c r="S74" s="164"/>
      <c r="T74" s="143">
        <v>37</v>
      </c>
      <c r="U74" s="209"/>
      <c r="V74" s="164"/>
      <c r="W74" s="164"/>
      <c r="X74" s="40"/>
      <c r="Y74" s="143">
        <v>37</v>
      </c>
      <c r="Z74" s="429" t="s">
        <v>258</v>
      </c>
      <c r="AA74" s="427"/>
      <c r="AB74" s="406"/>
      <c r="AC74" s="40"/>
      <c r="AD74" s="143">
        <v>37</v>
      </c>
      <c r="AE74" s="183"/>
      <c r="AF74" s="425"/>
      <c r="AG74" s="406"/>
      <c r="AH74" s="40"/>
      <c r="AI74" s="406"/>
      <c r="AJ74" s="406"/>
      <c r="AK74" s="406"/>
      <c r="AL74" s="406"/>
      <c r="AM74" s="40"/>
      <c r="AN74" s="218">
        <v>37</v>
      </c>
      <c r="AO74" s="219"/>
      <c r="AP74" s="427"/>
      <c r="AQ74" s="426"/>
      <c r="AR74" s="143">
        <v>37</v>
      </c>
      <c r="AS74" s="433" t="s">
        <v>267</v>
      </c>
      <c r="AT74" s="425"/>
      <c r="AU74" s="426"/>
      <c r="AV74" s="143">
        <v>37</v>
      </c>
      <c r="AW74" s="209"/>
      <c r="AX74" s="425"/>
      <c r="AY74" s="426"/>
      <c r="AZ74" s="143">
        <v>37</v>
      </c>
      <c r="BA74" s="209"/>
      <c r="BB74" s="425"/>
      <c r="BC74" s="406"/>
      <c r="BD74" s="40"/>
      <c r="BE74" s="143">
        <v>37</v>
      </c>
      <c r="BF74" s="183"/>
      <c r="BG74" s="425"/>
      <c r="BH74" s="406"/>
      <c r="BI74" s="40"/>
      <c r="BJ74" s="40"/>
      <c r="BK74" s="143">
        <v>37</v>
      </c>
      <c r="BL74" s="420" t="s">
        <v>254</v>
      </c>
      <c r="BM74" s="425"/>
      <c r="BN74" s="406"/>
    </row>
    <row r="75" spans="1:66" x14ac:dyDescent="0.3">
      <c r="A75" s="164"/>
      <c r="B75" s="164"/>
      <c r="C75" s="164"/>
      <c r="D75" s="164"/>
      <c r="E75" s="143">
        <v>36</v>
      </c>
      <c r="F75" s="183"/>
      <c r="G75" s="143">
        <v>36</v>
      </c>
      <c r="H75" s="183"/>
      <c r="I75" s="143">
        <v>36</v>
      </c>
      <c r="J75" s="183"/>
      <c r="K75" s="143">
        <v>36</v>
      </c>
      <c r="L75" s="183"/>
      <c r="M75" s="164"/>
      <c r="N75" s="164"/>
      <c r="O75" s="164"/>
      <c r="P75" s="164"/>
      <c r="Q75" s="143">
        <v>36</v>
      </c>
      <c r="R75" s="183"/>
      <c r="S75" s="164"/>
      <c r="T75" s="143">
        <v>36</v>
      </c>
      <c r="U75" s="209"/>
      <c r="V75" s="164"/>
      <c r="W75" s="164"/>
      <c r="X75" s="40"/>
      <c r="Y75" s="143">
        <v>36</v>
      </c>
      <c r="Z75" s="430"/>
      <c r="AA75" s="427"/>
      <c r="AB75" s="406"/>
      <c r="AC75" s="40"/>
      <c r="AD75" s="143">
        <v>36</v>
      </c>
      <c r="AE75" s="183"/>
      <c r="AF75" s="425"/>
      <c r="AG75" s="406"/>
      <c r="AH75" s="40"/>
      <c r="AI75" s="406"/>
      <c r="AJ75" s="406"/>
      <c r="AK75" s="406"/>
      <c r="AL75" s="406"/>
      <c r="AM75" s="40"/>
      <c r="AN75" s="218">
        <v>36</v>
      </c>
      <c r="AO75" s="431" t="s">
        <v>266</v>
      </c>
      <c r="AP75" s="427"/>
      <c r="AQ75" s="426"/>
      <c r="AR75" s="143">
        <v>36</v>
      </c>
      <c r="AS75" s="434"/>
      <c r="AT75" s="425"/>
      <c r="AU75" s="426"/>
      <c r="AV75" s="143">
        <v>36</v>
      </c>
      <c r="AW75" s="209"/>
      <c r="AX75" s="425"/>
      <c r="AY75" s="426"/>
      <c r="AZ75" s="143">
        <v>36</v>
      </c>
      <c r="BA75" s="209"/>
      <c r="BB75" s="425"/>
      <c r="BC75" s="406"/>
      <c r="BD75" s="40"/>
      <c r="BE75" s="143">
        <v>36</v>
      </c>
      <c r="BF75" s="420" t="s">
        <v>265</v>
      </c>
      <c r="BG75" s="425"/>
      <c r="BH75" s="406"/>
      <c r="BI75" s="40"/>
      <c r="BJ75" s="40"/>
      <c r="BK75" s="143">
        <v>36</v>
      </c>
      <c r="BL75" s="421"/>
      <c r="BM75" s="425"/>
      <c r="BN75" s="406"/>
    </row>
    <row r="76" spans="1:66" x14ac:dyDescent="0.3">
      <c r="A76" s="164"/>
      <c r="B76" s="164"/>
      <c r="C76" s="164"/>
      <c r="D76" s="164"/>
      <c r="E76" s="143">
        <v>35</v>
      </c>
      <c r="F76" s="420" t="s">
        <v>268</v>
      </c>
      <c r="G76" s="143">
        <v>35</v>
      </c>
      <c r="H76" s="420" t="s">
        <v>269</v>
      </c>
      <c r="I76" s="143">
        <v>35</v>
      </c>
      <c r="J76" s="420" t="s">
        <v>270</v>
      </c>
      <c r="K76" s="143">
        <v>35</v>
      </c>
      <c r="L76" s="420" t="s">
        <v>271</v>
      </c>
      <c r="M76" s="164"/>
      <c r="N76" s="164"/>
      <c r="O76" s="164"/>
      <c r="P76" s="164"/>
      <c r="Q76" s="143">
        <v>35</v>
      </c>
      <c r="R76" s="420" t="s">
        <v>272</v>
      </c>
      <c r="S76" s="164"/>
      <c r="T76" s="143">
        <v>35</v>
      </c>
      <c r="U76" s="209"/>
      <c r="V76" s="164"/>
      <c r="W76" s="164"/>
      <c r="X76" s="40"/>
      <c r="Y76" s="143">
        <v>35</v>
      </c>
      <c r="Z76" s="219"/>
      <c r="AA76" s="427"/>
      <c r="AB76" s="406"/>
      <c r="AC76" s="40"/>
      <c r="AD76" s="143">
        <v>35</v>
      </c>
      <c r="AE76" s="183"/>
      <c r="AF76" s="425"/>
      <c r="AG76" s="406"/>
      <c r="AH76" s="40"/>
      <c r="AI76" s="406"/>
      <c r="AJ76" s="406"/>
      <c r="AK76" s="406"/>
      <c r="AL76" s="406"/>
      <c r="AM76" s="40"/>
      <c r="AN76" s="218">
        <v>35</v>
      </c>
      <c r="AO76" s="432"/>
      <c r="AP76" s="427"/>
      <c r="AQ76" s="426"/>
      <c r="AR76" s="143">
        <v>35</v>
      </c>
      <c r="AS76" s="208"/>
      <c r="AT76" s="425"/>
      <c r="AU76" s="426"/>
      <c r="AV76" s="143">
        <v>35</v>
      </c>
      <c r="AW76" s="208"/>
      <c r="AX76" s="425"/>
      <c r="AY76" s="426"/>
      <c r="AZ76" s="143">
        <v>35</v>
      </c>
      <c r="BA76" s="208"/>
      <c r="BB76" s="425"/>
      <c r="BC76" s="406"/>
      <c r="BD76" s="40"/>
      <c r="BE76" s="143">
        <v>35</v>
      </c>
      <c r="BF76" s="421"/>
      <c r="BG76" s="425"/>
      <c r="BH76" s="406"/>
      <c r="BI76" s="40"/>
      <c r="BJ76" s="40"/>
      <c r="BK76" s="143">
        <v>35</v>
      </c>
      <c r="BL76" s="208"/>
      <c r="BM76" s="425"/>
      <c r="BN76" s="406"/>
    </row>
    <row r="77" spans="1:66" x14ac:dyDescent="0.3">
      <c r="A77" s="164"/>
      <c r="B77" s="164"/>
      <c r="C77" s="164"/>
      <c r="D77" s="164"/>
      <c r="E77" s="143">
        <v>34</v>
      </c>
      <c r="F77" s="421"/>
      <c r="G77" s="143">
        <v>34</v>
      </c>
      <c r="H77" s="421"/>
      <c r="I77" s="143">
        <v>34</v>
      </c>
      <c r="J77" s="421"/>
      <c r="K77" s="143">
        <v>34</v>
      </c>
      <c r="L77" s="421"/>
      <c r="M77" s="164"/>
      <c r="N77" s="164"/>
      <c r="O77" s="164"/>
      <c r="P77" s="164"/>
      <c r="Q77" s="143">
        <v>34</v>
      </c>
      <c r="R77" s="422"/>
      <c r="S77" s="164"/>
      <c r="T77" s="143">
        <v>34</v>
      </c>
      <c r="U77" s="209"/>
      <c r="V77" s="164"/>
      <c r="W77" s="164"/>
      <c r="X77" s="40"/>
      <c r="Y77" s="143">
        <v>34</v>
      </c>
      <c r="Z77" s="431" t="s">
        <v>266</v>
      </c>
      <c r="AA77" s="427"/>
      <c r="AB77" s="406"/>
      <c r="AC77" s="40"/>
      <c r="AD77" s="143">
        <v>34</v>
      </c>
      <c r="AE77" s="183"/>
      <c r="AF77" s="425"/>
      <c r="AG77" s="406"/>
      <c r="AH77" s="40"/>
      <c r="AI77" s="406"/>
      <c r="AJ77" s="406"/>
      <c r="AK77" s="406"/>
      <c r="AL77" s="406"/>
      <c r="AM77" s="40"/>
      <c r="AN77" s="143">
        <v>34</v>
      </c>
      <c r="AO77" s="220"/>
      <c r="AP77" s="425"/>
      <c r="AQ77" s="426"/>
      <c r="AR77" s="143">
        <v>34</v>
      </c>
      <c r="AS77" s="184"/>
      <c r="AT77" s="425"/>
      <c r="AU77" s="426"/>
      <c r="AV77" s="143">
        <v>34</v>
      </c>
      <c r="AW77" s="184"/>
      <c r="AX77" s="425"/>
      <c r="AY77" s="426"/>
      <c r="AZ77" s="143">
        <v>34</v>
      </c>
      <c r="BA77" s="184"/>
      <c r="BB77" s="425"/>
      <c r="BC77" s="406"/>
      <c r="BD77" s="40"/>
      <c r="BE77" s="143">
        <v>34</v>
      </c>
      <c r="BF77" s="183"/>
      <c r="BG77" s="425"/>
      <c r="BH77" s="406"/>
      <c r="BI77" s="40"/>
      <c r="BJ77" s="40"/>
      <c r="BK77" s="143">
        <v>34</v>
      </c>
      <c r="BL77" s="221" t="s">
        <v>369</v>
      </c>
      <c r="BM77" s="425"/>
      <c r="BN77" s="406"/>
    </row>
    <row r="78" spans="1:66" x14ac:dyDescent="0.3">
      <c r="A78" s="164"/>
      <c r="B78" s="164"/>
      <c r="C78" s="164"/>
      <c r="D78" s="164"/>
      <c r="E78" s="143">
        <v>33</v>
      </c>
      <c r="F78" s="183"/>
      <c r="G78" s="143">
        <v>33</v>
      </c>
      <c r="H78" s="183"/>
      <c r="I78" s="143">
        <v>33</v>
      </c>
      <c r="J78" s="183"/>
      <c r="K78" s="143">
        <v>33</v>
      </c>
      <c r="L78" s="183"/>
      <c r="M78" s="164"/>
      <c r="N78" s="164"/>
      <c r="O78" s="164"/>
      <c r="P78" s="164"/>
      <c r="Q78" s="143">
        <v>33</v>
      </c>
      <c r="R78" s="210"/>
      <c r="S78" s="164"/>
      <c r="T78" s="143">
        <v>33</v>
      </c>
      <c r="U78" s="208"/>
      <c r="V78" s="164"/>
      <c r="W78" s="164"/>
      <c r="X78" s="40"/>
      <c r="Y78" s="143">
        <v>33</v>
      </c>
      <c r="Z78" s="435"/>
      <c r="AA78" s="427"/>
      <c r="AB78" s="406"/>
      <c r="AC78" s="40"/>
      <c r="AD78" s="143">
        <v>33</v>
      </c>
      <c r="AE78" s="183"/>
      <c r="AF78" s="425"/>
      <c r="AG78" s="406"/>
      <c r="AH78" s="40"/>
      <c r="AI78" s="406"/>
      <c r="AJ78" s="406"/>
      <c r="AK78" s="406"/>
      <c r="AL78" s="406"/>
      <c r="AM78" s="40"/>
      <c r="AN78" s="143">
        <v>33</v>
      </c>
      <c r="AO78" s="420" t="s">
        <v>274</v>
      </c>
      <c r="AP78" s="425"/>
      <c r="AQ78" s="426"/>
      <c r="AR78" s="143">
        <v>33</v>
      </c>
      <c r="AS78" s="420" t="s">
        <v>274</v>
      </c>
      <c r="AT78" s="425"/>
      <c r="AU78" s="426"/>
      <c r="AV78" s="143">
        <v>33</v>
      </c>
      <c r="AW78" s="184"/>
      <c r="AX78" s="425"/>
      <c r="AY78" s="426"/>
      <c r="AZ78" s="143">
        <v>33</v>
      </c>
      <c r="BA78" s="184"/>
      <c r="BB78" s="425"/>
      <c r="BC78" s="406"/>
      <c r="BD78" s="40"/>
      <c r="BE78" s="143">
        <v>33</v>
      </c>
      <c r="BF78" s="420" t="s">
        <v>273</v>
      </c>
      <c r="BG78" s="425"/>
      <c r="BH78" s="406"/>
      <c r="BI78" s="40"/>
      <c r="BJ78" s="40"/>
      <c r="BK78" s="143">
        <v>33</v>
      </c>
      <c r="BL78" s="221" t="s">
        <v>368</v>
      </c>
      <c r="BM78" s="425"/>
      <c r="BN78" s="406"/>
    </row>
    <row r="79" spans="1:66" x14ac:dyDescent="0.3">
      <c r="A79" s="164"/>
      <c r="B79" s="164"/>
      <c r="C79" s="164"/>
      <c r="D79" s="164"/>
      <c r="E79" s="143">
        <v>32</v>
      </c>
      <c r="F79" s="420" t="s">
        <v>275</v>
      </c>
      <c r="G79" s="143">
        <v>32</v>
      </c>
      <c r="H79" s="420" t="s">
        <v>276</v>
      </c>
      <c r="I79" s="143">
        <v>32</v>
      </c>
      <c r="J79" s="420" t="s">
        <v>277</v>
      </c>
      <c r="K79" s="143">
        <v>32</v>
      </c>
      <c r="L79" s="420" t="s">
        <v>278</v>
      </c>
      <c r="M79" s="164"/>
      <c r="N79" s="164"/>
      <c r="O79" s="164"/>
      <c r="P79" s="164"/>
      <c r="Q79" s="143">
        <v>32</v>
      </c>
      <c r="R79" s="420" t="s">
        <v>279</v>
      </c>
      <c r="S79" s="164"/>
      <c r="T79" s="143">
        <v>32</v>
      </c>
      <c r="U79" s="184"/>
      <c r="V79" s="164"/>
      <c r="W79" s="164"/>
      <c r="X79" s="40"/>
      <c r="Y79" s="143">
        <v>32</v>
      </c>
      <c r="Z79" s="183"/>
      <c r="AA79" s="425"/>
      <c r="AB79" s="406"/>
      <c r="AC79" s="40"/>
      <c r="AD79" s="143">
        <v>32</v>
      </c>
      <c r="AE79" s="183"/>
      <c r="AF79" s="425"/>
      <c r="AG79" s="406"/>
      <c r="AH79" s="40"/>
      <c r="AI79" s="406"/>
      <c r="AJ79" s="406"/>
      <c r="AK79" s="406"/>
      <c r="AL79" s="406"/>
      <c r="AM79" s="40"/>
      <c r="AN79" s="143">
        <v>32</v>
      </c>
      <c r="AO79" s="421"/>
      <c r="AP79" s="425"/>
      <c r="AQ79" s="426"/>
      <c r="AR79" s="143">
        <v>32</v>
      </c>
      <c r="AS79" s="421"/>
      <c r="AT79" s="425"/>
      <c r="AU79" s="426"/>
      <c r="AV79" s="143">
        <v>32</v>
      </c>
      <c r="AW79" s="184"/>
      <c r="AX79" s="425"/>
      <c r="AY79" s="426"/>
      <c r="AZ79" s="143">
        <v>32</v>
      </c>
      <c r="BA79" s="184"/>
      <c r="BB79" s="425"/>
      <c r="BC79" s="406"/>
      <c r="BD79" s="40"/>
      <c r="BE79" s="143">
        <v>32</v>
      </c>
      <c r="BF79" s="421"/>
      <c r="BG79" s="425"/>
      <c r="BH79" s="406"/>
      <c r="BI79" s="40"/>
      <c r="BJ79" s="40"/>
      <c r="BK79" s="143">
        <v>32</v>
      </c>
      <c r="BL79" s="208"/>
      <c r="BM79" s="425"/>
      <c r="BN79" s="406"/>
    </row>
    <row r="80" spans="1:66" x14ac:dyDescent="0.3">
      <c r="A80" s="164"/>
      <c r="B80" s="164"/>
      <c r="C80" s="164"/>
      <c r="D80" s="164"/>
      <c r="E80" s="143">
        <v>31</v>
      </c>
      <c r="F80" s="421"/>
      <c r="G80" s="143">
        <v>31</v>
      </c>
      <c r="H80" s="421"/>
      <c r="I80" s="143">
        <v>31</v>
      </c>
      <c r="J80" s="421"/>
      <c r="K80" s="143">
        <v>31</v>
      </c>
      <c r="L80" s="421"/>
      <c r="M80" s="164"/>
      <c r="N80" s="164"/>
      <c r="O80" s="164"/>
      <c r="P80" s="164"/>
      <c r="Q80" s="143">
        <v>31</v>
      </c>
      <c r="R80" s="422"/>
      <c r="S80" s="164"/>
      <c r="T80" s="143">
        <v>31</v>
      </c>
      <c r="U80" s="208"/>
      <c r="V80" s="164"/>
      <c r="W80" s="164"/>
      <c r="X80" s="40"/>
      <c r="Y80" s="143">
        <v>31</v>
      </c>
      <c r="Z80" s="420" t="s">
        <v>280</v>
      </c>
      <c r="AA80" s="425"/>
      <c r="AB80" s="406"/>
      <c r="AC80" s="40"/>
      <c r="AD80" s="143">
        <v>31</v>
      </c>
      <c r="AE80" s="420" t="s">
        <v>281</v>
      </c>
      <c r="AF80" s="425"/>
      <c r="AG80" s="406"/>
      <c r="AH80" s="40"/>
      <c r="AI80" s="406"/>
      <c r="AJ80" s="406"/>
      <c r="AK80" s="406"/>
      <c r="AL80" s="406"/>
      <c r="AM80" s="40"/>
      <c r="AN80" s="143">
        <v>31</v>
      </c>
      <c r="AO80" s="184"/>
      <c r="AP80" s="425"/>
      <c r="AQ80" s="426"/>
      <c r="AR80" s="143">
        <v>31</v>
      </c>
      <c r="AS80" s="184"/>
      <c r="AT80" s="425"/>
      <c r="AU80" s="426"/>
      <c r="AV80" s="143">
        <v>31</v>
      </c>
      <c r="AW80" s="184"/>
      <c r="AX80" s="425"/>
      <c r="AY80" s="426"/>
      <c r="AZ80" s="143">
        <v>31</v>
      </c>
      <c r="BA80" s="184"/>
      <c r="BB80" s="425"/>
      <c r="BC80" s="406"/>
      <c r="BD80" s="40"/>
      <c r="BE80" s="143">
        <v>31</v>
      </c>
      <c r="BF80" s="183"/>
      <c r="BG80" s="425"/>
      <c r="BH80" s="406"/>
      <c r="BI80" s="40"/>
      <c r="BJ80" s="40"/>
      <c r="BK80" s="143">
        <v>31</v>
      </c>
      <c r="BL80" s="221" t="s">
        <v>367</v>
      </c>
      <c r="BM80" s="425"/>
      <c r="BN80" s="406"/>
    </row>
    <row r="81" spans="1:66" x14ac:dyDescent="0.3">
      <c r="A81" s="164"/>
      <c r="B81" s="164"/>
      <c r="C81" s="164"/>
      <c r="D81" s="164"/>
      <c r="E81" s="143">
        <v>30</v>
      </c>
      <c r="F81" s="183"/>
      <c r="G81" s="143">
        <v>30</v>
      </c>
      <c r="H81" s="183"/>
      <c r="I81" s="143">
        <v>30</v>
      </c>
      <c r="J81" s="183"/>
      <c r="K81" s="143">
        <v>30</v>
      </c>
      <c r="L81" s="183"/>
      <c r="M81" s="164"/>
      <c r="N81" s="164"/>
      <c r="O81" s="164"/>
      <c r="P81" s="164"/>
      <c r="Q81" s="143">
        <v>30</v>
      </c>
      <c r="R81" s="210"/>
      <c r="S81" s="164"/>
      <c r="T81" s="143">
        <v>30</v>
      </c>
      <c r="U81" s="208"/>
      <c r="V81" s="164"/>
      <c r="W81" s="164"/>
      <c r="X81" s="40"/>
      <c r="Y81" s="143">
        <v>30</v>
      </c>
      <c r="Z81" s="421"/>
      <c r="AA81" s="425"/>
      <c r="AB81" s="406"/>
      <c r="AC81" s="40"/>
      <c r="AD81" s="143">
        <v>30</v>
      </c>
      <c r="AE81" s="421"/>
      <c r="AF81" s="425"/>
      <c r="AG81" s="406"/>
      <c r="AH81" s="40"/>
      <c r="AI81" s="406"/>
      <c r="AJ81" s="406"/>
      <c r="AK81" s="406"/>
      <c r="AL81" s="406"/>
      <c r="AM81" s="40"/>
      <c r="AN81" s="143">
        <v>30</v>
      </c>
      <c r="AO81" s="184"/>
      <c r="AP81" s="425"/>
      <c r="AQ81" s="426"/>
      <c r="AR81" s="143">
        <v>30</v>
      </c>
      <c r="AS81" s="184"/>
      <c r="AT81" s="425"/>
      <c r="AU81" s="426"/>
      <c r="AV81" s="143">
        <v>30</v>
      </c>
      <c r="AW81" s="184"/>
      <c r="AX81" s="425"/>
      <c r="AY81" s="426"/>
      <c r="AZ81" s="143">
        <v>30</v>
      </c>
      <c r="BA81" s="184"/>
      <c r="BB81" s="425"/>
      <c r="BC81" s="406"/>
      <c r="BD81" s="40"/>
      <c r="BE81" s="143">
        <v>30</v>
      </c>
      <c r="BF81" s="420" t="s">
        <v>282</v>
      </c>
      <c r="BG81" s="425"/>
      <c r="BH81" s="406"/>
      <c r="BI81" s="40"/>
      <c r="BJ81" s="40"/>
      <c r="BK81" s="143">
        <v>30</v>
      </c>
      <c r="BL81" s="221" t="s">
        <v>366</v>
      </c>
      <c r="BM81" s="425"/>
      <c r="BN81" s="406"/>
    </row>
    <row r="82" spans="1:66" x14ac:dyDescent="0.3">
      <c r="A82" s="164"/>
      <c r="B82" s="164"/>
      <c r="C82" s="164"/>
      <c r="D82" s="164"/>
      <c r="E82" s="143">
        <v>29</v>
      </c>
      <c r="F82" s="420" t="s">
        <v>283</v>
      </c>
      <c r="G82" s="143">
        <v>29</v>
      </c>
      <c r="H82" s="420" t="s">
        <v>284</v>
      </c>
      <c r="I82" s="143">
        <v>29</v>
      </c>
      <c r="J82" s="420" t="s">
        <v>285</v>
      </c>
      <c r="K82" s="143">
        <v>29</v>
      </c>
      <c r="L82" s="420" t="s">
        <v>286</v>
      </c>
      <c r="M82" s="164"/>
      <c r="N82" s="164"/>
      <c r="O82" s="164"/>
      <c r="P82" s="164"/>
      <c r="Q82" s="143">
        <v>29</v>
      </c>
      <c r="R82" s="420" t="s">
        <v>287</v>
      </c>
      <c r="S82" s="164"/>
      <c r="T82" s="143">
        <v>29</v>
      </c>
      <c r="U82" s="189" t="s">
        <v>243</v>
      </c>
      <c r="V82" s="164"/>
      <c r="W82" s="164"/>
      <c r="X82" s="40"/>
      <c r="Y82" s="143">
        <v>29</v>
      </c>
      <c r="Z82" s="183"/>
      <c r="AA82" s="425"/>
      <c r="AB82" s="406"/>
      <c r="AC82" s="40"/>
      <c r="AD82" s="143">
        <v>29</v>
      </c>
      <c r="AE82" s="183"/>
      <c r="AF82" s="425"/>
      <c r="AG82" s="406"/>
      <c r="AH82" s="40"/>
      <c r="AI82" s="406"/>
      <c r="AJ82" s="406"/>
      <c r="AK82" s="406"/>
      <c r="AL82" s="406"/>
      <c r="AM82" s="40"/>
      <c r="AN82" s="143">
        <v>29</v>
      </c>
      <c r="AO82" s="420" t="s">
        <v>290</v>
      </c>
      <c r="AP82" s="425"/>
      <c r="AQ82" s="426"/>
      <c r="AR82" s="143">
        <v>29</v>
      </c>
      <c r="AS82" s="420" t="s">
        <v>291</v>
      </c>
      <c r="AT82" s="425"/>
      <c r="AU82" s="426"/>
      <c r="AV82" s="143">
        <v>29</v>
      </c>
      <c r="AW82" s="420" t="s">
        <v>292</v>
      </c>
      <c r="AX82" s="425"/>
      <c r="AY82" s="426"/>
      <c r="AZ82" s="143">
        <v>29</v>
      </c>
      <c r="BA82" s="420" t="s">
        <v>293</v>
      </c>
      <c r="BB82" s="425"/>
      <c r="BC82" s="406"/>
      <c r="BD82" s="40"/>
      <c r="BE82" s="143">
        <v>29</v>
      </c>
      <c r="BF82" s="421"/>
      <c r="BG82" s="425"/>
      <c r="BH82" s="406"/>
      <c r="BI82" s="40"/>
      <c r="BJ82" s="40"/>
      <c r="BK82" s="143">
        <v>29</v>
      </c>
      <c r="BL82" s="208"/>
      <c r="BM82" s="425"/>
      <c r="BN82" s="406"/>
    </row>
    <row r="83" spans="1:66" x14ac:dyDescent="0.3">
      <c r="A83" s="164"/>
      <c r="B83" s="164"/>
      <c r="C83" s="164"/>
      <c r="D83" s="164"/>
      <c r="E83" s="143">
        <v>28</v>
      </c>
      <c r="F83" s="421"/>
      <c r="G83" s="143">
        <v>28</v>
      </c>
      <c r="H83" s="421"/>
      <c r="I83" s="143">
        <v>28</v>
      </c>
      <c r="J83" s="421"/>
      <c r="K83" s="143">
        <v>28</v>
      </c>
      <c r="L83" s="421"/>
      <c r="M83" s="164"/>
      <c r="N83" s="164"/>
      <c r="O83" s="164"/>
      <c r="P83" s="164"/>
      <c r="Q83" s="143">
        <v>28</v>
      </c>
      <c r="R83" s="422"/>
      <c r="S83" s="164"/>
      <c r="T83" s="143">
        <v>28</v>
      </c>
      <c r="U83" s="189" t="s">
        <v>245</v>
      </c>
      <c r="V83" s="164"/>
      <c r="W83" s="164"/>
      <c r="X83" s="40"/>
      <c r="Y83" s="143">
        <v>28</v>
      </c>
      <c r="Z83" s="420" t="s">
        <v>288</v>
      </c>
      <c r="AA83" s="425"/>
      <c r="AB83" s="406"/>
      <c r="AC83" s="40"/>
      <c r="AD83" s="143">
        <v>28</v>
      </c>
      <c r="AE83" s="420" t="s">
        <v>289</v>
      </c>
      <c r="AF83" s="425"/>
      <c r="AG83" s="406"/>
      <c r="AH83" s="40"/>
      <c r="AI83" s="406"/>
      <c r="AJ83" s="406"/>
      <c r="AK83" s="406"/>
      <c r="AL83" s="406"/>
      <c r="AM83" s="40"/>
      <c r="AN83" s="143">
        <v>28</v>
      </c>
      <c r="AO83" s="421"/>
      <c r="AP83" s="425"/>
      <c r="AQ83" s="426"/>
      <c r="AR83" s="143">
        <v>28</v>
      </c>
      <c r="AS83" s="421"/>
      <c r="AT83" s="425"/>
      <c r="AU83" s="426"/>
      <c r="AV83" s="143">
        <v>28</v>
      </c>
      <c r="AW83" s="421"/>
      <c r="AX83" s="425"/>
      <c r="AY83" s="426"/>
      <c r="AZ83" s="143">
        <v>28</v>
      </c>
      <c r="BA83" s="421"/>
      <c r="BB83" s="425"/>
      <c r="BC83" s="406"/>
      <c r="BD83" s="40"/>
      <c r="BE83" s="143">
        <v>28</v>
      </c>
      <c r="BF83" s="183"/>
      <c r="BG83" s="425"/>
      <c r="BH83" s="406"/>
      <c r="BI83" s="40"/>
      <c r="BJ83" s="40"/>
      <c r="BK83" s="143">
        <v>28</v>
      </c>
      <c r="BL83" s="221" t="s">
        <v>363</v>
      </c>
      <c r="BM83" s="425"/>
      <c r="BN83" s="406"/>
    </row>
    <row r="84" spans="1:66" x14ac:dyDescent="0.3">
      <c r="A84" s="164"/>
      <c r="B84" s="164"/>
      <c r="C84" s="164"/>
      <c r="D84" s="164"/>
      <c r="E84" s="143">
        <v>27</v>
      </c>
      <c r="F84" s="183"/>
      <c r="G84" s="143">
        <v>27</v>
      </c>
      <c r="H84" s="183"/>
      <c r="I84" s="143">
        <v>27</v>
      </c>
      <c r="J84" s="183"/>
      <c r="K84" s="143">
        <v>27</v>
      </c>
      <c r="L84" s="183"/>
      <c r="M84" s="164"/>
      <c r="N84" s="164"/>
      <c r="O84" s="164"/>
      <c r="P84" s="164"/>
      <c r="Q84" s="143">
        <v>27</v>
      </c>
      <c r="R84" s="210"/>
      <c r="S84" s="164"/>
      <c r="T84" s="143">
        <v>27</v>
      </c>
      <c r="U84" s="189" t="s">
        <v>245</v>
      </c>
      <c r="V84" s="164"/>
      <c r="W84" s="164"/>
      <c r="X84" s="40"/>
      <c r="Y84" s="143">
        <v>27</v>
      </c>
      <c r="Z84" s="421"/>
      <c r="AA84" s="425"/>
      <c r="AB84" s="406"/>
      <c r="AC84" s="40"/>
      <c r="AD84" s="143">
        <v>27</v>
      </c>
      <c r="AE84" s="421"/>
      <c r="AF84" s="425"/>
      <c r="AG84" s="406"/>
      <c r="AH84" s="40"/>
      <c r="AI84" s="406"/>
      <c r="AJ84" s="406"/>
      <c r="AK84" s="406"/>
      <c r="AL84" s="406"/>
      <c r="AM84" s="40"/>
      <c r="AN84" s="143">
        <v>27</v>
      </c>
      <c r="AO84" s="184"/>
      <c r="AP84" s="425"/>
      <c r="AQ84" s="426"/>
      <c r="AR84" s="143">
        <v>27</v>
      </c>
      <c r="AS84" s="184"/>
      <c r="AT84" s="425"/>
      <c r="AU84" s="426"/>
      <c r="AV84" s="143">
        <v>27</v>
      </c>
      <c r="AW84" s="184"/>
      <c r="AX84" s="425"/>
      <c r="AY84" s="426"/>
      <c r="AZ84" s="143">
        <v>27</v>
      </c>
      <c r="BA84" s="184"/>
      <c r="BB84" s="425"/>
      <c r="BC84" s="406"/>
      <c r="BD84" s="40"/>
      <c r="BE84" s="143">
        <v>27</v>
      </c>
      <c r="BF84" s="420" t="s">
        <v>294</v>
      </c>
      <c r="BG84" s="425"/>
      <c r="BH84" s="406"/>
      <c r="BI84" s="40"/>
      <c r="BJ84" s="40"/>
      <c r="BK84" s="143">
        <v>27</v>
      </c>
      <c r="BL84" s="221" t="s">
        <v>362</v>
      </c>
      <c r="BM84" s="425"/>
      <c r="BN84" s="406"/>
    </row>
    <row r="85" spans="1:66" x14ac:dyDescent="0.3">
      <c r="A85" s="164"/>
      <c r="B85" s="164"/>
      <c r="C85" s="164"/>
      <c r="D85" s="164"/>
      <c r="E85" s="143">
        <v>26</v>
      </c>
      <c r="F85" s="189" t="s">
        <v>243</v>
      </c>
      <c r="G85" s="143">
        <v>26</v>
      </c>
      <c r="H85" s="189" t="s">
        <v>243</v>
      </c>
      <c r="I85" s="143">
        <v>26</v>
      </c>
      <c r="J85" s="189" t="s">
        <v>243</v>
      </c>
      <c r="K85" s="143">
        <v>26</v>
      </c>
      <c r="L85" s="189" t="s">
        <v>243</v>
      </c>
      <c r="M85" s="164"/>
      <c r="N85" s="164"/>
      <c r="O85" s="164"/>
      <c r="P85" s="164"/>
      <c r="Q85" s="143">
        <v>26</v>
      </c>
      <c r="R85" s="189" t="s">
        <v>243</v>
      </c>
      <c r="S85" s="164"/>
      <c r="T85" s="143">
        <v>26</v>
      </c>
      <c r="U85" s="189" t="s">
        <v>245</v>
      </c>
      <c r="V85" s="164"/>
      <c r="W85" s="164"/>
      <c r="X85" s="40"/>
      <c r="Y85" s="143">
        <v>26</v>
      </c>
      <c r="Z85" s="183"/>
      <c r="AA85" s="425"/>
      <c r="AB85" s="406"/>
      <c r="AC85" s="40"/>
      <c r="AD85" s="143">
        <v>26</v>
      </c>
      <c r="AE85" s="183"/>
      <c r="AF85" s="425"/>
      <c r="AG85" s="406"/>
      <c r="AH85" s="40"/>
      <c r="AI85" s="406"/>
      <c r="AJ85" s="406"/>
      <c r="AK85" s="406"/>
      <c r="AL85" s="406"/>
      <c r="AM85" s="40"/>
      <c r="AN85" s="143">
        <v>26</v>
      </c>
      <c r="AO85" s="420" t="s">
        <v>296</v>
      </c>
      <c r="AP85" s="425"/>
      <c r="AQ85" s="426"/>
      <c r="AR85" s="143">
        <v>26</v>
      </c>
      <c r="AS85" s="420" t="s">
        <v>297</v>
      </c>
      <c r="AT85" s="425"/>
      <c r="AU85" s="426"/>
      <c r="AV85" s="143">
        <v>26</v>
      </c>
      <c r="AW85" s="420" t="s">
        <v>298</v>
      </c>
      <c r="AX85" s="425"/>
      <c r="AY85" s="426"/>
      <c r="AZ85" s="143">
        <v>26</v>
      </c>
      <c r="BA85" s="420" t="s">
        <v>299</v>
      </c>
      <c r="BB85" s="425"/>
      <c r="BC85" s="406"/>
      <c r="BD85" s="40"/>
      <c r="BE85" s="143">
        <v>26</v>
      </c>
      <c r="BF85" s="421"/>
      <c r="BG85" s="425"/>
      <c r="BH85" s="406"/>
      <c r="BI85" s="40"/>
      <c r="BJ85" s="40"/>
      <c r="BK85" s="143">
        <v>26</v>
      </c>
      <c r="BL85" s="208"/>
      <c r="BM85" s="425"/>
      <c r="BN85" s="406"/>
    </row>
    <row r="86" spans="1:66" x14ac:dyDescent="0.3">
      <c r="A86" s="164"/>
      <c r="B86" s="164"/>
      <c r="C86" s="164"/>
      <c r="D86" s="164"/>
      <c r="E86" s="143">
        <v>25</v>
      </c>
      <c r="F86" s="189" t="s">
        <v>245</v>
      </c>
      <c r="G86" s="143">
        <v>25</v>
      </c>
      <c r="H86" s="189" t="s">
        <v>245</v>
      </c>
      <c r="I86" s="143">
        <v>25</v>
      </c>
      <c r="J86" s="189" t="s">
        <v>245</v>
      </c>
      <c r="K86" s="143">
        <v>25</v>
      </c>
      <c r="L86" s="189" t="s">
        <v>245</v>
      </c>
      <c r="M86" s="164"/>
      <c r="N86" s="164"/>
      <c r="O86" s="164"/>
      <c r="P86" s="164"/>
      <c r="Q86" s="143">
        <v>25</v>
      </c>
      <c r="R86" s="189" t="s">
        <v>245</v>
      </c>
      <c r="S86" s="164"/>
      <c r="T86" s="143">
        <v>25</v>
      </c>
      <c r="U86" s="208"/>
      <c r="V86" s="164"/>
      <c r="W86" s="164"/>
      <c r="X86" s="40"/>
      <c r="Y86" s="143">
        <v>25</v>
      </c>
      <c r="Z86" s="420" t="s">
        <v>247</v>
      </c>
      <c r="AA86" s="425"/>
      <c r="AB86" s="406"/>
      <c r="AC86" s="40"/>
      <c r="AD86" s="143">
        <v>25</v>
      </c>
      <c r="AE86" s="420" t="s">
        <v>295</v>
      </c>
      <c r="AF86" s="425"/>
      <c r="AG86" s="406"/>
      <c r="AH86" s="40"/>
      <c r="AI86" s="406"/>
      <c r="AJ86" s="406"/>
      <c r="AK86" s="406"/>
      <c r="AL86" s="406"/>
      <c r="AM86" s="40"/>
      <c r="AN86" s="143">
        <v>25</v>
      </c>
      <c r="AO86" s="421"/>
      <c r="AP86" s="425"/>
      <c r="AQ86" s="426"/>
      <c r="AR86" s="143">
        <v>25</v>
      </c>
      <c r="AS86" s="421"/>
      <c r="AT86" s="425"/>
      <c r="AU86" s="426"/>
      <c r="AV86" s="143">
        <v>25</v>
      </c>
      <c r="AW86" s="421"/>
      <c r="AX86" s="425"/>
      <c r="AY86" s="426"/>
      <c r="AZ86" s="143">
        <v>25</v>
      </c>
      <c r="BA86" s="421"/>
      <c r="BB86" s="425"/>
      <c r="BC86" s="406"/>
      <c r="BD86" s="40"/>
      <c r="BE86" s="143">
        <v>25</v>
      </c>
      <c r="BF86" s="183"/>
      <c r="BG86" s="425"/>
      <c r="BH86" s="406"/>
      <c r="BI86" s="40"/>
      <c r="BJ86" s="40"/>
      <c r="BK86" s="143">
        <v>25</v>
      </c>
      <c r="BL86" s="221" t="s">
        <v>361</v>
      </c>
      <c r="BM86" s="425"/>
      <c r="BN86" s="406"/>
    </row>
    <row r="87" spans="1:66" x14ac:dyDescent="0.3">
      <c r="A87" s="164"/>
      <c r="B87" s="164"/>
      <c r="C87" s="164"/>
      <c r="D87" s="164"/>
      <c r="E87" s="143">
        <v>24</v>
      </c>
      <c r="F87" s="189" t="s">
        <v>245</v>
      </c>
      <c r="G87" s="143">
        <v>24</v>
      </c>
      <c r="H87" s="189" t="s">
        <v>245</v>
      </c>
      <c r="I87" s="143">
        <v>24</v>
      </c>
      <c r="J87" s="189" t="s">
        <v>245</v>
      </c>
      <c r="K87" s="143">
        <v>24</v>
      </c>
      <c r="L87" s="189" t="s">
        <v>245</v>
      </c>
      <c r="M87" s="164"/>
      <c r="N87" s="164"/>
      <c r="O87" s="164"/>
      <c r="P87" s="164"/>
      <c r="Q87" s="143">
        <v>24</v>
      </c>
      <c r="R87" s="189" t="s">
        <v>245</v>
      </c>
      <c r="S87" s="164"/>
      <c r="T87" s="143">
        <v>24</v>
      </c>
      <c r="U87" s="208"/>
      <c r="V87" s="164"/>
      <c r="W87" s="164"/>
      <c r="X87" s="40"/>
      <c r="Y87" s="143">
        <v>24</v>
      </c>
      <c r="Z87" s="421"/>
      <c r="AA87" s="425"/>
      <c r="AB87" s="406"/>
      <c r="AC87" s="40"/>
      <c r="AD87" s="143">
        <v>24</v>
      </c>
      <c r="AE87" s="421"/>
      <c r="AF87" s="425"/>
      <c r="AG87" s="406"/>
      <c r="AH87" s="40"/>
      <c r="AI87" s="406"/>
      <c r="AJ87" s="406"/>
      <c r="AK87" s="406"/>
      <c r="AL87" s="406"/>
      <c r="AM87" s="40"/>
      <c r="AN87" s="143">
        <v>24</v>
      </c>
      <c r="AO87" s="184"/>
      <c r="AP87" s="425"/>
      <c r="AQ87" s="426"/>
      <c r="AR87" s="143">
        <v>24</v>
      </c>
      <c r="AS87" s="184"/>
      <c r="AT87" s="425"/>
      <c r="AU87" s="426"/>
      <c r="AV87" s="143">
        <v>24</v>
      </c>
      <c r="AW87" s="184"/>
      <c r="AX87" s="425"/>
      <c r="AY87" s="426"/>
      <c r="AZ87" s="143">
        <v>24</v>
      </c>
      <c r="BA87" s="184"/>
      <c r="BB87" s="425"/>
      <c r="BC87" s="406"/>
      <c r="BD87" s="40"/>
      <c r="BE87" s="143">
        <v>24</v>
      </c>
      <c r="BF87" s="420" t="s">
        <v>300</v>
      </c>
      <c r="BG87" s="425"/>
      <c r="BH87" s="406"/>
      <c r="BI87" s="40"/>
      <c r="BJ87" s="40"/>
      <c r="BK87" s="143">
        <v>24</v>
      </c>
      <c r="BL87" s="221" t="s">
        <v>357</v>
      </c>
      <c r="BM87" s="425"/>
      <c r="BN87" s="406"/>
    </row>
    <row r="88" spans="1:66" x14ac:dyDescent="0.3">
      <c r="A88" s="164"/>
      <c r="B88" s="164"/>
      <c r="C88" s="164"/>
      <c r="D88" s="164"/>
      <c r="E88" s="143">
        <v>23</v>
      </c>
      <c r="F88" s="189" t="s">
        <v>245</v>
      </c>
      <c r="G88" s="143">
        <v>23</v>
      </c>
      <c r="H88" s="189" t="s">
        <v>245</v>
      </c>
      <c r="I88" s="143">
        <v>23</v>
      </c>
      <c r="J88" s="189" t="s">
        <v>245</v>
      </c>
      <c r="K88" s="143">
        <v>23</v>
      </c>
      <c r="L88" s="189" t="s">
        <v>245</v>
      </c>
      <c r="M88" s="164"/>
      <c r="N88" s="164"/>
      <c r="O88" s="164"/>
      <c r="P88" s="164"/>
      <c r="Q88" s="143">
        <v>23</v>
      </c>
      <c r="R88" s="189" t="s">
        <v>245</v>
      </c>
      <c r="S88" s="164"/>
      <c r="T88" s="143">
        <v>23</v>
      </c>
      <c r="U88" s="184"/>
      <c r="V88" s="164"/>
      <c r="W88" s="164"/>
      <c r="X88" s="40"/>
      <c r="Y88" s="143">
        <v>23</v>
      </c>
      <c r="Z88" s="183"/>
      <c r="AA88" s="425"/>
      <c r="AB88" s="406"/>
      <c r="AC88" s="40"/>
      <c r="AD88" s="143">
        <v>23</v>
      </c>
      <c r="AE88" s="183"/>
      <c r="AF88" s="425"/>
      <c r="AG88" s="406"/>
      <c r="AH88" s="40"/>
      <c r="AI88" s="406"/>
      <c r="AJ88" s="406"/>
      <c r="AK88" s="406"/>
      <c r="AL88" s="406"/>
      <c r="AM88" s="40"/>
      <c r="AN88" s="143">
        <v>23</v>
      </c>
      <c r="AO88" s="420" t="s">
        <v>303</v>
      </c>
      <c r="AP88" s="425"/>
      <c r="AQ88" s="426"/>
      <c r="AR88" s="143">
        <v>23</v>
      </c>
      <c r="AS88" s="420" t="s">
        <v>304</v>
      </c>
      <c r="AT88" s="425"/>
      <c r="AU88" s="426"/>
      <c r="AV88" s="143">
        <v>23</v>
      </c>
      <c r="AW88" s="420" t="s">
        <v>305</v>
      </c>
      <c r="AX88" s="425"/>
      <c r="AY88" s="426"/>
      <c r="AZ88" s="143">
        <v>23</v>
      </c>
      <c r="BA88" s="420" t="s">
        <v>306</v>
      </c>
      <c r="BB88" s="425"/>
      <c r="BC88" s="406"/>
      <c r="BD88" s="40"/>
      <c r="BE88" s="143">
        <v>23</v>
      </c>
      <c r="BF88" s="421"/>
      <c r="BG88" s="425"/>
      <c r="BH88" s="406"/>
      <c r="BI88" s="40"/>
      <c r="BJ88" s="40"/>
      <c r="BK88" s="143">
        <v>23</v>
      </c>
      <c r="BL88" s="208"/>
      <c r="BM88" s="425"/>
      <c r="BN88" s="406"/>
    </row>
    <row r="89" spans="1:66" x14ac:dyDescent="0.3">
      <c r="A89" s="164"/>
      <c r="B89" s="164"/>
      <c r="C89" s="164"/>
      <c r="D89" s="164"/>
      <c r="E89" s="143">
        <v>22</v>
      </c>
      <c r="F89" s="420" t="s">
        <v>308</v>
      </c>
      <c r="G89" s="143">
        <v>22</v>
      </c>
      <c r="H89" s="420" t="s">
        <v>309</v>
      </c>
      <c r="I89" s="143">
        <v>22</v>
      </c>
      <c r="J89" s="420" t="s">
        <v>310</v>
      </c>
      <c r="K89" s="143">
        <v>22</v>
      </c>
      <c r="L89" s="420" t="s">
        <v>311</v>
      </c>
      <c r="M89" s="164"/>
      <c r="N89" s="164"/>
      <c r="O89" s="164"/>
      <c r="P89" s="164"/>
      <c r="Q89" s="143">
        <v>22</v>
      </c>
      <c r="R89" s="420" t="s">
        <v>312</v>
      </c>
      <c r="S89" s="164"/>
      <c r="T89" s="143">
        <v>22</v>
      </c>
      <c r="U89" s="420" t="s">
        <v>312</v>
      </c>
      <c r="V89" s="164"/>
      <c r="W89" s="164"/>
      <c r="X89" s="40"/>
      <c r="Y89" s="143">
        <v>22</v>
      </c>
      <c r="Z89" s="420" t="s">
        <v>301</v>
      </c>
      <c r="AA89" s="425"/>
      <c r="AB89" s="406"/>
      <c r="AC89" s="40"/>
      <c r="AD89" s="143">
        <v>22</v>
      </c>
      <c r="AE89" s="420" t="s">
        <v>302</v>
      </c>
      <c r="AF89" s="425"/>
      <c r="AG89" s="406"/>
      <c r="AH89" s="40"/>
      <c r="AI89" s="406"/>
      <c r="AJ89" s="406"/>
      <c r="AK89" s="406"/>
      <c r="AL89" s="406"/>
      <c r="AM89" s="40"/>
      <c r="AN89" s="143">
        <v>22</v>
      </c>
      <c r="AO89" s="421"/>
      <c r="AP89" s="425"/>
      <c r="AQ89" s="426"/>
      <c r="AR89" s="143">
        <v>22</v>
      </c>
      <c r="AS89" s="421"/>
      <c r="AT89" s="425"/>
      <c r="AU89" s="426"/>
      <c r="AV89" s="143">
        <v>22</v>
      </c>
      <c r="AW89" s="421"/>
      <c r="AX89" s="425"/>
      <c r="AY89" s="426"/>
      <c r="AZ89" s="143">
        <v>22</v>
      </c>
      <c r="BA89" s="421"/>
      <c r="BB89" s="425"/>
      <c r="BC89" s="406"/>
      <c r="BD89" s="40"/>
      <c r="BE89" s="143">
        <v>22</v>
      </c>
      <c r="BF89" s="183"/>
      <c r="BG89" s="425"/>
      <c r="BH89" s="406"/>
      <c r="BI89" s="40"/>
      <c r="BJ89" s="40"/>
      <c r="BK89" s="143">
        <v>22</v>
      </c>
      <c r="BL89" s="221" t="s">
        <v>356</v>
      </c>
      <c r="BM89" s="425"/>
      <c r="BN89" s="406"/>
    </row>
    <row r="90" spans="1:66" x14ac:dyDescent="0.3">
      <c r="A90" s="164"/>
      <c r="B90" s="164"/>
      <c r="C90" s="164"/>
      <c r="D90" s="164"/>
      <c r="E90" s="143">
        <v>21</v>
      </c>
      <c r="F90" s="421"/>
      <c r="G90" s="143">
        <v>21</v>
      </c>
      <c r="H90" s="421"/>
      <c r="I90" s="143">
        <v>21</v>
      </c>
      <c r="J90" s="421"/>
      <c r="K90" s="143">
        <v>21</v>
      </c>
      <c r="L90" s="421"/>
      <c r="M90" s="164"/>
      <c r="N90" s="164"/>
      <c r="O90" s="164"/>
      <c r="P90" s="164"/>
      <c r="Q90" s="143">
        <v>21</v>
      </c>
      <c r="R90" s="421"/>
      <c r="S90" s="164"/>
      <c r="T90" s="143">
        <v>21</v>
      </c>
      <c r="U90" s="421"/>
      <c r="V90" s="164"/>
      <c r="W90" s="164"/>
      <c r="X90" s="40"/>
      <c r="Y90" s="143">
        <v>21</v>
      </c>
      <c r="Z90" s="421"/>
      <c r="AA90" s="425"/>
      <c r="AB90" s="406"/>
      <c r="AC90" s="40"/>
      <c r="AD90" s="143">
        <v>21</v>
      </c>
      <c r="AE90" s="421"/>
      <c r="AF90" s="425"/>
      <c r="AG90" s="406"/>
      <c r="AH90" s="40"/>
      <c r="AI90" s="406"/>
      <c r="AJ90" s="406"/>
      <c r="AK90" s="406"/>
      <c r="AL90" s="406"/>
      <c r="AM90" s="40"/>
      <c r="AN90" s="143">
        <v>21</v>
      </c>
      <c r="AO90" s="183"/>
      <c r="AP90" s="425"/>
      <c r="AQ90" s="426"/>
      <c r="AR90" s="143">
        <v>21</v>
      </c>
      <c r="AS90" s="183"/>
      <c r="AT90" s="425"/>
      <c r="AU90" s="426"/>
      <c r="AV90" s="143">
        <v>21</v>
      </c>
      <c r="AW90" s="183"/>
      <c r="AX90" s="425"/>
      <c r="AY90" s="426"/>
      <c r="AZ90" s="143">
        <v>21</v>
      </c>
      <c r="BA90" s="183"/>
      <c r="BB90" s="425"/>
      <c r="BC90" s="406"/>
      <c r="BD90" s="40"/>
      <c r="BE90" s="143">
        <v>21</v>
      </c>
      <c r="BF90" s="420" t="s">
        <v>307</v>
      </c>
      <c r="BG90" s="425"/>
      <c r="BH90" s="406"/>
      <c r="BI90" s="40"/>
      <c r="BJ90" s="40"/>
      <c r="BK90" s="143">
        <v>21</v>
      </c>
      <c r="BL90" s="221" t="s">
        <v>350</v>
      </c>
      <c r="BM90" s="425"/>
      <c r="BN90" s="406"/>
    </row>
    <row r="91" spans="1:66" x14ac:dyDescent="0.3">
      <c r="A91" s="164"/>
      <c r="B91" s="164"/>
      <c r="C91" s="164"/>
      <c r="D91" s="164"/>
      <c r="E91" s="143">
        <v>20</v>
      </c>
      <c r="F91" s="183"/>
      <c r="G91" s="143">
        <v>20</v>
      </c>
      <c r="H91" s="183"/>
      <c r="I91" s="143">
        <v>20</v>
      </c>
      <c r="J91" s="183"/>
      <c r="K91" s="143">
        <v>20</v>
      </c>
      <c r="L91" s="183"/>
      <c r="M91" s="164"/>
      <c r="N91" s="164"/>
      <c r="O91" s="164"/>
      <c r="P91" s="164"/>
      <c r="Q91" s="143">
        <v>20</v>
      </c>
      <c r="R91" s="183"/>
      <c r="S91" s="164"/>
      <c r="T91" s="143">
        <v>20</v>
      </c>
      <c r="U91" s="183"/>
      <c r="V91" s="164"/>
      <c r="W91" s="164"/>
      <c r="X91" s="40"/>
      <c r="Y91" s="143">
        <v>20</v>
      </c>
      <c r="Z91" s="183"/>
      <c r="AA91" s="425"/>
      <c r="AB91" s="406"/>
      <c r="AC91" s="40"/>
      <c r="AD91" s="143">
        <v>20</v>
      </c>
      <c r="AE91" s="183"/>
      <c r="AF91" s="425"/>
      <c r="AG91" s="406"/>
      <c r="AH91" s="40"/>
      <c r="AI91" s="406"/>
      <c r="AJ91" s="406"/>
      <c r="AK91" s="406"/>
      <c r="AL91" s="406"/>
      <c r="AM91" s="40"/>
      <c r="AN91" s="143">
        <v>20</v>
      </c>
      <c r="AO91" s="420" t="s">
        <v>315</v>
      </c>
      <c r="AP91" s="425"/>
      <c r="AQ91" s="426"/>
      <c r="AR91" s="143">
        <v>20</v>
      </c>
      <c r="AS91" s="420" t="s">
        <v>316</v>
      </c>
      <c r="AT91" s="425"/>
      <c r="AU91" s="426"/>
      <c r="AV91" s="143">
        <v>20</v>
      </c>
      <c r="AW91" s="420" t="s">
        <v>317</v>
      </c>
      <c r="AX91" s="425"/>
      <c r="AY91" s="426"/>
      <c r="AZ91" s="143">
        <v>20</v>
      </c>
      <c r="BA91" s="420" t="s">
        <v>318</v>
      </c>
      <c r="BB91" s="425"/>
      <c r="BC91" s="406"/>
      <c r="BD91" s="40"/>
      <c r="BE91" s="143">
        <v>20</v>
      </c>
      <c r="BF91" s="421"/>
      <c r="BG91" s="425"/>
      <c r="BH91" s="406"/>
      <c r="BI91" s="40"/>
      <c r="BJ91" s="40"/>
      <c r="BK91" s="143">
        <v>20</v>
      </c>
      <c r="BL91" s="208"/>
      <c r="BM91" s="425"/>
      <c r="BN91" s="406"/>
    </row>
    <row r="92" spans="1:66" x14ac:dyDescent="0.3">
      <c r="A92" s="164"/>
      <c r="B92" s="164"/>
      <c r="C92" s="164"/>
      <c r="D92" s="164"/>
      <c r="E92" s="143">
        <v>19</v>
      </c>
      <c r="F92" s="420" t="s">
        <v>321</v>
      </c>
      <c r="G92" s="143">
        <v>19</v>
      </c>
      <c r="H92" s="420" t="s">
        <v>322</v>
      </c>
      <c r="I92" s="143">
        <v>19</v>
      </c>
      <c r="J92" s="420" t="s">
        <v>323</v>
      </c>
      <c r="K92" s="143">
        <v>19</v>
      </c>
      <c r="L92" s="420" t="s">
        <v>324</v>
      </c>
      <c r="M92" s="164"/>
      <c r="N92" s="164"/>
      <c r="O92" s="164"/>
      <c r="P92" s="164"/>
      <c r="Q92" s="143">
        <v>19</v>
      </c>
      <c r="R92" s="420" t="s">
        <v>325</v>
      </c>
      <c r="S92" s="164"/>
      <c r="T92" s="143">
        <v>19</v>
      </c>
      <c r="U92" s="420" t="s">
        <v>325</v>
      </c>
      <c r="V92" s="164"/>
      <c r="W92" s="164"/>
      <c r="X92" s="40"/>
      <c r="Y92" s="143">
        <v>19</v>
      </c>
      <c r="Z92" s="420" t="s">
        <v>313</v>
      </c>
      <c r="AA92" s="425"/>
      <c r="AB92" s="406"/>
      <c r="AC92" s="40"/>
      <c r="AD92" s="143">
        <v>19</v>
      </c>
      <c r="AE92" s="420" t="s">
        <v>314</v>
      </c>
      <c r="AF92" s="425"/>
      <c r="AG92" s="406"/>
      <c r="AH92" s="40"/>
      <c r="AI92" s="406"/>
      <c r="AJ92" s="406"/>
      <c r="AK92" s="406"/>
      <c r="AL92" s="406"/>
      <c r="AM92" s="40"/>
      <c r="AN92" s="143">
        <v>19</v>
      </c>
      <c r="AO92" s="421"/>
      <c r="AP92" s="425"/>
      <c r="AQ92" s="426"/>
      <c r="AR92" s="143">
        <v>19</v>
      </c>
      <c r="AS92" s="421"/>
      <c r="AT92" s="425"/>
      <c r="AU92" s="426"/>
      <c r="AV92" s="143">
        <v>19</v>
      </c>
      <c r="AW92" s="421"/>
      <c r="AX92" s="425"/>
      <c r="AY92" s="426"/>
      <c r="AZ92" s="143">
        <v>19</v>
      </c>
      <c r="BA92" s="421"/>
      <c r="BB92" s="425"/>
      <c r="BC92" s="406"/>
      <c r="BD92" s="40"/>
      <c r="BE92" s="143">
        <v>19</v>
      </c>
      <c r="BF92" s="183"/>
      <c r="BG92" s="425"/>
      <c r="BH92" s="406"/>
      <c r="BI92" s="40"/>
      <c r="BJ92" s="40"/>
      <c r="BK92" s="143">
        <v>19</v>
      </c>
      <c r="BL92" s="221" t="s">
        <v>342</v>
      </c>
      <c r="BM92" s="425"/>
      <c r="BN92" s="406"/>
    </row>
    <row r="93" spans="1:66" x14ac:dyDescent="0.3">
      <c r="A93" s="164"/>
      <c r="B93" s="164"/>
      <c r="C93" s="164"/>
      <c r="D93" s="164"/>
      <c r="E93" s="143">
        <v>18</v>
      </c>
      <c r="F93" s="421"/>
      <c r="G93" s="143">
        <v>18</v>
      </c>
      <c r="H93" s="421"/>
      <c r="I93" s="143">
        <v>18</v>
      </c>
      <c r="J93" s="421"/>
      <c r="K93" s="143">
        <v>18</v>
      </c>
      <c r="L93" s="421"/>
      <c r="M93" s="164"/>
      <c r="N93" s="164"/>
      <c r="O93" s="164"/>
      <c r="P93" s="164"/>
      <c r="Q93" s="143">
        <v>18</v>
      </c>
      <c r="R93" s="421"/>
      <c r="S93" s="164"/>
      <c r="T93" s="143">
        <v>18</v>
      </c>
      <c r="U93" s="421"/>
      <c r="V93" s="164"/>
      <c r="W93" s="164"/>
      <c r="X93" s="40"/>
      <c r="Y93" s="143">
        <v>18</v>
      </c>
      <c r="Z93" s="421"/>
      <c r="AA93" s="425"/>
      <c r="AB93" s="406"/>
      <c r="AC93" s="40"/>
      <c r="AD93" s="143">
        <v>18</v>
      </c>
      <c r="AE93" s="421"/>
      <c r="AF93" s="425"/>
      <c r="AG93" s="406"/>
      <c r="AH93" s="40"/>
      <c r="AI93" s="406"/>
      <c r="AJ93" s="406"/>
      <c r="AK93" s="406"/>
      <c r="AL93" s="406"/>
      <c r="AM93" s="40"/>
      <c r="AN93" s="143">
        <v>18</v>
      </c>
      <c r="AO93" s="183"/>
      <c r="AP93" s="425"/>
      <c r="AQ93" s="426"/>
      <c r="AR93" s="143">
        <v>18</v>
      </c>
      <c r="AS93" s="183"/>
      <c r="AT93" s="425"/>
      <c r="AU93" s="426"/>
      <c r="AV93" s="143">
        <v>18</v>
      </c>
      <c r="AW93" s="183"/>
      <c r="AX93" s="425"/>
      <c r="AY93" s="426"/>
      <c r="AZ93" s="143">
        <v>18</v>
      </c>
      <c r="BA93" s="183"/>
      <c r="BB93" s="425"/>
      <c r="BC93" s="406"/>
      <c r="BD93" s="40"/>
      <c r="BE93" s="143">
        <v>18</v>
      </c>
      <c r="BF93" s="420" t="s">
        <v>319</v>
      </c>
      <c r="BG93" s="425"/>
      <c r="BH93" s="406"/>
      <c r="BI93" s="40"/>
      <c r="BJ93" s="40"/>
      <c r="BK93" s="143">
        <v>18</v>
      </c>
      <c r="BL93" s="221" t="s">
        <v>341</v>
      </c>
      <c r="BM93" s="425"/>
      <c r="BN93" s="406"/>
    </row>
    <row r="94" spans="1:66" x14ac:dyDescent="0.3">
      <c r="A94" s="164"/>
      <c r="B94" s="164"/>
      <c r="C94" s="164"/>
      <c r="D94" s="164"/>
      <c r="E94" s="143">
        <v>17</v>
      </c>
      <c r="F94" s="183"/>
      <c r="G94" s="143">
        <v>17</v>
      </c>
      <c r="H94" s="183"/>
      <c r="I94" s="143">
        <v>17</v>
      </c>
      <c r="J94" s="183"/>
      <c r="K94" s="143">
        <v>17</v>
      </c>
      <c r="L94" s="183"/>
      <c r="M94" s="164"/>
      <c r="N94" s="164"/>
      <c r="O94" s="164"/>
      <c r="P94" s="164"/>
      <c r="Q94" s="143">
        <v>17</v>
      </c>
      <c r="R94" s="183"/>
      <c r="S94" s="164"/>
      <c r="T94" s="143">
        <v>17</v>
      </c>
      <c r="U94" s="183"/>
      <c r="V94" s="164"/>
      <c r="W94" s="164"/>
      <c r="X94" s="40"/>
      <c r="Y94" s="143">
        <v>17</v>
      </c>
      <c r="Z94" s="183"/>
      <c r="AA94" s="425"/>
      <c r="AB94" s="406"/>
      <c r="AC94" s="40"/>
      <c r="AD94" s="143">
        <v>17</v>
      </c>
      <c r="AE94" s="183"/>
      <c r="AF94" s="425"/>
      <c r="AG94" s="406"/>
      <c r="AH94" s="40"/>
      <c r="AI94" s="406"/>
      <c r="AJ94" s="406"/>
      <c r="AK94" s="406"/>
      <c r="AL94" s="406"/>
      <c r="AM94" s="40"/>
      <c r="AN94" s="143">
        <v>17</v>
      </c>
      <c r="AO94" s="420" t="s">
        <v>330</v>
      </c>
      <c r="AP94" s="425"/>
      <c r="AQ94" s="426"/>
      <c r="AR94" s="143">
        <v>17</v>
      </c>
      <c r="AS94" s="420" t="s">
        <v>331</v>
      </c>
      <c r="AT94" s="425"/>
      <c r="AU94" s="426"/>
      <c r="AV94" s="143">
        <v>17</v>
      </c>
      <c r="AW94" s="420" t="s">
        <v>332</v>
      </c>
      <c r="AX94" s="425"/>
      <c r="AY94" s="426"/>
      <c r="AZ94" s="143">
        <v>17</v>
      </c>
      <c r="BA94" s="420" t="s">
        <v>333</v>
      </c>
      <c r="BB94" s="425"/>
      <c r="BC94" s="406"/>
      <c r="BD94" s="40"/>
      <c r="BE94" s="143">
        <v>17</v>
      </c>
      <c r="BF94" s="421"/>
      <c r="BG94" s="425"/>
      <c r="BH94" s="406"/>
      <c r="BI94" s="40"/>
      <c r="BJ94" s="40"/>
      <c r="BK94" s="143">
        <v>17</v>
      </c>
      <c r="BL94" s="208"/>
      <c r="BM94" s="425"/>
      <c r="BN94" s="406"/>
    </row>
    <row r="95" spans="1:66" x14ac:dyDescent="0.3">
      <c r="A95" s="164"/>
      <c r="B95" s="164"/>
      <c r="C95" s="164"/>
      <c r="D95" s="164"/>
      <c r="E95" s="143">
        <v>16</v>
      </c>
      <c r="F95" s="420" t="s">
        <v>336</v>
      </c>
      <c r="G95" s="143">
        <v>16</v>
      </c>
      <c r="H95" s="420" t="s">
        <v>337</v>
      </c>
      <c r="I95" s="143">
        <v>16</v>
      </c>
      <c r="J95" s="420" t="s">
        <v>338</v>
      </c>
      <c r="K95" s="143">
        <v>16</v>
      </c>
      <c r="L95" s="420" t="s">
        <v>339</v>
      </c>
      <c r="M95" s="164"/>
      <c r="N95" s="164"/>
      <c r="O95" s="164"/>
      <c r="P95" s="164"/>
      <c r="Q95" s="143">
        <v>16</v>
      </c>
      <c r="R95" s="420" t="s">
        <v>340</v>
      </c>
      <c r="S95" s="164"/>
      <c r="T95" s="143">
        <v>16</v>
      </c>
      <c r="U95" s="420" t="s">
        <v>340</v>
      </c>
      <c r="V95" s="164"/>
      <c r="W95" s="164"/>
      <c r="X95" s="40"/>
      <c r="Y95" s="143">
        <v>16</v>
      </c>
      <c r="Z95" s="420" t="s">
        <v>328</v>
      </c>
      <c r="AA95" s="425"/>
      <c r="AB95" s="406"/>
      <c r="AC95" s="40"/>
      <c r="AD95" s="143">
        <v>16</v>
      </c>
      <c r="AE95" s="420" t="s">
        <v>329</v>
      </c>
      <c r="AF95" s="425"/>
      <c r="AG95" s="406"/>
      <c r="AH95" s="40"/>
      <c r="AI95" s="406"/>
      <c r="AJ95" s="406"/>
      <c r="AK95" s="406"/>
      <c r="AL95" s="406"/>
      <c r="AM95" s="40"/>
      <c r="AN95" s="143">
        <v>16</v>
      </c>
      <c r="AO95" s="421"/>
      <c r="AP95" s="425"/>
      <c r="AQ95" s="426"/>
      <c r="AR95" s="143">
        <v>16</v>
      </c>
      <c r="AS95" s="421"/>
      <c r="AT95" s="425"/>
      <c r="AU95" s="426"/>
      <c r="AV95" s="143">
        <v>16</v>
      </c>
      <c r="AW95" s="421"/>
      <c r="AX95" s="425"/>
      <c r="AY95" s="426"/>
      <c r="AZ95" s="143">
        <v>16</v>
      </c>
      <c r="BA95" s="421"/>
      <c r="BB95" s="425"/>
      <c r="BC95" s="406"/>
      <c r="BD95" s="40"/>
      <c r="BE95" s="143">
        <v>16</v>
      </c>
      <c r="BF95" s="183"/>
      <c r="BG95" s="425"/>
      <c r="BH95" s="406"/>
      <c r="BI95" s="40"/>
      <c r="BJ95" s="40"/>
      <c r="BK95" s="143">
        <v>16</v>
      </c>
      <c r="BL95" s="221" t="s">
        <v>335</v>
      </c>
      <c r="BM95" s="425"/>
      <c r="BN95" s="406"/>
    </row>
    <row r="96" spans="1:66" x14ac:dyDescent="0.3">
      <c r="A96" s="164"/>
      <c r="B96" s="164"/>
      <c r="C96" s="164"/>
      <c r="D96" s="164"/>
      <c r="E96" s="143">
        <v>15</v>
      </c>
      <c r="F96" s="421"/>
      <c r="G96" s="143">
        <v>15</v>
      </c>
      <c r="H96" s="421"/>
      <c r="I96" s="143">
        <v>15</v>
      </c>
      <c r="J96" s="421"/>
      <c r="K96" s="143">
        <v>15</v>
      </c>
      <c r="L96" s="421"/>
      <c r="M96" s="164"/>
      <c r="N96" s="164"/>
      <c r="O96" s="164"/>
      <c r="P96" s="164"/>
      <c r="Q96" s="143">
        <v>15</v>
      </c>
      <c r="R96" s="421"/>
      <c r="S96" s="164"/>
      <c r="T96" s="143">
        <v>15</v>
      </c>
      <c r="U96" s="421"/>
      <c r="V96" s="164"/>
      <c r="W96" s="164"/>
      <c r="X96" s="40"/>
      <c r="Y96" s="143">
        <v>15</v>
      </c>
      <c r="Z96" s="421"/>
      <c r="AA96" s="425"/>
      <c r="AB96" s="406"/>
      <c r="AC96" s="40"/>
      <c r="AD96" s="143">
        <v>15</v>
      </c>
      <c r="AE96" s="421"/>
      <c r="AF96" s="425"/>
      <c r="AG96" s="406"/>
      <c r="AH96" s="40"/>
      <c r="AI96" s="406"/>
      <c r="AJ96" s="406"/>
      <c r="AK96" s="406"/>
      <c r="AL96" s="406"/>
      <c r="AM96" s="40"/>
      <c r="AN96" s="143">
        <v>15</v>
      </c>
      <c r="AO96" s="183"/>
      <c r="AP96" s="425"/>
      <c r="AQ96" s="426"/>
      <c r="AR96" s="143">
        <v>15</v>
      </c>
      <c r="AS96" s="183"/>
      <c r="AT96" s="425"/>
      <c r="AU96" s="426"/>
      <c r="AV96" s="143">
        <v>15</v>
      </c>
      <c r="AW96" s="183"/>
      <c r="AX96" s="425"/>
      <c r="AY96" s="426"/>
      <c r="AZ96" s="143">
        <v>15</v>
      </c>
      <c r="BA96" s="183"/>
      <c r="BB96" s="425"/>
      <c r="BC96" s="406"/>
      <c r="BD96" s="40"/>
      <c r="BE96" s="143">
        <v>15</v>
      </c>
      <c r="BF96" s="420" t="s">
        <v>334</v>
      </c>
      <c r="BG96" s="425"/>
      <c r="BH96" s="406"/>
      <c r="BI96" s="40"/>
      <c r="BJ96" s="40"/>
      <c r="BK96" s="143">
        <v>15</v>
      </c>
      <c r="BL96" s="221" t="s">
        <v>327</v>
      </c>
      <c r="BM96" s="425"/>
      <c r="BN96" s="406"/>
    </row>
    <row r="97" spans="1:66" x14ac:dyDescent="0.3">
      <c r="A97" s="164"/>
      <c r="B97" s="164"/>
      <c r="C97" s="164"/>
      <c r="D97" s="164"/>
      <c r="E97" s="143">
        <v>14</v>
      </c>
      <c r="F97" s="183"/>
      <c r="G97" s="143">
        <v>14</v>
      </c>
      <c r="H97" s="183"/>
      <c r="I97" s="143">
        <v>14</v>
      </c>
      <c r="J97" s="183"/>
      <c r="K97" s="143">
        <v>14</v>
      </c>
      <c r="L97" s="183"/>
      <c r="M97" s="164"/>
      <c r="N97" s="164"/>
      <c r="O97" s="164"/>
      <c r="P97" s="164"/>
      <c r="Q97" s="143">
        <v>14</v>
      </c>
      <c r="R97" s="183"/>
      <c r="S97" s="164"/>
      <c r="T97" s="143">
        <v>14</v>
      </c>
      <c r="U97" s="183"/>
      <c r="V97" s="164"/>
      <c r="W97" s="164"/>
      <c r="X97" s="40"/>
      <c r="Y97" s="143">
        <v>14</v>
      </c>
      <c r="Z97" s="183"/>
      <c r="AA97" s="425"/>
      <c r="AB97" s="406"/>
      <c r="AC97" s="40"/>
      <c r="AD97" s="143">
        <v>14</v>
      </c>
      <c r="AE97" s="183"/>
      <c r="AF97" s="425"/>
      <c r="AG97" s="406"/>
      <c r="AH97" s="40"/>
      <c r="AI97" s="406"/>
      <c r="AJ97" s="406"/>
      <c r="AK97" s="406"/>
      <c r="AL97" s="406"/>
      <c r="AM97" s="40"/>
      <c r="AN97" s="143">
        <v>14</v>
      </c>
      <c r="AO97" s="420" t="s">
        <v>345</v>
      </c>
      <c r="AP97" s="425"/>
      <c r="AQ97" s="426"/>
      <c r="AR97" s="143">
        <v>14</v>
      </c>
      <c r="AS97" s="420" t="s">
        <v>346</v>
      </c>
      <c r="AT97" s="425"/>
      <c r="AU97" s="426"/>
      <c r="AV97" s="143">
        <v>14</v>
      </c>
      <c r="AW97" s="420" t="s">
        <v>347</v>
      </c>
      <c r="AX97" s="425"/>
      <c r="AY97" s="426"/>
      <c r="AZ97" s="143">
        <v>14</v>
      </c>
      <c r="BA97" s="420" t="s">
        <v>348</v>
      </c>
      <c r="BB97" s="425"/>
      <c r="BC97" s="406"/>
      <c r="BD97" s="40"/>
      <c r="BE97" s="143">
        <v>14</v>
      </c>
      <c r="BF97" s="421"/>
      <c r="BG97" s="425"/>
      <c r="BH97" s="406"/>
      <c r="BI97" s="40"/>
      <c r="BJ97" s="40"/>
      <c r="BK97" s="143">
        <v>14</v>
      </c>
      <c r="BL97" s="208"/>
      <c r="BM97" s="425"/>
      <c r="BN97" s="406"/>
    </row>
    <row r="98" spans="1:66" x14ac:dyDescent="0.3">
      <c r="A98" s="164"/>
      <c r="B98" s="164"/>
      <c r="C98" s="164"/>
      <c r="D98" s="164"/>
      <c r="E98" s="143">
        <v>13</v>
      </c>
      <c r="F98" s="420" t="s">
        <v>351</v>
      </c>
      <c r="G98" s="143">
        <v>13</v>
      </c>
      <c r="H98" s="420" t="s">
        <v>352</v>
      </c>
      <c r="I98" s="143">
        <v>13</v>
      </c>
      <c r="J98" s="420" t="s">
        <v>353</v>
      </c>
      <c r="K98" s="143">
        <v>13</v>
      </c>
      <c r="L98" s="420" t="s">
        <v>354</v>
      </c>
      <c r="M98" s="164"/>
      <c r="N98" s="164"/>
      <c r="O98" s="164"/>
      <c r="P98" s="164"/>
      <c r="Q98" s="143">
        <v>13</v>
      </c>
      <c r="R98" s="420" t="s">
        <v>355</v>
      </c>
      <c r="S98" s="164"/>
      <c r="T98" s="143">
        <v>13</v>
      </c>
      <c r="U98" s="420" t="s">
        <v>355</v>
      </c>
      <c r="V98" s="164"/>
      <c r="W98" s="164"/>
      <c r="X98" s="40"/>
      <c r="Y98" s="143">
        <v>13</v>
      </c>
      <c r="Z98" s="420" t="s">
        <v>343</v>
      </c>
      <c r="AA98" s="425"/>
      <c r="AB98" s="406"/>
      <c r="AC98" s="40"/>
      <c r="AD98" s="143">
        <v>13</v>
      </c>
      <c r="AE98" s="420" t="s">
        <v>344</v>
      </c>
      <c r="AF98" s="425"/>
      <c r="AG98" s="406"/>
      <c r="AH98" s="40"/>
      <c r="AI98" s="406"/>
      <c r="AJ98" s="406"/>
      <c r="AK98" s="406"/>
      <c r="AL98" s="406"/>
      <c r="AM98" s="40"/>
      <c r="AN98" s="143">
        <v>13</v>
      </c>
      <c r="AO98" s="421"/>
      <c r="AP98" s="425"/>
      <c r="AQ98" s="426"/>
      <c r="AR98" s="143">
        <v>13</v>
      </c>
      <c r="AS98" s="421"/>
      <c r="AT98" s="425"/>
      <c r="AU98" s="426"/>
      <c r="AV98" s="143">
        <v>13</v>
      </c>
      <c r="AW98" s="421"/>
      <c r="AX98" s="425"/>
      <c r="AY98" s="426"/>
      <c r="AZ98" s="143">
        <v>13</v>
      </c>
      <c r="BA98" s="421"/>
      <c r="BB98" s="425"/>
      <c r="BC98" s="406"/>
      <c r="BD98" s="40"/>
      <c r="BE98" s="143">
        <v>13</v>
      </c>
      <c r="BF98" s="183"/>
      <c r="BG98" s="425"/>
      <c r="BH98" s="406"/>
      <c r="BI98" s="40"/>
      <c r="BJ98" s="40"/>
      <c r="BK98" s="143">
        <v>13</v>
      </c>
      <c r="BL98" s="221" t="s">
        <v>326</v>
      </c>
      <c r="BM98" s="425"/>
      <c r="BN98" s="406"/>
    </row>
    <row r="99" spans="1:66" x14ac:dyDescent="0.3">
      <c r="A99" s="164"/>
      <c r="B99" s="164"/>
      <c r="C99" s="164"/>
      <c r="D99" s="164"/>
      <c r="E99" s="143">
        <v>12</v>
      </c>
      <c r="F99" s="422"/>
      <c r="G99" s="143">
        <v>12</v>
      </c>
      <c r="H99" s="422"/>
      <c r="I99" s="143">
        <v>12</v>
      </c>
      <c r="J99" s="422"/>
      <c r="K99" s="143">
        <v>12</v>
      </c>
      <c r="L99" s="422"/>
      <c r="M99" s="164"/>
      <c r="N99" s="164"/>
      <c r="O99" s="164"/>
      <c r="P99" s="164"/>
      <c r="Q99" s="143">
        <v>12</v>
      </c>
      <c r="R99" s="422"/>
      <c r="S99" s="164"/>
      <c r="T99" s="143">
        <v>12</v>
      </c>
      <c r="U99" s="422"/>
      <c r="V99" s="164"/>
      <c r="W99" s="164"/>
      <c r="X99" s="40"/>
      <c r="Y99" s="143">
        <v>12</v>
      </c>
      <c r="Z99" s="422"/>
      <c r="AA99" s="425"/>
      <c r="AB99" s="406"/>
      <c r="AC99" s="40"/>
      <c r="AD99" s="143">
        <v>12</v>
      </c>
      <c r="AE99" s="422"/>
      <c r="AF99" s="425"/>
      <c r="AG99" s="406"/>
      <c r="AH99" s="40"/>
      <c r="AI99" s="406"/>
      <c r="AJ99" s="406"/>
      <c r="AK99" s="406"/>
      <c r="AL99" s="406"/>
      <c r="AM99" s="40"/>
      <c r="AN99" s="143">
        <v>12</v>
      </c>
      <c r="AO99" s="183"/>
      <c r="AP99" s="425"/>
      <c r="AQ99" s="426"/>
      <c r="AR99" s="143">
        <v>12</v>
      </c>
      <c r="AS99" s="183"/>
      <c r="AT99" s="425"/>
      <c r="AU99" s="426"/>
      <c r="AV99" s="143">
        <v>12</v>
      </c>
      <c r="AW99" s="183"/>
      <c r="AX99" s="425"/>
      <c r="AY99" s="426"/>
      <c r="AZ99" s="143">
        <v>12</v>
      </c>
      <c r="BA99" s="183"/>
      <c r="BB99" s="425"/>
      <c r="BC99" s="406"/>
      <c r="BD99" s="40"/>
      <c r="BE99" s="143">
        <v>12</v>
      </c>
      <c r="BF99" s="420" t="s">
        <v>349</v>
      </c>
      <c r="BG99" s="425"/>
      <c r="BH99" s="406"/>
      <c r="BI99" s="40"/>
      <c r="BJ99" s="40"/>
      <c r="BK99" s="143">
        <v>12</v>
      </c>
      <c r="BL99" s="221" t="s">
        <v>320</v>
      </c>
      <c r="BM99" s="425"/>
      <c r="BN99" s="406"/>
    </row>
    <row r="100" spans="1:66" x14ac:dyDescent="0.3">
      <c r="A100" s="164"/>
      <c r="B100" s="164"/>
      <c r="C100" s="164"/>
      <c r="D100" s="164"/>
      <c r="E100" s="143">
        <v>11</v>
      </c>
      <c r="F100" s="195" t="s">
        <v>358</v>
      </c>
      <c r="G100" s="143">
        <v>11</v>
      </c>
      <c r="H100" s="195" t="s">
        <v>358</v>
      </c>
      <c r="I100" s="143">
        <v>11</v>
      </c>
      <c r="J100" s="195" t="s">
        <v>358</v>
      </c>
      <c r="K100" s="143">
        <v>11</v>
      </c>
      <c r="L100" s="195" t="s">
        <v>358</v>
      </c>
      <c r="M100" s="164"/>
      <c r="N100" s="164"/>
      <c r="O100" s="164"/>
      <c r="P100" s="164"/>
      <c r="Q100" s="143">
        <v>11</v>
      </c>
      <c r="R100" s="195" t="s">
        <v>358</v>
      </c>
      <c r="S100" s="164"/>
      <c r="T100" s="143">
        <v>11</v>
      </c>
      <c r="U100" s="195" t="s">
        <v>358</v>
      </c>
      <c r="V100" s="164"/>
      <c r="W100" s="164"/>
      <c r="X100" s="40"/>
      <c r="Y100" s="143">
        <v>11</v>
      </c>
      <c r="Z100" s="195" t="s">
        <v>259</v>
      </c>
      <c r="AA100" s="425"/>
      <c r="AB100" s="406"/>
      <c r="AC100" s="40"/>
      <c r="AD100" s="143">
        <v>11</v>
      </c>
      <c r="AE100" s="195" t="s">
        <v>259</v>
      </c>
      <c r="AF100" s="425"/>
      <c r="AG100" s="406"/>
      <c r="AH100" s="40"/>
      <c r="AI100" s="406"/>
      <c r="AJ100" s="406"/>
      <c r="AK100" s="406"/>
      <c r="AL100" s="406"/>
      <c r="AM100" s="40"/>
      <c r="AN100" s="143">
        <v>11</v>
      </c>
      <c r="AO100" s="216"/>
      <c r="AP100" s="425"/>
      <c r="AQ100" s="426"/>
      <c r="AR100" s="143">
        <v>11</v>
      </c>
      <c r="AS100" s="216"/>
      <c r="AT100" s="425"/>
      <c r="AU100" s="426"/>
      <c r="AV100" s="143">
        <v>11</v>
      </c>
      <c r="AW100" s="216"/>
      <c r="AX100" s="425"/>
      <c r="AY100" s="426"/>
      <c r="AZ100" s="143">
        <v>11</v>
      </c>
      <c r="BA100" s="216"/>
      <c r="BB100" s="425"/>
      <c r="BC100" s="406"/>
      <c r="BD100" s="40"/>
      <c r="BE100" s="143">
        <v>11</v>
      </c>
      <c r="BF100" s="436"/>
      <c r="BG100" s="425"/>
      <c r="BH100" s="406"/>
      <c r="BI100" s="40"/>
      <c r="BJ100" s="40"/>
      <c r="BK100" s="143">
        <v>11</v>
      </c>
      <c r="BL100" s="208"/>
      <c r="BM100" s="425"/>
      <c r="BN100" s="406"/>
    </row>
    <row r="101" spans="1:66" x14ac:dyDescent="0.3">
      <c r="A101" s="164"/>
      <c r="B101" s="164"/>
      <c r="C101" s="164"/>
      <c r="D101" s="164"/>
      <c r="E101" s="143">
        <v>10</v>
      </c>
      <c r="F101" s="222" t="s">
        <v>253</v>
      </c>
      <c r="G101" s="143">
        <v>10</v>
      </c>
      <c r="H101" s="222" t="s">
        <v>253</v>
      </c>
      <c r="I101" s="143">
        <v>10</v>
      </c>
      <c r="J101" s="222" t="s">
        <v>253</v>
      </c>
      <c r="K101" s="143">
        <v>10</v>
      </c>
      <c r="L101" s="200" t="s">
        <v>253</v>
      </c>
      <c r="M101" s="164"/>
      <c r="N101" s="164"/>
      <c r="O101" s="164"/>
      <c r="P101" s="164"/>
      <c r="Q101" s="143">
        <v>10</v>
      </c>
      <c r="R101" s="200" t="s">
        <v>253</v>
      </c>
      <c r="S101" s="164"/>
      <c r="T101" s="143">
        <v>10</v>
      </c>
      <c r="U101" s="200" t="s">
        <v>253</v>
      </c>
      <c r="V101" s="164"/>
      <c r="W101" s="164"/>
      <c r="X101" s="40"/>
      <c r="Y101" s="143">
        <v>10</v>
      </c>
      <c r="Z101" s="200" t="s">
        <v>253</v>
      </c>
      <c r="AA101" s="425"/>
      <c r="AB101" s="406"/>
      <c r="AC101" s="40"/>
      <c r="AD101" s="143">
        <v>10</v>
      </c>
      <c r="AE101" s="200" t="s">
        <v>253</v>
      </c>
      <c r="AF101" s="425"/>
      <c r="AG101" s="406"/>
      <c r="AH101" s="40"/>
      <c r="AI101" s="406"/>
      <c r="AJ101" s="406"/>
      <c r="AK101" s="406"/>
      <c r="AL101" s="406"/>
      <c r="AM101" s="40"/>
      <c r="AN101" s="143">
        <v>10</v>
      </c>
      <c r="AO101" s="200" t="s">
        <v>253</v>
      </c>
      <c r="AP101" s="425"/>
      <c r="AQ101" s="426"/>
      <c r="AR101" s="143">
        <v>10</v>
      </c>
      <c r="AS101" s="200" t="s">
        <v>253</v>
      </c>
      <c r="AT101" s="425"/>
      <c r="AU101" s="426"/>
      <c r="AV101" s="143">
        <v>10</v>
      </c>
      <c r="AW101" s="200" t="s">
        <v>253</v>
      </c>
      <c r="AX101" s="425"/>
      <c r="AY101" s="426"/>
      <c r="AZ101" s="143">
        <v>10</v>
      </c>
      <c r="BA101" s="200" t="s">
        <v>253</v>
      </c>
      <c r="BB101" s="425"/>
      <c r="BC101" s="406"/>
      <c r="BD101" s="40"/>
      <c r="BE101" s="143">
        <v>10</v>
      </c>
      <c r="BF101" s="200" t="s">
        <v>253</v>
      </c>
      <c r="BG101" s="425"/>
      <c r="BH101" s="406"/>
      <c r="BI101" s="40"/>
      <c r="BJ101" s="40"/>
      <c r="BK101" s="143">
        <v>10</v>
      </c>
      <c r="BL101" s="200" t="s">
        <v>253</v>
      </c>
      <c r="BM101" s="425"/>
      <c r="BN101" s="406"/>
    </row>
    <row r="102" spans="1:66" x14ac:dyDescent="0.3">
      <c r="A102" s="164"/>
      <c r="B102" s="164"/>
      <c r="C102" s="164"/>
      <c r="D102" s="164"/>
      <c r="E102" s="143">
        <v>9</v>
      </c>
      <c r="F102" s="183"/>
      <c r="G102" s="143">
        <v>9</v>
      </c>
      <c r="H102" s="183"/>
      <c r="I102" s="143">
        <v>9</v>
      </c>
      <c r="J102" s="183"/>
      <c r="K102" s="143">
        <v>9</v>
      </c>
      <c r="L102" s="183"/>
      <c r="M102" s="164"/>
      <c r="N102" s="164"/>
      <c r="O102" s="164"/>
      <c r="P102" s="164"/>
      <c r="Q102" s="143">
        <v>9</v>
      </c>
      <c r="R102" s="183"/>
      <c r="S102" s="164"/>
      <c r="T102" s="143">
        <v>9</v>
      </c>
      <c r="U102" s="183"/>
      <c r="V102" s="164"/>
      <c r="W102" s="164"/>
      <c r="X102" s="40"/>
      <c r="Y102" s="143">
        <v>9</v>
      </c>
      <c r="Z102" s="428" t="s">
        <v>359</v>
      </c>
      <c r="AA102" s="425"/>
      <c r="AB102" s="406"/>
      <c r="AC102" s="40"/>
      <c r="AD102" s="143">
        <v>9</v>
      </c>
      <c r="AE102" s="428" t="s">
        <v>360</v>
      </c>
      <c r="AF102" s="425"/>
      <c r="AG102" s="406"/>
      <c r="AH102" s="40"/>
      <c r="AI102" s="406"/>
      <c r="AJ102" s="406"/>
      <c r="AK102" s="406"/>
      <c r="AL102" s="406"/>
      <c r="AM102" s="40"/>
      <c r="AN102" s="143">
        <v>9</v>
      </c>
      <c r="AO102" s="183"/>
      <c r="AP102" s="425"/>
      <c r="AQ102" s="426"/>
      <c r="AR102" s="143">
        <v>9</v>
      </c>
      <c r="AS102" s="183"/>
      <c r="AT102" s="425"/>
      <c r="AU102" s="426"/>
      <c r="AV102" s="143">
        <v>9</v>
      </c>
      <c r="AW102" s="183"/>
      <c r="AX102" s="425"/>
      <c r="AY102" s="426"/>
      <c r="AZ102" s="143">
        <v>9</v>
      </c>
      <c r="BA102" s="183"/>
      <c r="BB102" s="425"/>
      <c r="BC102" s="406"/>
      <c r="BD102" s="40"/>
      <c r="BE102" s="143">
        <v>9</v>
      </c>
      <c r="BF102" s="183"/>
      <c r="BG102" s="425"/>
      <c r="BH102" s="406"/>
      <c r="BI102" s="40"/>
      <c r="BJ102" s="40"/>
      <c r="BK102" s="143">
        <v>9</v>
      </c>
      <c r="BL102" s="200" t="s">
        <v>253</v>
      </c>
      <c r="BM102" s="425"/>
      <c r="BN102" s="406"/>
    </row>
    <row r="103" spans="1:66" x14ac:dyDescent="0.3">
      <c r="A103" s="164"/>
      <c r="B103" s="164"/>
      <c r="C103" s="164"/>
      <c r="D103" s="164"/>
      <c r="E103" s="143">
        <v>8</v>
      </c>
      <c r="F103" s="183"/>
      <c r="G103" s="143">
        <v>8</v>
      </c>
      <c r="H103" s="183"/>
      <c r="I103" s="143">
        <v>8</v>
      </c>
      <c r="J103" s="183"/>
      <c r="K103" s="143">
        <v>8</v>
      </c>
      <c r="L103" s="183"/>
      <c r="M103" s="164"/>
      <c r="N103" s="164"/>
      <c r="O103" s="164"/>
      <c r="P103" s="164"/>
      <c r="Q103" s="143">
        <v>8</v>
      </c>
      <c r="R103" s="183"/>
      <c r="S103" s="164"/>
      <c r="T103" s="143">
        <v>8</v>
      </c>
      <c r="U103" s="183"/>
      <c r="V103" s="164"/>
      <c r="W103" s="164"/>
      <c r="X103" s="40"/>
      <c r="Y103" s="143">
        <v>8</v>
      </c>
      <c r="Z103" s="421"/>
      <c r="AA103" s="425"/>
      <c r="AB103" s="406"/>
      <c r="AC103" s="40"/>
      <c r="AD103" s="143">
        <v>8</v>
      </c>
      <c r="AE103" s="421"/>
      <c r="AF103" s="425"/>
      <c r="AG103" s="406"/>
      <c r="AH103" s="40"/>
      <c r="AI103" s="406"/>
      <c r="AJ103" s="406"/>
      <c r="AK103" s="406"/>
      <c r="AL103" s="406"/>
      <c r="AM103" s="40"/>
      <c r="AN103" s="143">
        <v>8</v>
      </c>
      <c r="AO103" s="223"/>
      <c r="AP103" s="425"/>
      <c r="AQ103" s="426"/>
      <c r="AR103" s="143">
        <v>8</v>
      </c>
      <c r="AS103" s="223"/>
      <c r="AT103" s="425"/>
      <c r="AU103" s="426"/>
      <c r="AV103" s="143">
        <v>8</v>
      </c>
      <c r="AW103" s="223"/>
      <c r="AX103" s="425"/>
      <c r="AY103" s="426"/>
      <c r="AZ103" s="143">
        <v>8</v>
      </c>
      <c r="BA103" s="223"/>
      <c r="BB103" s="425"/>
      <c r="BC103" s="406"/>
      <c r="BD103" s="40"/>
      <c r="BE103" s="143">
        <v>8</v>
      </c>
      <c r="BF103" s="223"/>
      <c r="BG103" s="425"/>
      <c r="BH103" s="406"/>
      <c r="BI103" s="40"/>
      <c r="BJ103" s="40"/>
      <c r="BK103" s="143">
        <v>8</v>
      </c>
      <c r="BL103" s="208"/>
      <c r="BM103" s="425"/>
      <c r="BN103" s="406"/>
    </row>
    <row r="104" spans="1:66" x14ac:dyDescent="0.3">
      <c r="A104" s="164"/>
      <c r="B104" s="164"/>
      <c r="C104" s="164"/>
      <c r="D104" s="164"/>
      <c r="E104" s="143">
        <v>7</v>
      </c>
      <c r="F104" s="183"/>
      <c r="G104" s="143">
        <v>7</v>
      </c>
      <c r="H104" s="183"/>
      <c r="I104" s="143">
        <v>7</v>
      </c>
      <c r="J104" s="183"/>
      <c r="K104" s="143">
        <v>7</v>
      </c>
      <c r="L104" s="183"/>
      <c r="M104" s="164"/>
      <c r="N104" s="164"/>
      <c r="O104" s="164"/>
      <c r="P104" s="164"/>
      <c r="Q104" s="143">
        <v>7</v>
      </c>
      <c r="R104" s="183"/>
      <c r="S104" s="164"/>
      <c r="T104" s="143">
        <v>7</v>
      </c>
      <c r="U104" s="208"/>
      <c r="V104" s="164"/>
      <c r="W104" s="164"/>
      <c r="X104" s="40"/>
      <c r="Y104" s="143">
        <v>7</v>
      </c>
      <c r="Z104" s="183"/>
      <c r="AA104" s="425"/>
      <c r="AB104" s="406"/>
      <c r="AC104" s="40"/>
      <c r="AD104" s="143">
        <v>7</v>
      </c>
      <c r="AE104" s="183"/>
      <c r="AF104" s="425"/>
      <c r="AG104" s="406"/>
      <c r="AH104" s="40"/>
      <c r="AI104" s="406"/>
      <c r="AJ104" s="406"/>
      <c r="AK104" s="406"/>
      <c r="AL104" s="406"/>
      <c r="AM104" s="40"/>
      <c r="AN104" s="143">
        <v>7</v>
      </c>
      <c r="AO104" s="183"/>
      <c r="AP104" s="425"/>
      <c r="AQ104" s="426"/>
      <c r="AR104" s="143">
        <v>7</v>
      </c>
      <c r="AS104" s="183"/>
      <c r="AT104" s="425"/>
      <c r="AU104" s="426"/>
      <c r="AV104" s="143">
        <v>7</v>
      </c>
      <c r="AW104" s="183"/>
      <c r="AX104" s="425"/>
      <c r="AY104" s="426"/>
      <c r="AZ104" s="143">
        <v>7</v>
      </c>
      <c r="BA104" s="183"/>
      <c r="BB104" s="425"/>
      <c r="BC104" s="406"/>
      <c r="BD104" s="40"/>
      <c r="BE104" s="143">
        <v>7</v>
      </c>
      <c r="BF104" s="183"/>
      <c r="BG104" s="425"/>
      <c r="BH104" s="406"/>
      <c r="BI104" s="40"/>
      <c r="BJ104" s="40"/>
      <c r="BK104" s="143">
        <v>7</v>
      </c>
      <c r="BL104" s="208"/>
      <c r="BM104" s="425"/>
      <c r="BN104" s="406"/>
    </row>
    <row r="105" spans="1:66" x14ac:dyDescent="0.3">
      <c r="A105" s="164"/>
      <c r="B105" s="164"/>
      <c r="C105" s="164"/>
      <c r="D105" s="164"/>
      <c r="E105" s="143">
        <v>6</v>
      </c>
      <c r="F105" s="183"/>
      <c r="G105" s="143">
        <v>6</v>
      </c>
      <c r="H105" s="183"/>
      <c r="I105" s="143">
        <v>6</v>
      </c>
      <c r="J105" s="183"/>
      <c r="K105" s="143">
        <v>6</v>
      </c>
      <c r="L105" s="183"/>
      <c r="M105" s="164"/>
      <c r="N105" s="164"/>
      <c r="O105" s="164"/>
      <c r="P105" s="164"/>
      <c r="Q105" s="143">
        <v>6</v>
      </c>
      <c r="R105" s="183"/>
      <c r="S105" s="164"/>
      <c r="T105" s="143">
        <v>6</v>
      </c>
      <c r="U105" s="208"/>
      <c r="V105" s="164"/>
      <c r="W105" s="164"/>
      <c r="X105" s="40"/>
      <c r="Y105" s="143">
        <v>6</v>
      </c>
      <c r="Z105" s="420" t="s">
        <v>364</v>
      </c>
      <c r="AA105" s="425"/>
      <c r="AB105" s="406"/>
      <c r="AC105" s="40"/>
      <c r="AD105" s="143">
        <v>6</v>
      </c>
      <c r="AE105" s="420" t="s">
        <v>365</v>
      </c>
      <c r="AF105" s="425"/>
      <c r="AG105" s="406"/>
      <c r="AH105" s="40"/>
      <c r="AI105" s="406"/>
      <c r="AJ105" s="406"/>
      <c r="AK105" s="406"/>
      <c r="AL105" s="406"/>
      <c r="AM105" s="40"/>
      <c r="AN105" s="143">
        <v>6</v>
      </c>
      <c r="AO105" s="183"/>
      <c r="AP105" s="425"/>
      <c r="AQ105" s="426"/>
      <c r="AR105" s="143">
        <v>6</v>
      </c>
      <c r="AS105" s="183"/>
      <c r="AT105" s="425"/>
      <c r="AU105" s="426"/>
      <c r="AV105" s="143">
        <v>6</v>
      </c>
      <c r="AW105" s="183"/>
      <c r="AX105" s="425"/>
      <c r="AY105" s="426"/>
      <c r="AZ105" s="143">
        <v>6</v>
      </c>
      <c r="BA105" s="183"/>
      <c r="BB105" s="425"/>
      <c r="BC105" s="406"/>
      <c r="BD105" s="40"/>
      <c r="BE105" s="143">
        <v>6</v>
      </c>
      <c r="BF105" s="183"/>
      <c r="BG105" s="425"/>
      <c r="BH105" s="406"/>
      <c r="BI105" s="40"/>
      <c r="BJ105" s="40"/>
      <c r="BK105" s="143">
        <v>6</v>
      </c>
      <c r="BL105" s="208"/>
      <c r="BM105" s="425"/>
      <c r="BN105" s="406"/>
    </row>
    <row r="106" spans="1:66" x14ac:dyDescent="0.3">
      <c r="A106" s="164"/>
      <c r="B106" s="164"/>
      <c r="C106" s="164"/>
      <c r="D106" s="164"/>
      <c r="E106" s="143">
        <v>5</v>
      </c>
      <c r="F106" s="183"/>
      <c r="G106" s="143">
        <v>5</v>
      </c>
      <c r="H106" s="183"/>
      <c r="I106" s="143">
        <v>5</v>
      </c>
      <c r="J106" s="183"/>
      <c r="K106" s="143">
        <v>5</v>
      </c>
      <c r="L106" s="183"/>
      <c r="M106" s="164"/>
      <c r="N106" s="164"/>
      <c r="O106" s="164"/>
      <c r="P106" s="164"/>
      <c r="Q106" s="143">
        <v>5</v>
      </c>
      <c r="R106" s="183"/>
      <c r="S106" s="164"/>
      <c r="T106" s="143">
        <v>5</v>
      </c>
      <c r="U106" s="208"/>
      <c r="V106" s="164"/>
      <c r="W106" s="164"/>
      <c r="X106" s="40"/>
      <c r="Y106" s="143">
        <v>5</v>
      </c>
      <c r="Z106" s="421"/>
      <c r="AA106" s="425"/>
      <c r="AB106" s="406"/>
      <c r="AC106" s="40"/>
      <c r="AD106" s="143">
        <v>5</v>
      </c>
      <c r="AE106" s="421"/>
      <c r="AF106" s="425"/>
      <c r="AG106" s="406"/>
      <c r="AH106" s="40"/>
      <c r="AI106" s="406"/>
      <c r="AJ106" s="406"/>
      <c r="AK106" s="406"/>
      <c r="AL106" s="406"/>
      <c r="AM106" s="40"/>
      <c r="AN106" s="143">
        <v>5</v>
      </c>
      <c r="AO106" s="183"/>
      <c r="AP106" s="425"/>
      <c r="AQ106" s="426"/>
      <c r="AR106" s="143">
        <v>5</v>
      </c>
      <c r="AS106" s="183"/>
      <c r="AT106" s="425"/>
      <c r="AU106" s="426"/>
      <c r="AV106" s="143">
        <v>5</v>
      </c>
      <c r="AW106" s="183"/>
      <c r="AX106" s="425"/>
      <c r="AY106" s="426"/>
      <c r="AZ106" s="143">
        <v>5</v>
      </c>
      <c r="BA106" s="183"/>
      <c r="BB106" s="425"/>
      <c r="BC106" s="406"/>
      <c r="BD106" s="40"/>
      <c r="BE106" s="143">
        <v>5</v>
      </c>
      <c r="BF106" s="183"/>
      <c r="BG106" s="425"/>
      <c r="BH106" s="406"/>
      <c r="BI106" s="40"/>
      <c r="BJ106" s="40"/>
      <c r="BK106" s="143">
        <v>5</v>
      </c>
      <c r="BL106" s="208"/>
      <c r="BM106" s="425"/>
      <c r="BN106" s="406"/>
    </row>
    <row r="107" spans="1:66" x14ac:dyDescent="0.3">
      <c r="A107" s="164"/>
      <c r="B107" s="164"/>
      <c r="C107" s="164"/>
      <c r="D107" s="164"/>
      <c r="E107" s="143">
        <v>4</v>
      </c>
      <c r="F107" s="183"/>
      <c r="G107" s="143">
        <v>4</v>
      </c>
      <c r="H107" s="183"/>
      <c r="I107" s="143">
        <v>4</v>
      </c>
      <c r="J107" s="183"/>
      <c r="K107" s="143">
        <v>4</v>
      </c>
      <c r="L107" s="183"/>
      <c r="M107" s="164"/>
      <c r="N107" s="164"/>
      <c r="O107" s="164"/>
      <c r="P107" s="164"/>
      <c r="Q107" s="143">
        <v>4</v>
      </c>
      <c r="R107" s="183"/>
      <c r="S107" s="164"/>
      <c r="T107" s="143">
        <v>4</v>
      </c>
      <c r="U107" s="208"/>
      <c r="V107" s="164"/>
      <c r="W107" s="164"/>
      <c r="X107" s="40"/>
      <c r="Y107" s="143">
        <v>4</v>
      </c>
      <c r="Z107" s="183"/>
      <c r="AA107" s="425"/>
      <c r="AB107" s="406"/>
      <c r="AC107" s="40"/>
      <c r="AD107" s="143">
        <v>4</v>
      </c>
      <c r="AE107" s="183"/>
      <c r="AF107" s="425"/>
      <c r="AG107" s="406"/>
      <c r="AH107" s="40"/>
      <c r="AI107" s="406"/>
      <c r="AJ107" s="406"/>
      <c r="AK107" s="406"/>
      <c r="AL107" s="406"/>
      <c r="AM107" s="40"/>
      <c r="AN107" s="143">
        <v>4</v>
      </c>
      <c r="AO107" s="183"/>
      <c r="AP107" s="425"/>
      <c r="AQ107" s="426"/>
      <c r="AR107" s="143">
        <v>4</v>
      </c>
      <c r="AS107" s="183"/>
      <c r="AT107" s="425"/>
      <c r="AU107" s="426"/>
      <c r="AV107" s="143">
        <v>4</v>
      </c>
      <c r="AW107" s="183"/>
      <c r="AX107" s="425"/>
      <c r="AY107" s="426"/>
      <c r="AZ107" s="143">
        <v>4</v>
      </c>
      <c r="BA107" s="183"/>
      <c r="BB107" s="425"/>
      <c r="BC107" s="406"/>
      <c r="BD107" s="40"/>
      <c r="BE107" s="143">
        <v>4</v>
      </c>
      <c r="BF107" s="183"/>
      <c r="BG107" s="425"/>
      <c r="BH107" s="406"/>
      <c r="BI107" s="40"/>
      <c r="BJ107" s="40"/>
      <c r="BK107" s="143">
        <v>4</v>
      </c>
      <c r="BL107" s="208"/>
      <c r="BM107" s="425"/>
      <c r="BN107" s="406"/>
    </row>
    <row r="108" spans="1:66" x14ac:dyDescent="0.3">
      <c r="A108" s="164"/>
      <c r="B108" s="164"/>
      <c r="C108" s="164"/>
      <c r="D108" s="164"/>
      <c r="E108" s="143">
        <v>3</v>
      </c>
      <c r="F108" s="183"/>
      <c r="G108" s="143">
        <v>3</v>
      </c>
      <c r="H108" s="183"/>
      <c r="I108" s="143">
        <v>3</v>
      </c>
      <c r="J108" s="183"/>
      <c r="K108" s="143">
        <v>3</v>
      </c>
      <c r="L108" s="183"/>
      <c r="M108" s="164"/>
      <c r="N108" s="164"/>
      <c r="O108" s="164"/>
      <c r="P108" s="164"/>
      <c r="Q108" s="143">
        <v>3</v>
      </c>
      <c r="R108" s="183"/>
      <c r="S108" s="164"/>
      <c r="T108" s="143">
        <v>3</v>
      </c>
      <c r="U108" s="208"/>
      <c r="V108" s="164"/>
      <c r="W108" s="164"/>
      <c r="X108" s="40"/>
      <c r="Y108" s="143">
        <v>3</v>
      </c>
      <c r="Z108" s="183"/>
      <c r="AA108" s="425"/>
      <c r="AB108" s="406"/>
      <c r="AC108" s="40"/>
      <c r="AD108" s="143">
        <v>3</v>
      </c>
      <c r="AE108" s="183"/>
      <c r="AF108" s="425"/>
      <c r="AG108" s="406"/>
      <c r="AH108" s="40"/>
      <c r="AI108" s="406"/>
      <c r="AJ108" s="406"/>
      <c r="AK108" s="406"/>
      <c r="AL108" s="406"/>
      <c r="AM108" s="40"/>
      <c r="AN108" s="143">
        <v>3</v>
      </c>
      <c r="AO108" s="183"/>
      <c r="AP108" s="425"/>
      <c r="AQ108" s="426"/>
      <c r="AR108" s="143">
        <v>3</v>
      </c>
      <c r="AS108" s="183"/>
      <c r="AT108" s="425"/>
      <c r="AU108" s="426"/>
      <c r="AV108" s="143">
        <v>3</v>
      </c>
      <c r="AW108" s="183"/>
      <c r="AX108" s="425"/>
      <c r="AY108" s="426"/>
      <c r="AZ108" s="143">
        <v>3</v>
      </c>
      <c r="BA108" s="183"/>
      <c r="BB108" s="425"/>
      <c r="BC108" s="406"/>
      <c r="BD108" s="40"/>
      <c r="BE108" s="143">
        <v>3</v>
      </c>
      <c r="BF108" s="183"/>
      <c r="BG108" s="425"/>
      <c r="BH108" s="406"/>
      <c r="BI108" s="40"/>
      <c r="BJ108" s="40"/>
      <c r="BK108" s="143">
        <v>3</v>
      </c>
      <c r="BL108" s="183"/>
      <c r="BM108" s="425"/>
      <c r="BN108" s="406"/>
    </row>
    <row r="109" spans="1:66" x14ac:dyDescent="0.3">
      <c r="A109" s="164"/>
      <c r="B109" s="164"/>
      <c r="C109" s="164"/>
      <c r="D109" s="164"/>
      <c r="E109" s="143">
        <v>2</v>
      </c>
      <c r="F109" s="183"/>
      <c r="G109" s="143">
        <v>2</v>
      </c>
      <c r="H109" s="183"/>
      <c r="I109" s="143">
        <v>2</v>
      </c>
      <c r="J109" s="183"/>
      <c r="K109" s="143">
        <v>2</v>
      </c>
      <c r="L109" s="183"/>
      <c r="M109" s="164"/>
      <c r="N109" s="164"/>
      <c r="O109" s="164"/>
      <c r="P109" s="164"/>
      <c r="Q109" s="143">
        <v>2</v>
      </c>
      <c r="R109" s="183"/>
      <c r="S109" s="164"/>
      <c r="T109" s="143">
        <v>2</v>
      </c>
      <c r="U109" s="183"/>
      <c r="V109" s="164"/>
      <c r="W109" s="164"/>
      <c r="X109" s="40"/>
      <c r="Y109" s="143">
        <v>2</v>
      </c>
      <c r="Z109" s="183"/>
      <c r="AA109" s="425"/>
      <c r="AB109" s="406"/>
      <c r="AC109" s="40"/>
      <c r="AD109" s="143">
        <v>2</v>
      </c>
      <c r="AE109" s="183"/>
      <c r="AF109" s="425"/>
      <c r="AG109" s="406"/>
      <c r="AH109" s="40"/>
      <c r="AI109" s="406"/>
      <c r="AJ109" s="406"/>
      <c r="AK109" s="406"/>
      <c r="AL109" s="406"/>
      <c r="AM109" s="40"/>
      <c r="AN109" s="143">
        <v>2</v>
      </c>
      <c r="AO109" s="183"/>
      <c r="AP109" s="425"/>
      <c r="AQ109" s="426"/>
      <c r="AR109" s="143">
        <v>2</v>
      </c>
      <c r="AS109" s="183"/>
      <c r="AT109" s="425"/>
      <c r="AU109" s="426"/>
      <c r="AV109" s="143">
        <v>2</v>
      </c>
      <c r="AW109" s="183"/>
      <c r="AX109" s="425"/>
      <c r="AY109" s="426"/>
      <c r="AZ109" s="143">
        <v>2</v>
      </c>
      <c r="BA109" s="183"/>
      <c r="BB109" s="425"/>
      <c r="BC109" s="406"/>
      <c r="BD109" s="40"/>
      <c r="BE109" s="143">
        <v>2</v>
      </c>
      <c r="BF109" s="183"/>
      <c r="BG109" s="425"/>
      <c r="BH109" s="406"/>
      <c r="BI109" s="40"/>
      <c r="BJ109" s="40"/>
      <c r="BK109" s="143">
        <v>2</v>
      </c>
      <c r="BL109" s="183"/>
      <c r="BM109" s="425"/>
      <c r="BN109" s="406"/>
    </row>
    <row r="110" spans="1:66" ht="15" thickBot="1" x14ac:dyDescent="0.35">
      <c r="A110" s="164"/>
      <c r="B110" s="164"/>
      <c r="C110" s="164"/>
      <c r="D110" s="164"/>
      <c r="E110" s="144">
        <v>1</v>
      </c>
      <c r="F110" s="224"/>
      <c r="G110" s="144">
        <v>1</v>
      </c>
      <c r="H110" s="224"/>
      <c r="I110" s="144">
        <v>1</v>
      </c>
      <c r="J110" s="224"/>
      <c r="K110" s="144">
        <v>1</v>
      </c>
      <c r="L110" s="224"/>
      <c r="M110" s="164"/>
      <c r="N110" s="164"/>
      <c r="O110" s="164"/>
      <c r="P110" s="164"/>
      <c r="Q110" s="144">
        <v>1</v>
      </c>
      <c r="R110" s="224"/>
      <c r="S110" s="164"/>
      <c r="T110" s="144">
        <v>1</v>
      </c>
      <c r="U110" s="224"/>
      <c r="V110" s="164"/>
      <c r="W110" s="164"/>
      <c r="X110" s="40"/>
      <c r="Y110" s="144">
        <v>1</v>
      </c>
      <c r="Z110" s="224"/>
      <c r="AA110" s="425"/>
      <c r="AB110" s="406"/>
      <c r="AC110" s="40"/>
      <c r="AD110" s="144">
        <v>1</v>
      </c>
      <c r="AE110" s="224"/>
      <c r="AF110" s="425"/>
      <c r="AG110" s="406"/>
      <c r="AH110" s="40"/>
      <c r="AI110" s="406"/>
      <c r="AJ110" s="406"/>
      <c r="AK110" s="406"/>
      <c r="AL110" s="406"/>
      <c r="AM110" s="40"/>
      <c r="AN110" s="144">
        <v>1</v>
      </c>
      <c r="AO110" s="224"/>
      <c r="AP110" s="425"/>
      <c r="AQ110" s="426"/>
      <c r="AR110" s="144">
        <v>1</v>
      </c>
      <c r="AS110" s="224"/>
      <c r="AT110" s="425"/>
      <c r="AU110" s="426"/>
      <c r="AV110" s="144">
        <v>1</v>
      </c>
      <c r="AW110" s="224"/>
      <c r="AX110" s="425"/>
      <c r="AY110" s="426"/>
      <c r="AZ110" s="144">
        <v>1</v>
      </c>
      <c r="BA110" s="224"/>
      <c r="BB110" s="425"/>
      <c r="BC110" s="406"/>
      <c r="BD110" s="40"/>
      <c r="BE110" s="144">
        <v>1</v>
      </c>
      <c r="BF110" s="224"/>
      <c r="BG110" s="425"/>
      <c r="BH110" s="406"/>
      <c r="BI110" s="40"/>
      <c r="BJ110" s="40"/>
      <c r="BK110" s="144">
        <v>1</v>
      </c>
      <c r="BL110" s="224"/>
      <c r="BM110" s="425"/>
      <c r="BN110" s="406"/>
    </row>
  </sheetData>
  <mergeCells count="998">
    <mergeCell ref="BM109:BN109"/>
    <mergeCell ref="AA110:AB110"/>
    <mergeCell ref="AF110:AG110"/>
    <mergeCell ref="AI110:AJ110"/>
    <mergeCell ref="BM108:BN108"/>
    <mergeCell ref="AA109:AB109"/>
    <mergeCell ref="AF109:AG109"/>
    <mergeCell ref="AI109:AJ109"/>
    <mergeCell ref="AK109:AL109"/>
    <mergeCell ref="AP109:AQ109"/>
    <mergeCell ref="AT109:AU109"/>
    <mergeCell ref="AX109:AY109"/>
    <mergeCell ref="AT108:AU108"/>
    <mergeCell ref="AX108:AY108"/>
    <mergeCell ref="BB108:BC108"/>
    <mergeCell ref="BG108:BH108"/>
    <mergeCell ref="BM110:BN110"/>
    <mergeCell ref="AK110:AL110"/>
    <mergeCell ref="AP110:AQ110"/>
    <mergeCell ref="AT110:AU110"/>
    <mergeCell ref="AX110:AY110"/>
    <mergeCell ref="BB110:BC110"/>
    <mergeCell ref="BG110:BH110"/>
    <mergeCell ref="BB109:BC109"/>
    <mergeCell ref="AT105:AU105"/>
    <mergeCell ref="AX105:AY105"/>
    <mergeCell ref="BB105:BC105"/>
    <mergeCell ref="BG105:BH105"/>
    <mergeCell ref="BG109:BH109"/>
    <mergeCell ref="AA108:AB108"/>
    <mergeCell ref="AF108:AG108"/>
    <mergeCell ref="AI108:AJ108"/>
    <mergeCell ref="AK108:AL108"/>
    <mergeCell ref="AP108:AQ108"/>
    <mergeCell ref="AK107:AL107"/>
    <mergeCell ref="AP107:AQ107"/>
    <mergeCell ref="AT107:AU107"/>
    <mergeCell ref="AX107:AY107"/>
    <mergeCell ref="AA107:AB107"/>
    <mergeCell ref="AF107:AG107"/>
    <mergeCell ref="AI107:AJ107"/>
    <mergeCell ref="BM107:BN107"/>
    <mergeCell ref="BB107:BC107"/>
    <mergeCell ref="BG107:BH107"/>
    <mergeCell ref="BM104:BN104"/>
    <mergeCell ref="Z105:Z106"/>
    <mergeCell ref="AA105:AB105"/>
    <mergeCell ref="AE105:AE106"/>
    <mergeCell ref="AF105:AG105"/>
    <mergeCell ref="AI105:AJ105"/>
    <mergeCell ref="AK105:AL105"/>
    <mergeCell ref="AP105:AQ105"/>
    <mergeCell ref="AT104:AU104"/>
    <mergeCell ref="AX104:AY104"/>
    <mergeCell ref="BB104:BC104"/>
    <mergeCell ref="BG104:BH104"/>
    <mergeCell ref="BM106:BN106"/>
    <mergeCell ref="BM105:BN105"/>
    <mergeCell ref="AA106:AB106"/>
    <mergeCell ref="AF106:AG106"/>
    <mergeCell ref="AI106:AJ106"/>
    <mergeCell ref="AK106:AL106"/>
    <mergeCell ref="AP106:AQ106"/>
    <mergeCell ref="AT106:AU106"/>
    <mergeCell ref="AX106:AY106"/>
    <mergeCell ref="Z102:Z103"/>
    <mergeCell ref="BB106:BC106"/>
    <mergeCell ref="BG106:BH106"/>
    <mergeCell ref="BB102:BC102"/>
    <mergeCell ref="BG102:BH102"/>
    <mergeCell ref="BM102:BN102"/>
    <mergeCell ref="AA103:AB103"/>
    <mergeCell ref="AF103:AG103"/>
    <mergeCell ref="AI103:AJ103"/>
    <mergeCell ref="AI102:AJ102"/>
    <mergeCell ref="AK102:AL102"/>
    <mergeCell ref="AP102:AQ102"/>
    <mergeCell ref="AT102:AU102"/>
    <mergeCell ref="AX102:AY102"/>
    <mergeCell ref="BM103:BN103"/>
    <mergeCell ref="AA104:AB104"/>
    <mergeCell ref="AF104:AG104"/>
    <mergeCell ref="AI104:AJ104"/>
    <mergeCell ref="AK104:AL104"/>
    <mergeCell ref="AP104:AQ104"/>
    <mergeCell ref="AK103:AL103"/>
    <mergeCell ref="AP103:AQ103"/>
    <mergeCell ref="AT103:AU103"/>
    <mergeCell ref="AX103:AY103"/>
    <mergeCell ref="BB101:BC101"/>
    <mergeCell ref="BG101:BH101"/>
    <mergeCell ref="BM101:BN101"/>
    <mergeCell ref="AA102:AB102"/>
    <mergeCell ref="AE102:AE103"/>
    <mergeCell ref="AF102:AG102"/>
    <mergeCell ref="BM100:BN100"/>
    <mergeCell ref="AA101:AB101"/>
    <mergeCell ref="AF101:AG101"/>
    <mergeCell ref="AI101:AJ101"/>
    <mergeCell ref="AK101:AL101"/>
    <mergeCell ref="AP101:AQ101"/>
    <mergeCell ref="AT101:AU101"/>
    <mergeCell ref="AX101:AY101"/>
    <mergeCell ref="BB103:BC103"/>
    <mergeCell ref="BG103:BH103"/>
    <mergeCell ref="AA100:AB100"/>
    <mergeCell ref="AF100:AG100"/>
    <mergeCell ref="AI100:AJ100"/>
    <mergeCell ref="AK100:AL100"/>
    <mergeCell ref="AP100:AQ100"/>
    <mergeCell ref="AT100:AU100"/>
    <mergeCell ref="AX100:AY100"/>
    <mergeCell ref="BB100:BC100"/>
    <mergeCell ref="BB98:BC98"/>
    <mergeCell ref="BG98:BH98"/>
    <mergeCell ref="AE98:AE99"/>
    <mergeCell ref="AF98:AG98"/>
    <mergeCell ref="AI98:AJ98"/>
    <mergeCell ref="AK98:AL98"/>
    <mergeCell ref="BM99:BN99"/>
    <mergeCell ref="BF99:BF100"/>
    <mergeCell ref="BG99:BH99"/>
    <mergeCell ref="BG100:BH100"/>
    <mergeCell ref="AA99:AB99"/>
    <mergeCell ref="AF99:AG99"/>
    <mergeCell ref="AI99:AJ99"/>
    <mergeCell ref="AK99:AL99"/>
    <mergeCell ref="AP99:AQ99"/>
    <mergeCell ref="AT99:AU99"/>
    <mergeCell ref="AP98:AQ98"/>
    <mergeCell ref="AT98:AU98"/>
    <mergeCell ref="AX98:AY98"/>
    <mergeCell ref="BM97:BN97"/>
    <mergeCell ref="AT97:AU97"/>
    <mergeCell ref="AW97:AW98"/>
    <mergeCell ref="AX97:AY97"/>
    <mergeCell ref="BA97:BA98"/>
    <mergeCell ref="BB97:BC97"/>
    <mergeCell ref="F98:F99"/>
    <mergeCell ref="H98:H99"/>
    <mergeCell ref="J98:J99"/>
    <mergeCell ref="L98:L99"/>
    <mergeCell ref="R98:R99"/>
    <mergeCell ref="U98:U99"/>
    <mergeCell ref="Z98:Z99"/>
    <mergeCell ref="AA98:AB98"/>
    <mergeCell ref="AS97:AS98"/>
    <mergeCell ref="AX99:AY99"/>
    <mergeCell ref="BB99:BC99"/>
    <mergeCell ref="AA97:AB97"/>
    <mergeCell ref="AF97:AG97"/>
    <mergeCell ref="AI97:AJ97"/>
    <mergeCell ref="AK97:AL97"/>
    <mergeCell ref="AO97:AO98"/>
    <mergeCell ref="AP97:AQ97"/>
    <mergeCell ref="BM98:BN98"/>
    <mergeCell ref="AT96:AU96"/>
    <mergeCell ref="AX96:AY96"/>
    <mergeCell ref="BB96:BC96"/>
    <mergeCell ref="AA96:AB96"/>
    <mergeCell ref="AF96:AG96"/>
    <mergeCell ref="AI96:AJ96"/>
    <mergeCell ref="AK96:AL96"/>
    <mergeCell ref="AP96:AQ96"/>
    <mergeCell ref="BM94:BN94"/>
    <mergeCell ref="AT94:AU94"/>
    <mergeCell ref="AW94:AW95"/>
    <mergeCell ref="AX94:AY94"/>
    <mergeCell ref="BA94:BA95"/>
    <mergeCell ref="BB94:BC94"/>
    <mergeCell ref="BG94:BH94"/>
    <mergeCell ref="AT95:AU95"/>
    <mergeCell ref="AX95:AY95"/>
    <mergeCell ref="BB95:BC95"/>
    <mergeCell ref="BG95:BH95"/>
    <mergeCell ref="BM96:BN96"/>
    <mergeCell ref="BF96:BF97"/>
    <mergeCell ref="BG96:BH96"/>
    <mergeCell ref="BG97:BH97"/>
    <mergeCell ref="AA94:AB94"/>
    <mergeCell ref="F95:F96"/>
    <mergeCell ref="H95:H96"/>
    <mergeCell ref="J95:J96"/>
    <mergeCell ref="L95:L96"/>
    <mergeCell ref="R95:R96"/>
    <mergeCell ref="U95:U96"/>
    <mergeCell ref="Z95:Z96"/>
    <mergeCell ref="AA95:AB95"/>
    <mergeCell ref="AE95:AE96"/>
    <mergeCell ref="AF94:AG94"/>
    <mergeCell ref="AI94:AJ94"/>
    <mergeCell ref="AK94:AL94"/>
    <mergeCell ref="AA93:AB93"/>
    <mergeCell ref="AF93:AG93"/>
    <mergeCell ref="AI93:AJ93"/>
    <mergeCell ref="AK93:AL93"/>
    <mergeCell ref="AP93:AQ93"/>
    <mergeCell ref="AO94:AO95"/>
    <mergeCell ref="AP94:AQ94"/>
    <mergeCell ref="AF95:AG95"/>
    <mergeCell ref="AI95:AJ95"/>
    <mergeCell ref="AK95:AL95"/>
    <mergeCell ref="AP95:AQ95"/>
    <mergeCell ref="F92:F93"/>
    <mergeCell ref="H92:H93"/>
    <mergeCell ref="J92:J93"/>
    <mergeCell ref="L92:L93"/>
    <mergeCell ref="R92:R93"/>
    <mergeCell ref="U92:U93"/>
    <mergeCell ref="Z92:Z93"/>
    <mergeCell ref="AA92:AB92"/>
    <mergeCell ref="AS91:AS92"/>
    <mergeCell ref="AP92:AQ92"/>
    <mergeCell ref="AA91:AB91"/>
    <mergeCell ref="AF91:AG91"/>
    <mergeCell ref="AI91:AJ91"/>
    <mergeCell ref="AK91:AL91"/>
    <mergeCell ref="AO91:AO92"/>
    <mergeCell ref="AP91:AQ91"/>
    <mergeCell ref="AS94:AS95"/>
    <mergeCell ref="AX93:AY93"/>
    <mergeCell ref="BB93:BC93"/>
    <mergeCell ref="BF93:BF94"/>
    <mergeCell ref="BG93:BH93"/>
    <mergeCell ref="BM92:BN92"/>
    <mergeCell ref="BM90:BN90"/>
    <mergeCell ref="BF90:BF91"/>
    <mergeCell ref="BG90:BH90"/>
    <mergeCell ref="BG91:BH91"/>
    <mergeCell ref="BM91:BN91"/>
    <mergeCell ref="BB92:BC92"/>
    <mergeCell ref="BG92:BH92"/>
    <mergeCell ref="BM95:BN95"/>
    <mergeCell ref="AT91:AU91"/>
    <mergeCell ref="AW91:AW92"/>
    <mergeCell ref="AX91:AY91"/>
    <mergeCell ref="BA91:BA92"/>
    <mergeCell ref="BB91:BC91"/>
    <mergeCell ref="BM93:BN93"/>
    <mergeCell ref="AT93:AU93"/>
    <mergeCell ref="AT92:AU92"/>
    <mergeCell ref="AT90:AU90"/>
    <mergeCell ref="AX90:AY90"/>
    <mergeCell ref="BB90:BC90"/>
    <mergeCell ref="AI92:AJ92"/>
    <mergeCell ref="AK92:AL92"/>
    <mergeCell ref="AE92:AE93"/>
    <mergeCell ref="AF92:AG92"/>
    <mergeCell ref="AX92:AY92"/>
    <mergeCell ref="BM89:BN89"/>
    <mergeCell ref="AA90:AB90"/>
    <mergeCell ref="AF90:AG90"/>
    <mergeCell ref="AI90:AJ90"/>
    <mergeCell ref="AK90:AL90"/>
    <mergeCell ref="AP90:AQ90"/>
    <mergeCell ref="AF89:AG89"/>
    <mergeCell ref="AI89:AJ89"/>
    <mergeCell ref="AK89:AL89"/>
    <mergeCell ref="AP89:AQ89"/>
    <mergeCell ref="F89:F90"/>
    <mergeCell ref="H89:H90"/>
    <mergeCell ref="J89:J90"/>
    <mergeCell ref="L89:L90"/>
    <mergeCell ref="R89:R90"/>
    <mergeCell ref="U89:U90"/>
    <mergeCell ref="Z89:Z90"/>
    <mergeCell ref="AA89:AB89"/>
    <mergeCell ref="AE89:AE90"/>
    <mergeCell ref="BG87:BH87"/>
    <mergeCell ref="AT88:AU88"/>
    <mergeCell ref="AW88:AW89"/>
    <mergeCell ref="AX88:AY88"/>
    <mergeCell ref="BA88:BA89"/>
    <mergeCell ref="BB88:BC88"/>
    <mergeCell ref="BG88:BH88"/>
    <mergeCell ref="AT89:AU89"/>
    <mergeCell ref="AX89:AY89"/>
    <mergeCell ref="BB89:BC89"/>
    <mergeCell ref="BG89:BH89"/>
    <mergeCell ref="AF88:AG88"/>
    <mergeCell ref="AI88:AJ88"/>
    <mergeCell ref="AK88:AL88"/>
    <mergeCell ref="AO88:AO89"/>
    <mergeCell ref="AP88:AQ88"/>
    <mergeCell ref="AS88:AS89"/>
    <mergeCell ref="AX87:AY87"/>
    <mergeCell ref="BB87:BC87"/>
    <mergeCell ref="BF87:BF88"/>
    <mergeCell ref="BM86:BN86"/>
    <mergeCell ref="AA87:AB87"/>
    <mergeCell ref="AF87:AG87"/>
    <mergeCell ref="AI87:AJ87"/>
    <mergeCell ref="AK87:AL87"/>
    <mergeCell ref="AP87:AQ87"/>
    <mergeCell ref="AT87:AU87"/>
    <mergeCell ref="BM88:BN88"/>
    <mergeCell ref="BM85:BN85"/>
    <mergeCell ref="BB85:BC85"/>
    <mergeCell ref="BG85:BH85"/>
    <mergeCell ref="BB86:BC86"/>
    <mergeCell ref="BG86:BH86"/>
    <mergeCell ref="BF84:BF85"/>
    <mergeCell ref="BG84:BH84"/>
    <mergeCell ref="BM84:BN84"/>
    <mergeCell ref="AI84:AJ84"/>
    <mergeCell ref="AK84:AL84"/>
    <mergeCell ref="AP84:AQ84"/>
    <mergeCell ref="AT84:AU84"/>
    <mergeCell ref="AX84:AY84"/>
    <mergeCell ref="BB84:BC84"/>
    <mergeCell ref="BM87:BN87"/>
    <mergeCell ref="AA88:AB88"/>
    <mergeCell ref="Z86:Z87"/>
    <mergeCell ref="AA86:AB86"/>
    <mergeCell ref="AE86:AE87"/>
    <mergeCell ref="AF86:AG86"/>
    <mergeCell ref="AI86:AJ86"/>
    <mergeCell ref="AK86:AL86"/>
    <mergeCell ref="AP86:AQ86"/>
    <mergeCell ref="AX85:AY85"/>
    <mergeCell ref="BA85:BA86"/>
    <mergeCell ref="AX86:AY86"/>
    <mergeCell ref="AK85:AL85"/>
    <mergeCell ref="AO85:AO86"/>
    <mergeCell ref="AP85:AQ85"/>
    <mergeCell ref="AS85:AS86"/>
    <mergeCell ref="AT85:AU85"/>
    <mergeCell ref="AW85:AW86"/>
    <mergeCell ref="AT86:AU86"/>
    <mergeCell ref="AA85:AB85"/>
    <mergeCell ref="AF85:AG85"/>
    <mergeCell ref="AI85:AJ85"/>
    <mergeCell ref="Z83:Z84"/>
    <mergeCell ref="AA83:AB83"/>
    <mergeCell ref="AE83:AE84"/>
    <mergeCell ref="AF83:AG83"/>
    <mergeCell ref="AA84:AB84"/>
    <mergeCell ref="AF84:AG84"/>
    <mergeCell ref="BA82:BA83"/>
    <mergeCell ref="BB82:BC82"/>
    <mergeCell ref="BG82:BH82"/>
    <mergeCell ref="F82:F83"/>
    <mergeCell ref="H82:H83"/>
    <mergeCell ref="J82:J83"/>
    <mergeCell ref="L82:L83"/>
    <mergeCell ref="R82:R83"/>
    <mergeCell ref="AA82:AB82"/>
    <mergeCell ref="AF82:AG82"/>
    <mergeCell ref="AP81:AQ81"/>
    <mergeCell ref="AT81:AU81"/>
    <mergeCell ref="AS82:AS83"/>
    <mergeCell ref="AT82:AU82"/>
    <mergeCell ref="Z80:Z81"/>
    <mergeCell ref="AA81:AB81"/>
    <mergeCell ref="AF81:AG81"/>
    <mergeCell ref="AI81:AJ81"/>
    <mergeCell ref="AK81:AL81"/>
    <mergeCell ref="AI82:AJ82"/>
    <mergeCell ref="AK82:AL82"/>
    <mergeCell ref="AO82:AO83"/>
    <mergeCell ref="AP82:AQ82"/>
    <mergeCell ref="AI83:AJ83"/>
    <mergeCell ref="AK83:AL83"/>
    <mergeCell ref="AP83:AQ83"/>
    <mergeCell ref="AT83:AU83"/>
    <mergeCell ref="AX80:AY80"/>
    <mergeCell ref="BB80:BC80"/>
    <mergeCell ref="BG79:BH79"/>
    <mergeCell ref="BM79:BN79"/>
    <mergeCell ref="AA80:AB80"/>
    <mergeCell ref="AE80:AE81"/>
    <mergeCell ref="AF80:AG80"/>
    <mergeCell ref="AF79:AG79"/>
    <mergeCell ref="AI79:AJ79"/>
    <mergeCell ref="AK79:AL79"/>
    <mergeCell ref="AP79:AQ79"/>
    <mergeCell ref="BM81:BN81"/>
    <mergeCell ref="AX81:AY81"/>
    <mergeCell ref="BB81:BC81"/>
    <mergeCell ref="BF81:BF82"/>
    <mergeCell ref="BG81:BH81"/>
    <mergeCell ref="AW82:AW83"/>
    <mergeCell ref="AX82:AY82"/>
    <mergeCell ref="BM80:BN80"/>
    <mergeCell ref="BM82:BN82"/>
    <mergeCell ref="BM83:BN83"/>
    <mergeCell ref="AX83:AY83"/>
    <mergeCell ref="BB83:BC83"/>
    <mergeCell ref="BG83:BH83"/>
    <mergeCell ref="F79:F80"/>
    <mergeCell ref="H79:H80"/>
    <mergeCell ref="J79:J80"/>
    <mergeCell ref="L79:L80"/>
    <mergeCell ref="R79:R80"/>
    <mergeCell ref="AA79:AB79"/>
    <mergeCell ref="AP78:AQ78"/>
    <mergeCell ref="AS78:AS79"/>
    <mergeCell ref="AT78:AU78"/>
    <mergeCell ref="AI80:AJ80"/>
    <mergeCell ref="AK80:AL80"/>
    <mergeCell ref="AP80:AQ80"/>
    <mergeCell ref="AT80:AU80"/>
    <mergeCell ref="AX78:AY78"/>
    <mergeCell ref="BB78:BC78"/>
    <mergeCell ref="BF78:BF79"/>
    <mergeCell ref="AT79:AU79"/>
    <mergeCell ref="AX79:AY79"/>
    <mergeCell ref="BB79:BC79"/>
    <mergeCell ref="Z77:Z78"/>
    <mergeCell ref="BG80:BH80"/>
    <mergeCell ref="F76:F77"/>
    <mergeCell ref="H76:H77"/>
    <mergeCell ref="J76:J77"/>
    <mergeCell ref="L76:L77"/>
    <mergeCell ref="R76:R77"/>
    <mergeCell ref="AA78:AB78"/>
    <mergeCell ref="AF78:AG78"/>
    <mergeCell ref="AI78:AJ78"/>
    <mergeCell ref="AK78:AL78"/>
    <mergeCell ref="AO78:AO79"/>
    <mergeCell ref="AK77:AL77"/>
    <mergeCell ref="AP77:AQ77"/>
    <mergeCell ref="AT77:AU77"/>
    <mergeCell ref="AX77:AY77"/>
    <mergeCell ref="BB77:BC77"/>
    <mergeCell ref="BG77:BH77"/>
    <mergeCell ref="BG76:BH76"/>
    <mergeCell ref="BM76:BN76"/>
    <mergeCell ref="AA77:AB77"/>
    <mergeCell ref="AF77:AG77"/>
    <mergeCell ref="AI77:AJ77"/>
    <mergeCell ref="AI76:AJ76"/>
    <mergeCell ref="AK76:AL76"/>
    <mergeCell ref="AP76:AQ76"/>
    <mergeCell ref="AT76:AU76"/>
    <mergeCell ref="BB76:BC76"/>
    <mergeCell ref="BG78:BH78"/>
    <mergeCell ref="BM78:BN78"/>
    <mergeCell ref="AA76:AB76"/>
    <mergeCell ref="AF76:AG76"/>
    <mergeCell ref="AO75:AO76"/>
    <mergeCell ref="AP75:AQ75"/>
    <mergeCell ref="BL74:BL75"/>
    <mergeCell ref="BM74:BN74"/>
    <mergeCell ref="AA75:AB75"/>
    <mergeCell ref="AF75:AG75"/>
    <mergeCell ref="AI75:AJ75"/>
    <mergeCell ref="AK75:AL75"/>
    <mergeCell ref="AP74:AQ74"/>
    <mergeCell ref="AS74:AS75"/>
    <mergeCell ref="AT74:AU74"/>
    <mergeCell ref="AX74:AY74"/>
    <mergeCell ref="BB74:BC74"/>
    <mergeCell ref="BG74:BH74"/>
    <mergeCell ref="BG75:BH75"/>
    <mergeCell ref="BM77:BN77"/>
    <mergeCell ref="BM75:BN75"/>
    <mergeCell ref="BB75:BC75"/>
    <mergeCell ref="BF75:BF76"/>
    <mergeCell ref="AX76:AY76"/>
    <mergeCell ref="AT75:AU75"/>
    <mergeCell ref="AX75:AY75"/>
    <mergeCell ref="Z74:Z75"/>
    <mergeCell ref="BM73:BN73"/>
    <mergeCell ref="AA74:AB74"/>
    <mergeCell ref="AF74:AG74"/>
    <mergeCell ref="AI74:AJ74"/>
    <mergeCell ref="AK74:AL74"/>
    <mergeCell ref="AI73:AJ73"/>
    <mergeCell ref="AK73:AL73"/>
    <mergeCell ref="AP73:AQ73"/>
    <mergeCell ref="AT73:AU73"/>
    <mergeCell ref="BB73:BC73"/>
    <mergeCell ref="BG73:BH73"/>
    <mergeCell ref="F73:F74"/>
    <mergeCell ref="H73:H74"/>
    <mergeCell ref="J73:J74"/>
    <mergeCell ref="L73:L74"/>
    <mergeCell ref="R73:R74"/>
    <mergeCell ref="AA73:AB73"/>
    <mergeCell ref="AF73:AG73"/>
    <mergeCell ref="BL71:BL72"/>
    <mergeCell ref="BM71:BN71"/>
    <mergeCell ref="AA72:AB72"/>
    <mergeCell ref="AF72:AG72"/>
    <mergeCell ref="AI72:AJ72"/>
    <mergeCell ref="AK72:AL72"/>
    <mergeCell ref="AO72:AO73"/>
    <mergeCell ref="AP71:AQ71"/>
    <mergeCell ref="AT71:AU71"/>
    <mergeCell ref="AX71:AY71"/>
    <mergeCell ref="BB71:BC71"/>
    <mergeCell ref="BG71:BH71"/>
    <mergeCell ref="AA71:AB71"/>
    <mergeCell ref="AF71:AG71"/>
    <mergeCell ref="AI71:AJ71"/>
    <mergeCell ref="AK71:AL71"/>
    <mergeCell ref="BM72:BN72"/>
    <mergeCell ref="AP72:AQ72"/>
    <mergeCell ref="AT72:AU72"/>
    <mergeCell ref="AX72:AY72"/>
    <mergeCell ref="BB72:BC72"/>
    <mergeCell ref="BF72:BF73"/>
    <mergeCell ref="BG72:BH72"/>
    <mergeCell ref="AX73:AY73"/>
    <mergeCell ref="AX70:AY70"/>
    <mergeCell ref="BB70:BC70"/>
    <mergeCell ref="BG70:BH70"/>
    <mergeCell ref="BM70:BN70"/>
    <mergeCell ref="BM69:BN69"/>
    <mergeCell ref="AA70:AB70"/>
    <mergeCell ref="AF70:AG70"/>
    <mergeCell ref="AI70:AJ70"/>
    <mergeCell ref="AK70:AL70"/>
    <mergeCell ref="AP70:AQ70"/>
    <mergeCell ref="AT70:AU70"/>
    <mergeCell ref="AP69:AQ69"/>
    <mergeCell ref="AT69:AU69"/>
    <mergeCell ref="AX69:AY69"/>
    <mergeCell ref="BB69:BC69"/>
    <mergeCell ref="BG69:BH69"/>
    <mergeCell ref="AA69:AB69"/>
    <mergeCell ref="AF69:AG69"/>
    <mergeCell ref="AI69:AJ69"/>
    <mergeCell ref="AK69:AL69"/>
    <mergeCell ref="AX68:AY68"/>
    <mergeCell ref="BB68:BC68"/>
    <mergeCell ref="BG68:BH68"/>
    <mergeCell ref="BM68:BN68"/>
    <mergeCell ref="BM67:BN67"/>
    <mergeCell ref="AA68:AB68"/>
    <mergeCell ref="AF68:AG68"/>
    <mergeCell ref="AI68:AJ68"/>
    <mergeCell ref="AK68:AL68"/>
    <mergeCell ref="AP68:AQ68"/>
    <mergeCell ref="AT68:AU68"/>
    <mergeCell ref="AP67:AQ67"/>
    <mergeCell ref="AT67:AU67"/>
    <mergeCell ref="AX67:AY67"/>
    <mergeCell ref="BB67:BC67"/>
    <mergeCell ref="BG67:BH67"/>
    <mergeCell ref="AA67:AB67"/>
    <mergeCell ref="AF67:AG67"/>
    <mergeCell ref="AI67:AJ67"/>
    <mergeCell ref="AK67:AL67"/>
    <mergeCell ref="AX66:AY66"/>
    <mergeCell ref="BB66:BC66"/>
    <mergeCell ref="BG66:BH66"/>
    <mergeCell ref="BM66:BN66"/>
    <mergeCell ref="BM65:BN65"/>
    <mergeCell ref="AA66:AB66"/>
    <mergeCell ref="AF66:AG66"/>
    <mergeCell ref="AI66:AJ66"/>
    <mergeCell ref="AK66:AL66"/>
    <mergeCell ref="AP66:AQ66"/>
    <mergeCell ref="AT66:AU66"/>
    <mergeCell ref="AP65:AQ65"/>
    <mergeCell ref="AT65:AU65"/>
    <mergeCell ref="AX65:AY65"/>
    <mergeCell ref="BB65:BC65"/>
    <mergeCell ref="BG65:BH65"/>
    <mergeCell ref="AA65:AB65"/>
    <mergeCell ref="AF65:AG65"/>
    <mergeCell ref="AI65:AJ65"/>
    <mergeCell ref="AK65:AL65"/>
    <mergeCell ref="AX64:AY64"/>
    <mergeCell ref="BB64:BC64"/>
    <mergeCell ref="BG64:BH64"/>
    <mergeCell ref="BM64:BN64"/>
    <mergeCell ref="BM63:BN63"/>
    <mergeCell ref="AA64:AB64"/>
    <mergeCell ref="AF64:AG64"/>
    <mergeCell ref="AI64:AJ64"/>
    <mergeCell ref="AK64:AL64"/>
    <mergeCell ref="AP64:AQ64"/>
    <mergeCell ref="AT64:AU64"/>
    <mergeCell ref="AP63:AQ63"/>
    <mergeCell ref="AT63:AU63"/>
    <mergeCell ref="AX63:AY63"/>
    <mergeCell ref="BB63:BC63"/>
    <mergeCell ref="BG63:BH63"/>
    <mergeCell ref="BJ62:BK62"/>
    <mergeCell ref="BM62:BN62"/>
    <mergeCell ref="AA63:AB63"/>
    <mergeCell ref="AF63:AG63"/>
    <mergeCell ref="AI63:AJ63"/>
    <mergeCell ref="AK63:AL63"/>
    <mergeCell ref="AV62:AW62"/>
    <mergeCell ref="AX62:AY62"/>
    <mergeCell ref="AZ62:BA62"/>
    <mergeCell ref="BB62:BC62"/>
    <mergeCell ref="BD62:BE62"/>
    <mergeCell ref="BG62:BH62"/>
    <mergeCell ref="AI62:AJ62"/>
    <mergeCell ref="AK62:AL62"/>
    <mergeCell ref="AM62:AN62"/>
    <mergeCell ref="AP62:AQ62"/>
    <mergeCell ref="AR62:AS62"/>
    <mergeCell ref="AT62:AU62"/>
    <mergeCell ref="X62:Y62"/>
    <mergeCell ref="AA62:AB62"/>
    <mergeCell ref="AC62:AD62"/>
    <mergeCell ref="AF62:AG62"/>
    <mergeCell ref="BJ61:BK61"/>
    <mergeCell ref="BM61:BN61"/>
    <mergeCell ref="E62:F62"/>
    <mergeCell ref="G62:H62"/>
    <mergeCell ref="I62:J62"/>
    <mergeCell ref="K62:L62"/>
    <mergeCell ref="Q62:R62"/>
    <mergeCell ref="T62:U62"/>
    <mergeCell ref="AV61:AW61"/>
    <mergeCell ref="AX61:AY61"/>
    <mergeCell ref="AZ61:BA61"/>
    <mergeCell ref="BB61:BC61"/>
    <mergeCell ref="BD61:BE61"/>
    <mergeCell ref="BG61:BH61"/>
    <mergeCell ref="AI61:AJ61"/>
    <mergeCell ref="AK61:AL61"/>
    <mergeCell ref="AM61:AN61"/>
    <mergeCell ref="AP61:AQ61"/>
    <mergeCell ref="AR61:AS61"/>
    <mergeCell ref="AT61:AU61"/>
    <mergeCell ref="X61:Y61"/>
    <mergeCell ref="AA61:AB61"/>
    <mergeCell ref="AC61:AD61"/>
    <mergeCell ref="AF61:AG61"/>
    <mergeCell ref="BJ60:BK60"/>
    <mergeCell ref="BM60:BN60"/>
    <mergeCell ref="E61:F61"/>
    <mergeCell ref="G61:H61"/>
    <mergeCell ref="I61:J61"/>
    <mergeCell ref="K61:L61"/>
    <mergeCell ref="Q61:R61"/>
    <mergeCell ref="T61:U61"/>
    <mergeCell ref="AV60:AW60"/>
    <mergeCell ref="AX60:AY60"/>
    <mergeCell ref="AZ60:BA60"/>
    <mergeCell ref="BB60:BC60"/>
    <mergeCell ref="BD60:BE60"/>
    <mergeCell ref="BG60:BH60"/>
    <mergeCell ref="AI60:AJ60"/>
    <mergeCell ref="AK60:AL60"/>
    <mergeCell ref="AM60:AN60"/>
    <mergeCell ref="AP60:AQ60"/>
    <mergeCell ref="AR60:AS60"/>
    <mergeCell ref="AT60:AU60"/>
    <mergeCell ref="X60:Y60"/>
    <mergeCell ref="AA60:AB60"/>
    <mergeCell ref="AC60:AD60"/>
    <mergeCell ref="AF60:AG60"/>
    <mergeCell ref="E60:F60"/>
    <mergeCell ref="G60:H60"/>
    <mergeCell ref="I60:J60"/>
    <mergeCell ref="K60:L60"/>
    <mergeCell ref="Q60:R60"/>
    <mergeCell ref="T60:U60"/>
    <mergeCell ref="AT59:AU59"/>
    <mergeCell ref="AX59:AY59"/>
    <mergeCell ref="BB59:BC59"/>
    <mergeCell ref="BG59:BH59"/>
    <mergeCell ref="BM59:BN59"/>
    <mergeCell ref="AA59:AB59"/>
    <mergeCell ref="AF59:AG59"/>
    <mergeCell ref="AK59:AL59"/>
    <mergeCell ref="AP59:AQ59"/>
    <mergeCell ref="E59:F59"/>
    <mergeCell ref="G59:H59"/>
    <mergeCell ref="I59:J59"/>
    <mergeCell ref="K59:L59"/>
    <mergeCell ref="Q59:R59"/>
    <mergeCell ref="T59:U59"/>
    <mergeCell ref="Z48:Z49"/>
    <mergeCell ref="AE48:AE49"/>
    <mergeCell ref="AJ48:AJ49"/>
    <mergeCell ref="Z51:Z52"/>
    <mergeCell ref="AE51:AE52"/>
    <mergeCell ref="AJ51:AJ52"/>
    <mergeCell ref="U46:U47"/>
    <mergeCell ref="F21:F22"/>
    <mergeCell ref="H21:H22"/>
    <mergeCell ref="J21:J22"/>
    <mergeCell ref="L21:L22"/>
    <mergeCell ref="F30:F31"/>
    <mergeCell ref="H30:H31"/>
    <mergeCell ref="J30:J31"/>
    <mergeCell ref="L30:L31"/>
    <mergeCell ref="R30:R31"/>
    <mergeCell ref="F24:F25"/>
    <mergeCell ref="H24:H25"/>
    <mergeCell ref="F27:F28"/>
    <mergeCell ref="F37:F38"/>
    <mergeCell ref="H37:H38"/>
    <mergeCell ref="J37:J38"/>
    <mergeCell ref="L37:L38"/>
    <mergeCell ref="R37:R38"/>
    <mergeCell ref="U37:U38"/>
    <mergeCell ref="AP11:AP58"/>
    <mergeCell ref="AJ45:AJ46"/>
    <mergeCell ref="AO45:AO46"/>
    <mergeCell ref="F43:F44"/>
    <mergeCell ref="H43:H44"/>
    <mergeCell ref="J43:J44"/>
    <mergeCell ref="L43:L44"/>
    <mergeCell ref="R43:R44"/>
    <mergeCell ref="U43:U44"/>
    <mergeCell ref="Z42:Z43"/>
    <mergeCell ref="AE42:AE43"/>
    <mergeCell ref="AJ42:AJ43"/>
    <mergeCell ref="AO42:AO43"/>
    <mergeCell ref="F46:F47"/>
    <mergeCell ref="H46:H47"/>
    <mergeCell ref="J46:J47"/>
    <mergeCell ref="L46:L47"/>
    <mergeCell ref="R46:R47"/>
    <mergeCell ref="F40:F41"/>
    <mergeCell ref="H40:H41"/>
    <mergeCell ref="J40:J41"/>
    <mergeCell ref="L40:L41"/>
    <mergeCell ref="R40:R41"/>
    <mergeCell ref="U40:U41"/>
    <mergeCell ref="Z39:Z40"/>
    <mergeCell ref="AE39:AE40"/>
    <mergeCell ref="AJ39:AJ40"/>
    <mergeCell ref="H27:H28"/>
    <mergeCell ref="J27:J28"/>
    <mergeCell ref="L27:L28"/>
    <mergeCell ref="R27:R28"/>
    <mergeCell ref="Z27:Z28"/>
    <mergeCell ref="AE27:AE28"/>
    <mergeCell ref="AJ27:AJ28"/>
    <mergeCell ref="AU11:AU58"/>
    <mergeCell ref="R21:R22"/>
    <mergeCell ref="Z45:Z46"/>
    <mergeCell ref="AE45:AE46"/>
    <mergeCell ref="J24:J25"/>
    <mergeCell ref="L24:L25"/>
    <mergeCell ref="R24:R25"/>
    <mergeCell ref="Z25:Z26"/>
    <mergeCell ref="Z30:Z31"/>
    <mergeCell ref="AE30:AE31"/>
    <mergeCell ref="X11:X58"/>
    <mergeCell ref="AA11:AA58"/>
    <mergeCell ref="AC11:AC58"/>
    <mergeCell ref="AF11:AF58"/>
    <mergeCell ref="AH11:AH58"/>
    <mergeCell ref="Z36:Z37"/>
    <mergeCell ref="AE36:AE37"/>
    <mergeCell ref="AO39:AO40"/>
    <mergeCell ref="Z22:Z23"/>
    <mergeCell ref="AM11:AM58"/>
    <mergeCell ref="AJ36:AJ37"/>
    <mergeCell ref="Z33:Z34"/>
    <mergeCell ref="AE33:AE34"/>
    <mergeCell ref="AJ33:AJ34"/>
    <mergeCell ref="BM11:BM58"/>
    <mergeCell ref="BL14:BL15"/>
    <mergeCell ref="BL17:BL18"/>
    <mergeCell ref="BF18:BF19"/>
    <mergeCell ref="AO19:AO20"/>
    <mergeCell ref="BA33:BA34"/>
    <mergeCell ref="BF33:BF34"/>
    <mergeCell ref="AX11:AX58"/>
    <mergeCell ref="AY11:AY58"/>
    <mergeCell ref="BB11:BB58"/>
    <mergeCell ref="BD11:BD58"/>
    <mergeCell ref="BG11:BG58"/>
    <mergeCell ref="BA39:BA40"/>
    <mergeCell ref="BF39:BF40"/>
    <mergeCell ref="BA42:BA43"/>
    <mergeCell ref="BF42:BF43"/>
    <mergeCell ref="AO36:AO37"/>
    <mergeCell ref="AS36:AS37"/>
    <mergeCell ref="AW36:AW37"/>
    <mergeCell ref="BA36:BA37"/>
    <mergeCell ref="BF36:BF37"/>
    <mergeCell ref="AO33:AO34"/>
    <mergeCell ref="AS33:AS34"/>
    <mergeCell ref="AW33:AW34"/>
    <mergeCell ref="BF27:BF28"/>
    <mergeCell ref="BF24:BF25"/>
    <mergeCell ref="AO26:AO27"/>
    <mergeCell ref="AS26:AS27"/>
    <mergeCell ref="AQ11:AQ58"/>
    <mergeCell ref="AT11:AT58"/>
    <mergeCell ref="AJ30:AJ31"/>
    <mergeCell ref="AO30:AO31"/>
    <mergeCell ref="BF21:BF22"/>
    <mergeCell ref="BA45:BA46"/>
    <mergeCell ref="BF45:BF46"/>
    <mergeCell ref="AS30:AS31"/>
    <mergeCell ref="AW30:AW31"/>
    <mergeCell ref="BA30:BA31"/>
    <mergeCell ref="BF30:BF31"/>
    <mergeCell ref="AS39:AS40"/>
    <mergeCell ref="AW39:AW40"/>
    <mergeCell ref="AS45:AS46"/>
    <mergeCell ref="AW45:AW46"/>
    <mergeCell ref="AS42:AS43"/>
    <mergeCell ref="AW42:AW43"/>
    <mergeCell ref="AO22:AO23"/>
    <mergeCell ref="AS22:AS23"/>
    <mergeCell ref="AK11:AK58"/>
    <mergeCell ref="BG8:BH8"/>
    <mergeCell ref="BJ9:BK9"/>
    <mergeCell ref="BM9:BN9"/>
    <mergeCell ref="AA10:AB10"/>
    <mergeCell ref="AF10:AG10"/>
    <mergeCell ref="AK10:AL10"/>
    <mergeCell ref="AP10:AQ10"/>
    <mergeCell ref="AT10:AU10"/>
    <mergeCell ref="AK9:AL9"/>
    <mergeCell ref="AP9:AQ9"/>
    <mergeCell ref="AT9:AU9"/>
    <mergeCell ref="AX9:AY9"/>
    <mergeCell ref="BB9:BC9"/>
    <mergeCell ref="BG9:BH9"/>
    <mergeCell ref="AX10:AY10"/>
    <mergeCell ref="BB10:BC10"/>
    <mergeCell ref="BG10:BH10"/>
    <mergeCell ref="BM10:BN10"/>
    <mergeCell ref="X9:Y9"/>
    <mergeCell ref="AA9:AB9"/>
    <mergeCell ref="AC9:AD9"/>
    <mergeCell ref="AF9:AG9"/>
    <mergeCell ref="AP8:AQ8"/>
    <mergeCell ref="AT8:AU8"/>
    <mergeCell ref="AX8:AY8"/>
    <mergeCell ref="BB8:BC8"/>
    <mergeCell ref="BD8:BE8"/>
    <mergeCell ref="BJ7:BK7"/>
    <mergeCell ref="BM7:BN7"/>
    <mergeCell ref="X8:Y8"/>
    <mergeCell ref="AA8:AB8"/>
    <mergeCell ref="AC8:AD8"/>
    <mergeCell ref="AF8:AG8"/>
    <mergeCell ref="AK8:AL8"/>
    <mergeCell ref="AM8:AN8"/>
    <mergeCell ref="AZ7:BA7"/>
    <mergeCell ref="BB7:BC7"/>
    <mergeCell ref="BD7:BE7"/>
    <mergeCell ref="BG7:BH7"/>
    <mergeCell ref="AM7:AN7"/>
    <mergeCell ref="AP7:AQ7"/>
    <mergeCell ref="AR7:AS7"/>
    <mergeCell ref="AT7:AU7"/>
    <mergeCell ref="AV7:AW7"/>
    <mergeCell ref="AX7:AY7"/>
    <mergeCell ref="AC7:AD7"/>
    <mergeCell ref="AF7:AG7"/>
    <mergeCell ref="AI7:AJ7"/>
    <mergeCell ref="AK7:AL7"/>
    <mergeCell ref="BJ8:BK8"/>
    <mergeCell ref="BM8:BN8"/>
    <mergeCell ref="BJ6:BK6"/>
    <mergeCell ref="BM6:BN6"/>
    <mergeCell ref="E7:F7"/>
    <mergeCell ref="G7:H7"/>
    <mergeCell ref="I7:J7"/>
    <mergeCell ref="K7:L7"/>
    <mergeCell ref="X7:Y7"/>
    <mergeCell ref="AA7:AB7"/>
    <mergeCell ref="AP6:AQ6"/>
    <mergeCell ref="AT6:AU6"/>
    <mergeCell ref="AX6:AY6"/>
    <mergeCell ref="BB6:BC6"/>
    <mergeCell ref="BD6:BE6"/>
    <mergeCell ref="BG6:BH6"/>
    <mergeCell ref="AC6:AD6"/>
    <mergeCell ref="AF6:AG6"/>
    <mergeCell ref="AK6:AL6"/>
    <mergeCell ref="AM6:AN6"/>
    <mergeCell ref="G6:H6"/>
    <mergeCell ref="I6:J6"/>
    <mergeCell ref="K6:L6"/>
    <mergeCell ref="Q6:R6"/>
    <mergeCell ref="T6:U6"/>
    <mergeCell ref="X6:Y6"/>
    <mergeCell ref="AA6:AB6"/>
    <mergeCell ref="AX5:AY5"/>
    <mergeCell ref="AZ5:BA5"/>
    <mergeCell ref="BB5:BC5"/>
    <mergeCell ref="BD5:BE5"/>
    <mergeCell ref="BG5:BH5"/>
    <mergeCell ref="AK5:AL5"/>
    <mergeCell ref="AM5:AN5"/>
    <mergeCell ref="AP5:AQ5"/>
    <mergeCell ref="AR5:AS5"/>
    <mergeCell ref="AT5:AU5"/>
    <mergeCell ref="AV5:AW5"/>
    <mergeCell ref="AV4:AW4"/>
    <mergeCell ref="AX4:AY4"/>
    <mergeCell ref="AZ4:BA4"/>
    <mergeCell ref="BB4:BC4"/>
    <mergeCell ref="BD4:BE4"/>
    <mergeCell ref="BG4:BH4"/>
    <mergeCell ref="AI4:AJ4"/>
    <mergeCell ref="AK4:AL4"/>
    <mergeCell ref="AM4:AN4"/>
    <mergeCell ref="AP4:AQ4"/>
    <mergeCell ref="AR4:AS4"/>
    <mergeCell ref="AT4:AU4"/>
    <mergeCell ref="X4:Y4"/>
    <mergeCell ref="AA4:AB4"/>
    <mergeCell ref="AC4:AD4"/>
    <mergeCell ref="AF4:AG4"/>
    <mergeCell ref="BJ5:BK5"/>
    <mergeCell ref="BM5:BN5"/>
    <mergeCell ref="E4:F4"/>
    <mergeCell ref="G4:H4"/>
    <mergeCell ref="I4:J4"/>
    <mergeCell ref="K4:L4"/>
    <mergeCell ref="Q4:R4"/>
    <mergeCell ref="T4:U4"/>
    <mergeCell ref="X5:Y5"/>
    <mergeCell ref="AA5:AB5"/>
    <mergeCell ref="AC5:AD5"/>
    <mergeCell ref="AF5:AG5"/>
    <mergeCell ref="BJ4:BK4"/>
    <mergeCell ref="BM4:BN4"/>
    <mergeCell ref="E5:F5"/>
    <mergeCell ref="G5:H5"/>
    <mergeCell ref="I5:J5"/>
    <mergeCell ref="K5:L5"/>
    <mergeCell ref="Q5:R5"/>
    <mergeCell ref="T5:U5"/>
    <mergeCell ref="AV3:AW3"/>
    <mergeCell ref="AX3:AY3"/>
    <mergeCell ref="AZ3:BA3"/>
    <mergeCell ref="BB3:BC3"/>
    <mergeCell ref="BD3:BE3"/>
    <mergeCell ref="BG3:BH3"/>
    <mergeCell ref="AI3:AJ3"/>
    <mergeCell ref="AK3:AL3"/>
    <mergeCell ref="AM3:AN3"/>
    <mergeCell ref="AP3:AQ3"/>
    <mergeCell ref="AR3:AS3"/>
    <mergeCell ref="AT3:AU3"/>
    <mergeCell ref="X3:Y3"/>
    <mergeCell ref="AA3:AB3"/>
    <mergeCell ref="AC3:AD3"/>
    <mergeCell ref="AF3:AG3"/>
    <mergeCell ref="BJ2:BK2"/>
    <mergeCell ref="BM2:BN2"/>
    <mergeCell ref="E3:F3"/>
    <mergeCell ref="G3:H3"/>
    <mergeCell ref="I3:J3"/>
    <mergeCell ref="K3:L3"/>
    <mergeCell ref="Q3:R3"/>
    <mergeCell ref="T3:U3"/>
    <mergeCell ref="AV2:AW2"/>
    <mergeCell ref="AX2:AY2"/>
    <mergeCell ref="AZ2:BA2"/>
    <mergeCell ref="BB2:BC2"/>
    <mergeCell ref="BD2:BE2"/>
    <mergeCell ref="BG2:BH2"/>
    <mergeCell ref="AI2:AJ2"/>
    <mergeCell ref="AK2:AL2"/>
    <mergeCell ref="AM2:AN2"/>
    <mergeCell ref="AP2:AQ2"/>
    <mergeCell ref="AR2:AS2"/>
    <mergeCell ref="AT2:AU2"/>
    <mergeCell ref="X2:Y2"/>
    <mergeCell ref="AA2:AB2"/>
    <mergeCell ref="AC2:AD2"/>
    <mergeCell ref="AF2:AG2"/>
    <mergeCell ref="BJ3:BK3"/>
    <mergeCell ref="BM3:BN3"/>
    <mergeCell ref="BJ1:BK1"/>
    <mergeCell ref="BM1:BN1"/>
    <mergeCell ref="E2:F2"/>
    <mergeCell ref="G2:H2"/>
    <mergeCell ref="I2:J2"/>
    <mergeCell ref="K2:L2"/>
    <mergeCell ref="Q2:R2"/>
    <mergeCell ref="T2:U2"/>
    <mergeCell ref="AV1:AW1"/>
    <mergeCell ref="AX1:AY1"/>
    <mergeCell ref="AZ1:BA1"/>
    <mergeCell ref="BB1:BC1"/>
    <mergeCell ref="BD1:BE1"/>
    <mergeCell ref="BG1:BH1"/>
    <mergeCell ref="AI1:AJ1"/>
    <mergeCell ref="AK1:AL1"/>
    <mergeCell ref="AM1:AN1"/>
    <mergeCell ref="AP1:AQ1"/>
    <mergeCell ref="AR1:AS1"/>
    <mergeCell ref="AT1:AU1"/>
    <mergeCell ref="X1:Y1"/>
    <mergeCell ref="AA1:AB1"/>
    <mergeCell ref="AC1:AD1"/>
    <mergeCell ref="AF1:AG1"/>
    <mergeCell ref="E1:F1"/>
    <mergeCell ref="G1:H1"/>
    <mergeCell ref="I1:J1"/>
    <mergeCell ref="K1:L1"/>
    <mergeCell ref="Q1:R1"/>
    <mergeCell ref="T1:U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0BA5-2AB2-412B-A8FE-49F11A4BD78B}">
  <dimension ref="A1:J93"/>
  <sheetViews>
    <sheetView topLeftCell="A25" zoomScale="115" zoomScaleNormal="115" workbookViewId="0">
      <selection activeCell="E47" sqref="E47"/>
    </sheetView>
  </sheetViews>
  <sheetFormatPr defaultRowHeight="14.4" x14ac:dyDescent="0.3"/>
  <cols>
    <col min="1" max="1" width="52.6640625" customWidth="1"/>
    <col min="2" max="2" width="66.88671875" customWidth="1"/>
    <col min="3" max="3" width="128.109375" bestFit="1" customWidth="1"/>
    <col min="4" max="4" width="9.109375" bestFit="1" customWidth="1"/>
    <col min="5" max="5" width="14.109375" bestFit="1" customWidth="1"/>
    <col min="6" max="6" width="9.109375" bestFit="1" customWidth="1"/>
    <col min="7" max="7" width="15.88671875" customWidth="1"/>
  </cols>
  <sheetData>
    <row r="1" spans="1:7" ht="15" customHeight="1" x14ac:dyDescent="0.3">
      <c r="E1" s="437" t="s">
        <v>373</v>
      </c>
      <c r="F1" s="437"/>
      <c r="G1" s="437"/>
    </row>
    <row r="2" spans="1:7" x14ac:dyDescent="0.3">
      <c r="A2" s="296" t="s">
        <v>374</v>
      </c>
      <c r="B2" s="296"/>
      <c r="C2" s="296"/>
      <c r="D2" s="296"/>
      <c r="E2" s="297">
        <f>E16+E23+E31+E42</f>
        <v>47544.909999999996</v>
      </c>
      <c r="G2" s="297">
        <f>G16+G23+G31+G42</f>
        <v>60342.662121212124</v>
      </c>
    </row>
    <row r="3" spans="1:7" x14ac:dyDescent="0.3">
      <c r="A3" s="280"/>
      <c r="B3" s="280"/>
      <c r="C3" s="280"/>
      <c r="D3" s="280"/>
      <c r="E3" s="280"/>
    </row>
    <row r="4" spans="1:7" x14ac:dyDescent="0.3">
      <c r="A4" s="298" t="s">
        <v>375</v>
      </c>
      <c r="B4" s="299"/>
      <c r="C4" s="300" t="s">
        <v>376</v>
      </c>
      <c r="D4" s="300" t="s">
        <v>377</v>
      </c>
      <c r="E4" s="301" t="s">
        <v>378</v>
      </c>
    </row>
    <row r="5" spans="1:7" x14ac:dyDescent="0.3">
      <c r="A5" s="302" t="s">
        <v>379</v>
      </c>
      <c r="B5" s="303" t="s">
        <v>380</v>
      </c>
      <c r="C5" s="304">
        <v>4941</v>
      </c>
      <c r="D5" s="305">
        <v>1</v>
      </c>
      <c r="E5" s="306">
        <f t="shared" ref="E5:E15" si="0">C5*D5</f>
        <v>4941</v>
      </c>
    </row>
    <row r="6" spans="1:7" x14ac:dyDescent="0.3">
      <c r="A6" s="307" t="s">
        <v>381</v>
      </c>
      <c r="B6" s="308" t="s">
        <v>381</v>
      </c>
      <c r="C6" s="309">
        <v>50</v>
      </c>
      <c r="D6" s="310">
        <v>1</v>
      </c>
      <c r="E6" s="311">
        <f t="shared" si="0"/>
        <v>50</v>
      </c>
    </row>
    <row r="7" spans="1:7" ht="28.8" x14ac:dyDescent="0.3">
      <c r="A7" s="307" t="s">
        <v>382</v>
      </c>
      <c r="B7" s="312" t="s">
        <v>383</v>
      </c>
      <c r="C7" s="313">
        <v>3995</v>
      </c>
      <c r="D7" s="314">
        <v>1</v>
      </c>
      <c r="E7" s="311">
        <f t="shared" si="0"/>
        <v>3995</v>
      </c>
    </row>
    <row r="8" spans="1:7" x14ac:dyDescent="0.3">
      <c r="A8" s="302" t="s">
        <v>384</v>
      </c>
      <c r="B8" s="315" t="s">
        <v>385</v>
      </c>
      <c r="C8" s="316">
        <v>11408</v>
      </c>
      <c r="D8" s="317">
        <v>1</v>
      </c>
      <c r="E8" s="311">
        <f t="shared" si="0"/>
        <v>11408</v>
      </c>
    </row>
    <row r="9" spans="1:7" x14ac:dyDescent="0.3">
      <c r="A9" s="318" t="s">
        <v>386</v>
      </c>
      <c r="B9" s="319" t="s">
        <v>387</v>
      </c>
      <c r="C9" s="316">
        <v>150</v>
      </c>
      <c r="D9" s="317">
        <v>0</v>
      </c>
      <c r="E9" s="311">
        <f t="shared" si="0"/>
        <v>0</v>
      </c>
    </row>
    <row r="10" spans="1:7" x14ac:dyDescent="0.3">
      <c r="A10" s="302" t="s">
        <v>388</v>
      </c>
      <c r="B10" s="315" t="s">
        <v>389</v>
      </c>
      <c r="C10" s="316">
        <v>1234</v>
      </c>
      <c r="D10" s="317">
        <v>1</v>
      </c>
      <c r="E10" s="311">
        <f t="shared" si="0"/>
        <v>1234</v>
      </c>
    </row>
    <row r="11" spans="1:7" ht="28.8" x14ac:dyDescent="0.3">
      <c r="A11" s="307" t="s">
        <v>390</v>
      </c>
      <c r="B11" s="312" t="s">
        <v>391</v>
      </c>
      <c r="C11" s="313">
        <v>83.16</v>
      </c>
      <c r="D11" s="314">
        <v>15</v>
      </c>
      <c r="E11" s="311">
        <f t="shared" si="0"/>
        <v>1247.3999999999999</v>
      </c>
    </row>
    <row r="12" spans="1:7" x14ac:dyDescent="0.3">
      <c r="A12" s="302" t="s">
        <v>392</v>
      </c>
      <c r="B12" s="315" t="s">
        <v>393</v>
      </c>
      <c r="C12" s="316">
        <v>12.88</v>
      </c>
      <c r="D12" s="373">
        <f>15+5</f>
        <v>20</v>
      </c>
      <c r="E12" s="311">
        <f t="shared" si="0"/>
        <v>257.60000000000002</v>
      </c>
    </row>
    <row r="13" spans="1:7" x14ac:dyDescent="0.3">
      <c r="A13" s="302" t="s">
        <v>394</v>
      </c>
      <c r="B13" s="315" t="s">
        <v>395</v>
      </c>
      <c r="C13" s="316">
        <v>47.7</v>
      </c>
      <c r="D13" s="317">
        <v>4</v>
      </c>
      <c r="E13" s="311">
        <f t="shared" si="0"/>
        <v>190.8</v>
      </c>
    </row>
    <row r="14" spans="1:7" x14ac:dyDescent="0.3">
      <c r="A14" s="302" t="s">
        <v>396</v>
      </c>
      <c r="B14" s="320" t="s">
        <v>397</v>
      </c>
      <c r="C14" s="316">
        <v>936</v>
      </c>
      <c r="D14" s="317">
        <v>1</v>
      </c>
      <c r="E14" s="311">
        <f t="shared" si="0"/>
        <v>936</v>
      </c>
    </row>
    <row r="15" spans="1:7" x14ac:dyDescent="0.3">
      <c r="A15" s="302" t="s">
        <v>398</v>
      </c>
      <c r="B15" s="321" t="s">
        <v>399</v>
      </c>
      <c r="C15" s="316">
        <v>2000</v>
      </c>
      <c r="D15" s="317">
        <v>1</v>
      </c>
      <c r="E15" s="311">
        <f t="shared" si="0"/>
        <v>2000</v>
      </c>
    </row>
    <row r="16" spans="1:7" x14ac:dyDescent="0.3">
      <c r="A16" s="322"/>
      <c r="B16" s="323" t="s">
        <v>400</v>
      </c>
      <c r="C16" s="324"/>
      <c r="D16" s="325"/>
      <c r="E16" s="326">
        <f>SUM(E5:E15)</f>
        <v>26259.8</v>
      </c>
      <c r="F16" s="327">
        <v>0.12</v>
      </c>
      <c r="G16" s="328">
        <f>E16/(1-F16)</f>
        <v>29840.681818181816</v>
      </c>
    </row>
    <row r="17" spans="1:10" x14ac:dyDescent="0.3">
      <c r="A17" s="322"/>
      <c r="B17" s="329"/>
      <c r="C17" s="324"/>
      <c r="D17" s="325"/>
      <c r="E17" s="325"/>
    </row>
    <row r="18" spans="1:10" x14ac:dyDescent="0.3">
      <c r="A18" s="438" t="s">
        <v>401</v>
      </c>
      <c r="B18" s="439"/>
      <c r="C18" s="325"/>
      <c r="D18" s="325"/>
      <c r="E18" s="325"/>
    </row>
    <row r="19" spans="1:10" x14ac:dyDescent="0.3">
      <c r="A19" s="325"/>
      <c r="B19" s="330" t="s">
        <v>402</v>
      </c>
      <c r="C19" s="196">
        <v>118.37</v>
      </c>
      <c r="D19" s="331">
        <v>2</v>
      </c>
      <c r="E19" s="332">
        <f>C19*D19</f>
        <v>236.74</v>
      </c>
    </row>
    <row r="20" spans="1:10" x14ac:dyDescent="0.3">
      <c r="A20" s="325"/>
      <c r="B20" s="330" t="s">
        <v>403</v>
      </c>
      <c r="C20" s="196">
        <v>901.36</v>
      </c>
      <c r="D20" s="333">
        <v>2</v>
      </c>
      <c r="E20" s="332">
        <f>C20*D20</f>
        <v>1802.72</v>
      </c>
    </row>
    <row r="21" spans="1:10" x14ac:dyDescent="0.3">
      <c r="A21" s="325"/>
      <c r="B21" s="330" t="s">
        <v>404</v>
      </c>
      <c r="C21" s="196">
        <v>3521.62</v>
      </c>
      <c r="D21" s="334">
        <v>2</v>
      </c>
      <c r="E21" s="332">
        <f>C21*D21</f>
        <v>7043.24</v>
      </c>
    </row>
    <row r="22" spans="1:10" x14ac:dyDescent="0.3">
      <c r="A22" s="325"/>
      <c r="B22" s="330" t="s">
        <v>397</v>
      </c>
      <c r="C22" s="196">
        <v>147.66999999999999</v>
      </c>
      <c r="D22" s="334">
        <v>2</v>
      </c>
      <c r="E22" s="332">
        <f>C22*D22</f>
        <v>295.33999999999997</v>
      </c>
    </row>
    <row r="23" spans="1:10" x14ac:dyDescent="0.3">
      <c r="A23" s="325"/>
      <c r="B23" s="335" t="s">
        <v>405</v>
      </c>
      <c r="C23" s="325"/>
      <c r="D23" s="325"/>
      <c r="E23" s="336">
        <f>SUM(E19:E22)</f>
        <v>9378.0400000000009</v>
      </c>
      <c r="F23" s="327">
        <v>0.12</v>
      </c>
      <c r="G23" s="328">
        <f>E23/(1-F23)</f>
        <v>10656.863636363638</v>
      </c>
    </row>
    <row r="24" spans="1:10" x14ac:dyDescent="0.3">
      <c r="A24" s="325"/>
      <c r="B24" s="325"/>
      <c r="C24" s="325"/>
      <c r="D24" s="325"/>
      <c r="E24" s="325"/>
    </row>
    <row r="25" spans="1:10" x14ac:dyDescent="0.3">
      <c r="A25" s="325"/>
      <c r="B25" s="325"/>
      <c r="C25" s="325"/>
      <c r="D25" s="325"/>
      <c r="E25" s="325"/>
    </row>
    <row r="26" spans="1:10" x14ac:dyDescent="0.3">
      <c r="A26" s="337"/>
      <c r="B26" s="338" t="s">
        <v>406</v>
      </c>
      <c r="C26" s="325"/>
      <c r="D26" s="325"/>
      <c r="E26" s="325"/>
    </row>
    <row r="27" spans="1:10" x14ac:dyDescent="0.3">
      <c r="A27" s="339" t="s">
        <v>407</v>
      </c>
      <c r="B27" s="340" t="s">
        <v>408</v>
      </c>
      <c r="C27" s="341">
        <v>0</v>
      </c>
      <c r="D27" s="334">
        <v>1</v>
      </c>
      <c r="E27" s="342">
        <f>C27*D27</f>
        <v>0</v>
      </c>
    </row>
    <row r="28" spans="1:10" x14ac:dyDescent="0.3">
      <c r="A28" s="339" t="s">
        <v>409</v>
      </c>
      <c r="B28" s="343" t="s">
        <v>410</v>
      </c>
      <c r="C28" s="344">
        <v>1723.08</v>
      </c>
      <c r="D28" s="334">
        <v>1</v>
      </c>
      <c r="E28" s="342">
        <f>C28*D28</f>
        <v>1723.08</v>
      </c>
    </row>
    <row r="29" spans="1:10" x14ac:dyDescent="0.3">
      <c r="A29" s="318" t="s">
        <v>411</v>
      </c>
      <c r="B29" s="345" t="s">
        <v>412</v>
      </c>
      <c r="C29" s="344">
        <v>9959.99</v>
      </c>
      <c r="D29" s="334">
        <v>1</v>
      </c>
      <c r="E29" s="342">
        <f>C29*D29</f>
        <v>9959.99</v>
      </c>
    </row>
    <row r="30" spans="1:10" x14ac:dyDescent="0.3">
      <c r="A30" s="346"/>
      <c r="B30" s="347" t="s">
        <v>413</v>
      </c>
      <c r="C30" s="341">
        <f>86+138</f>
        <v>224</v>
      </c>
      <c r="D30" s="334">
        <v>1</v>
      </c>
      <c r="E30" s="342">
        <f>C30*D30</f>
        <v>224</v>
      </c>
    </row>
    <row r="31" spans="1:10" x14ac:dyDescent="0.3">
      <c r="A31" s="325"/>
      <c r="B31" s="348" t="s">
        <v>414</v>
      </c>
      <c r="C31" s="348"/>
      <c r="D31" s="348"/>
      <c r="E31" s="349">
        <f>SUM(E27:E30)</f>
        <v>11907.07</v>
      </c>
      <c r="F31" s="327">
        <v>0.4</v>
      </c>
      <c r="G31" s="328">
        <f>E31/(1-F31)</f>
        <v>19845.116666666669</v>
      </c>
      <c r="J31" s="261">
        <f>E31+E28</f>
        <v>13630.15</v>
      </c>
    </row>
    <row r="32" spans="1:10" x14ac:dyDescent="0.3">
      <c r="A32" s="280"/>
      <c r="B32" s="280"/>
      <c r="C32" s="280"/>
      <c r="D32" s="350"/>
      <c r="E32" s="280"/>
    </row>
    <row r="33" spans="1:8" x14ac:dyDescent="0.3">
      <c r="A33" s="351"/>
      <c r="B33" s="352" t="s">
        <v>415</v>
      </c>
      <c r="C33" s="280"/>
      <c r="D33" s="350"/>
      <c r="E33" s="350"/>
    </row>
    <row r="34" spans="1:8" x14ac:dyDescent="0.3">
      <c r="A34" s="440" t="s">
        <v>416</v>
      </c>
      <c r="B34" s="330" t="s">
        <v>417</v>
      </c>
      <c r="C34" s="353">
        <v>35680.19</v>
      </c>
      <c r="D34" s="347">
        <v>0</v>
      </c>
      <c r="E34" s="354">
        <f t="shared" ref="E34:E41" si="1">C34*D34</f>
        <v>0</v>
      </c>
    </row>
    <row r="35" spans="1:8" x14ac:dyDescent="0.3">
      <c r="A35" s="441"/>
      <c r="B35" s="330" t="s">
        <v>418</v>
      </c>
      <c r="C35" s="353">
        <v>569.5</v>
      </c>
      <c r="D35" s="347">
        <v>0</v>
      </c>
      <c r="E35" s="354">
        <f t="shared" si="1"/>
        <v>0</v>
      </c>
    </row>
    <row r="36" spans="1:8" x14ac:dyDescent="0.3">
      <c r="A36" s="441"/>
      <c r="B36" s="330" t="s">
        <v>419</v>
      </c>
      <c r="C36" s="353">
        <v>1893.03</v>
      </c>
      <c r="D36" s="347">
        <v>0</v>
      </c>
      <c r="E36" s="354">
        <f t="shared" si="1"/>
        <v>0</v>
      </c>
    </row>
    <row r="37" spans="1:8" x14ac:dyDescent="0.3">
      <c r="A37" s="441"/>
      <c r="B37" s="330" t="s">
        <v>420</v>
      </c>
      <c r="C37" s="353">
        <v>1213.32</v>
      </c>
      <c r="D37" s="347">
        <v>0</v>
      </c>
      <c r="E37" s="354">
        <f t="shared" si="1"/>
        <v>0</v>
      </c>
    </row>
    <row r="38" spans="1:8" x14ac:dyDescent="0.3">
      <c r="A38" s="441"/>
      <c r="B38" s="330" t="s">
        <v>397</v>
      </c>
      <c r="C38" s="353">
        <v>1759</v>
      </c>
      <c r="D38" s="347">
        <v>0</v>
      </c>
      <c r="E38" s="354">
        <f t="shared" si="1"/>
        <v>0</v>
      </c>
    </row>
    <row r="39" spans="1:8" ht="27.6" x14ac:dyDescent="0.3">
      <c r="A39" s="441"/>
      <c r="B39" s="330" t="s">
        <v>421</v>
      </c>
      <c r="C39" s="353">
        <v>1055.3900000000001</v>
      </c>
      <c r="D39" s="347">
        <v>0</v>
      </c>
      <c r="E39" s="354">
        <f t="shared" si="1"/>
        <v>0</v>
      </c>
    </row>
    <row r="40" spans="1:8" x14ac:dyDescent="0.3">
      <c r="A40" s="441"/>
      <c r="B40" s="330" t="s">
        <v>422</v>
      </c>
      <c r="C40" s="353">
        <v>0</v>
      </c>
      <c r="D40" s="347">
        <v>0</v>
      </c>
      <c r="E40" s="354">
        <f t="shared" si="1"/>
        <v>0</v>
      </c>
    </row>
    <row r="41" spans="1:8" x14ac:dyDescent="0.3">
      <c r="A41" s="441"/>
      <c r="B41" s="330" t="s">
        <v>423</v>
      </c>
      <c r="C41" s="353">
        <v>6737.47</v>
      </c>
      <c r="D41" s="347">
        <v>0</v>
      </c>
      <c r="E41" s="354">
        <f t="shared" si="1"/>
        <v>0</v>
      </c>
    </row>
    <row r="42" spans="1:8" x14ac:dyDescent="0.3">
      <c r="A42" s="280"/>
      <c r="B42" s="280"/>
      <c r="C42" s="280"/>
      <c r="D42" s="280"/>
      <c r="E42" s="355">
        <f>SUM(E34:E41)</f>
        <v>0</v>
      </c>
      <c r="F42" s="327">
        <v>0.4</v>
      </c>
      <c r="G42" s="328">
        <f>E42/(1-40%)</f>
        <v>0</v>
      </c>
    </row>
    <row r="44" spans="1:8" x14ac:dyDescent="0.3">
      <c r="A44" s="296" t="s">
        <v>424</v>
      </c>
      <c r="B44" s="356"/>
      <c r="C44" s="356"/>
      <c r="D44" s="356"/>
      <c r="E44" s="297">
        <f>SUM(E47:E49)</f>
        <v>10882</v>
      </c>
      <c r="G44" s="297">
        <f>E44/(1-12%)</f>
        <v>12365.90909090909</v>
      </c>
    </row>
    <row r="45" spans="1:8" x14ac:dyDescent="0.3">
      <c r="A45" s="298" t="s">
        <v>425</v>
      </c>
    </row>
    <row r="46" spans="1:8" x14ac:dyDescent="0.3">
      <c r="A46" s="357" t="s">
        <v>426</v>
      </c>
      <c r="B46" s="357" t="s">
        <v>14</v>
      </c>
      <c r="C46" s="357" t="s">
        <v>427</v>
      </c>
      <c r="D46" s="357" t="s">
        <v>428</v>
      </c>
      <c r="E46" s="357" t="s">
        <v>6</v>
      </c>
      <c r="G46" s="44"/>
      <c r="H46" s="44"/>
    </row>
    <row r="47" spans="1:8" x14ac:dyDescent="0.3">
      <c r="A47" s="358" t="s">
        <v>429</v>
      </c>
      <c r="B47" s="359" t="s">
        <v>430</v>
      </c>
      <c r="C47" s="353">
        <v>3642</v>
      </c>
      <c r="D47" s="358">
        <v>1</v>
      </c>
      <c r="E47" s="353">
        <f>D47*C47</f>
        <v>3642</v>
      </c>
      <c r="G47" s="360"/>
      <c r="H47" s="361"/>
    </row>
    <row r="48" spans="1:8" x14ac:dyDescent="0.3">
      <c r="A48" s="358" t="s">
        <v>429</v>
      </c>
      <c r="B48" s="359" t="s">
        <v>431</v>
      </c>
      <c r="C48" s="353">
        <v>450</v>
      </c>
      <c r="D48" s="358">
        <v>1</v>
      </c>
      <c r="E48" s="353">
        <f>D48*C48</f>
        <v>450</v>
      </c>
      <c r="G48" s="360"/>
      <c r="H48" s="361"/>
    </row>
    <row r="49" spans="1:9" ht="28.8" x14ac:dyDescent="0.3">
      <c r="A49" s="358" t="s">
        <v>429</v>
      </c>
      <c r="B49" s="359" t="s">
        <v>432</v>
      </c>
      <c r="C49" s="353">
        <v>3395</v>
      </c>
      <c r="D49" s="358">
        <v>2</v>
      </c>
      <c r="E49" s="353">
        <f>D49*C49</f>
        <v>6790</v>
      </c>
      <c r="G49" s="360"/>
      <c r="H49" s="361"/>
    </row>
    <row r="51" spans="1:9" x14ac:dyDescent="0.3">
      <c r="A51" s="298" t="s">
        <v>433</v>
      </c>
    </row>
    <row r="53" spans="1:9" x14ac:dyDescent="0.3">
      <c r="A53" s="364" t="s">
        <v>434</v>
      </c>
      <c r="B53" s="364" t="s">
        <v>225</v>
      </c>
      <c r="C53" s="363" t="s">
        <v>55</v>
      </c>
      <c r="D53" s="364" t="s">
        <v>435</v>
      </c>
      <c r="E53" s="364" t="s">
        <v>436</v>
      </c>
      <c r="F53" s="364" t="s">
        <v>427</v>
      </c>
      <c r="G53" s="364" t="s">
        <v>378</v>
      </c>
      <c r="H53" s="364" t="s">
        <v>437</v>
      </c>
      <c r="I53" s="364" t="s">
        <v>438</v>
      </c>
    </row>
    <row r="54" spans="1:9" x14ac:dyDescent="0.3">
      <c r="A54" s="365" t="s">
        <v>439</v>
      </c>
      <c r="B54" s="365" t="s">
        <v>440</v>
      </c>
      <c r="C54" s="92" t="s">
        <v>441</v>
      </c>
      <c r="D54" s="365">
        <v>1</v>
      </c>
      <c r="E54" s="366"/>
      <c r="F54" s="366"/>
      <c r="G54" s="366"/>
      <c r="H54" s="366"/>
      <c r="I54" s="365"/>
    </row>
    <row r="55" spans="1:9" x14ac:dyDescent="0.3">
      <c r="A55" s="365" t="s">
        <v>442</v>
      </c>
      <c r="B55" s="365" t="s">
        <v>443</v>
      </c>
      <c r="C55" s="92" t="s">
        <v>444</v>
      </c>
      <c r="D55" s="365">
        <v>1</v>
      </c>
      <c r="E55" s="366"/>
      <c r="F55" s="366"/>
      <c r="G55" s="367"/>
      <c r="H55" s="366"/>
      <c r="I55" s="365"/>
    </row>
    <row r="56" spans="1:9" x14ac:dyDescent="0.3">
      <c r="A56" s="365" t="s">
        <v>442</v>
      </c>
      <c r="B56" s="365" t="s">
        <v>445</v>
      </c>
      <c r="C56" s="92" t="s">
        <v>446</v>
      </c>
      <c r="D56" s="365">
        <v>1</v>
      </c>
      <c r="E56" s="366"/>
      <c r="F56" s="366"/>
      <c r="G56" s="367"/>
      <c r="H56" s="366"/>
      <c r="I56" s="365"/>
    </row>
    <row r="57" spans="1:9" x14ac:dyDescent="0.3">
      <c r="A57" s="365" t="s">
        <v>447</v>
      </c>
      <c r="B57" s="365" t="s">
        <v>448</v>
      </c>
      <c r="C57" s="92" t="s">
        <v>449</v>
      </c>
      <c r="D57" s="365">
        <v>2</v>
      </c>
      <c r="E57" s="366"/>
      <c r="F57" s="366"/>
      <c r="G57" s="367"/>
      <c r="H57" s="366"/>
      <c r="I57" s="365"/>
    </row>
    <row r="58" spans="1:9" x14ac:dyDescent="0.3">
      <c r="A58" s="365" t="s">
        <v>450</v>
      </c>
      <c r="B58" s="365" t="s">
        <v>451</v>
      </c>
      <c r="C58" s="92" t="s">
        <v>452</v>
      </c>
      <c r="D58" s="365">
        <v>1</v>
      </c>
      <c r="E58" s="366"/>
      <c r="F58" s="366"/>
      <c r="G58" s="366"/>
      <c r="H58" s="366"/>
      <c r="I58" s="365"/>
    </row>
    <row r="59" spans="1:9" x14ac:dyDescent="0.3">
      <c r="A59" s="365" t="s">
        <v>453</v>
      </c>
      <c r="B59" s="365" t="s">
        <v>454</v>
      </c>
      <c r="C59" s="92" t="s">
        <v>455</v>
      </c>
      <c r="D59" s="365">
        <v>1</v>
      </c>
      <c r="E59" s="366"/>
      <c r="F59" s="366"/>
      <c r="G59" s="366"/>
      <c r="H59" s="366"/>
      <c r="I59" s="365"/>
    </row>
    <row r="60" spans="1:9" x14ac:dyDescent="0.3">
      <c r="A60" s="365" t="s">
        <v>456</v>
      </c>
      <c r="B60" s="365" t="s">
        <v>457</v>
      </c>
      <c r="C60" s="92" t="s">
        <v>458</v>
      </c>
      <c r="D60" s="365">
        <v>1</v>
      </c>
      <c r="E60" s="366"/>
      <c r="F60" s="366"/>
      <c r="G60" s="366"/>
      <c r="H60" s="366"/>
      <c r="I60" s="365"/>
    </row>
    <row r="61" spans="1:9" x14ac:dyDescent="0.3">
      <c r="A61" s="365" t="s">
        <v>459</v>
      </c>
      <c r="B61" s="365" t="s">
        <v>460</v>
      </c>
      <c r="C61" s="92" t="s">
        <v>461</v>
      </c>
      <c r="D61" s="365">
        <v>0</v>
      </c>
      <c r="E61" s="366"/>
      <c r="F61" s="366"/>
      <c r="G61" s="366"/>
      <c r="H61" s="366"/>
      <c r="I61" s="365"/>
    </row>
    <row r="62" spans="1:9" x14ac:dyDescent="0.3">
      <c r="A62" s="365" t="s">
        <v>462</v>
      </c>
      <c r="B62" s="365" t="s">
        <v>463</v>
      </c>
      <c r="C62" s="92" t="s">
        <v>464</v>
      </c>
      <c r="D62" s="365">
        <v>1</v>
      </c>
      <c r="E62" s="366"/>
      <c r="F62" s="366"/>
      <c r="G62" s="366"/>
      <c r="H62" s="366"/>
      <c r="I62" s="365"/>
    </row>
    <row r="64" spans="1:9" x14ac:dyDescent="0.3">
      <c r="F64" s="368" t="s">
        <v>465</v>
      </c>
      <c r="G64" s="369">
        <f>SUM(G54:G62)</f>
        <v>0</v>
      </c>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sheetData>
  <mergeCells count="3">
    <mergeCell ref="E1:G1"/>
    <mergeCell ref="A18:B18"/>
    <mergeCell ref="A34:A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D139A-4FD3-4643-8E30-05189A13D8E3}">
  <dimension ref="A1:P68"/>
  <sheetViews>
    <sheetView tabSelected="1" zoomScaleNormal="100" workbookViewId="0">
      <selection activeCell="E3" sqref="E3"/>
    </sheetView>
  </sheetViews>
  <sheetFormatPr defaultColWidth="9.109375" defaultRowHeight="14.4" x14ac:dyDescent="0.3"/>
  <cols>
    <col min="1" max="1" width="18.33203125" customWidth="1"/>
    <col min="2" max="2" width="50.5546875" bestFit="1" customWidth="1"/>
    <col min="3" max="3" width="33.88671875" bestFit="1" customWidth="1"/>
    <col min="4" max="4" width="50.5546875" customWidth="1"/>
    <col min="5" max="5" width="16.5546875" customWidth="1"/>
    <col min="6" max="6" width="15.5546875" customWidth="1"/>
    <col min="7" max="7" width="14.88671875" customWidth="1"/>
    <col min="8" max="8" width="19.88671875" customWidth="1"/>
    <col min="9" max="9" width="21.5546875" customWidth="1"/>
    <col min="10" max="10" width="17.44140625" bestFit="1" customWidth="1"/>
    <col min="11" max="11" width="36.33203125" customWidth="1"/>
    <col min="13" max="13" width="16.44140625" bestFit="1" customWidth="1"/>
    <col min="14" max="14" width="20" bestFit="1" customWidth="1"/>
    <col min="15" max="15" width="15.44140625" bestFit="1" customWidth="1"/>
    <col min="16" max="16" width="12" bestFit="1" customWidth="1"/>
  </cols>
  <sheetData>
    <row r="1" spans="1:11" ht="15" thickBot="1" x14ac:dyDescent="0.35">
      <c r="B1" s="295" t="s">
        <v>466</v>
      </c>
      <c r="C1" s="293" t="s">
        <v>54</v>
      </c>
      <c r="D1" s="293" t="s">
        <v>55</v>
      </c>
      <c r="E1" s="294" t="s">
        <v>428</v>
      </c>
      <c r="F1" s="294" t="s">
        <v>467</v>
      </c>
      <c r="G1" s="294" t="s">
        <v>468</v>
      </c>
      <c r="H1" s="294" t="s">
        <v>6</v>
      </c>
      <c r="I1" s="294" t="s">
        <v>9</v>
      </c>
      <c r="J1" s="294" t="s">
        <v>469</v>
      </c>
      <c r="K1" s="293" t="s">
        <v>10</v>
      </c>
    </row>
    <row r="2" spans="1:11" ht="15" thickBot="1" x14ac:dyDescent="0.35">
      <c r="A2" t="s">
        <v>470</v>
      </c>
      <c r="B2" s="288" t="s">
        <v>471</v>
      </c>
      <c r="C2" s="287"/>
      <c r="D2" s="287"/>
      <c r="E2" s="291"/>
      <c r="F2" s="290"/>
      <c r="G2" s="290"/>
      <c r="H2" s="284">
        <f>SUM(H3:H4)</f>
        <v>150223118.39999998</v>
      </c>
      <c r="I2" s="284">
        <f>SUM(I3:I4)</f>
        <v>183678998.18181819</v>
      </c>
      <c r="J2" s="283">
        <f>(I2-H2)/I2</f>
        <v>0.18214319608113969</v>
      </c>
      <c r="K2" s="282"/>
    </row>
    <row r="3" spans="1:11" s="280" customFormat="1" ht="58.2" thickBot="1" x14ac:dyDescent="0.35">
      <c r="A3" s="280" t="s">
        <v>472</v>
      </c>
      <c r="B3" s="246" t="s">
        <v>473</v>
      </c>
      <c r="C3" s="245" t="s">
        <v>58</v>
      </c>
      <c r="D3" s="244" t="s">
        <v>474</v>
      </c>
      <c r="E3" s="243">
        <v>864</v>
      </c>
      <c r="F3" s="242">
        <v>59450</v>
      </c>
      <c r="G3" s="242">
        <f>F3/(1-J3)</f>
        <v>82569.444444444453</v>
      </c>
      <c r="H3" s="241">
        <f>F3*E3</f>
        <v>51364800</v>
      </c>
      <c r="I3" s="241">
        <f>G3*E3</f>
        <v>71340000</v>
      </c>
      <c r="J3" s="240">
        <v>0.28000000000000003</v>
      </c>
      <c r="K3" s="239" t="s">
        <v>475</v>
      </c>
    </row>
    <row r="4" spans="1:11" ht="43.8" thickBot="1" x14ac:dyDescent="0.35">
      <c r="A4" s="280" t="s">
        <v>472</v>
      </c>
      <c r="B4" s="246" t="s">
        <v>476</v>
      </c>
      <c r="C4" s="245" t="s">
        <v>117</v>
      </c>
      <c r="D4" s="244" t="s">
        <v>118</v>
      </c>
      <c r="E4" s="243">
        <f>18144+18432+18432+18432</f>
        <v>73440</v>
      </c>
      <c r="F4" s="242">
        <v>1346.11</v>
      </c>
      <c r="G4" s="242">
        <f>F4/(1-J4)</f>
        <v>1529.6704545454545</v>
      </c>
      <c r="H4" s="241">
        <f>F4*E4</f>
        <v>98858318.399999991</v>
      </c>
      <c r="I4" s="241">
        <f>G4*E4</f>
        <v>112338998.18181817</v>
      </c>
      <c r="J4" s="240">
        <v>0.12</v>
      </c>
      <c r="K4" s="239"/>
    </row>
    <row r="5" spans="1:11" ht="15" thickBot="1" x14ac:dyDescent="0.35">
      <c r="B5" s="246"/>
      <c r="C5" s="245"/>
      <c r="D5" s="245" t="s">
        <v>477</v>
      </c>
      <c r="E5" s="279"/>
      <c r="F5" s="242"/>
      <c r="G5" s="242"/>
      <c r="H5" s="241"/>
      <c r="I5" s="241"/>
      <c r="J5" s="277"/>
      <c r="K5" s="239"/>
    </row>
    <row r="6" spans="1:11" ht="15" thickBot="1" x14ac:dyDescent="0.35">
      <c r="B6" s="288" t="s">
        <v>478</v>
      </c>
      <c r="C6" s="287"/>
      <c r="D6" s="287"/>
      <c r="E6" s="291"/>
      <c r="F6" s="290"/>
      <c r="G6" s="290"/>
      <c r="H6" s="284">
        <f>SUM(H7:H11)</f>
        <v>43831637.640000001</v>
      </c>
      <c r="I6" s="284">
        <f>SUM(I7:I11)</f>
        <v>54789547.050000004</v>
      </c>
      <c r="J6" s="283">
        <f>(I6-H6)/I6</f>
        <v>0.20000000000000007</v>
      </c>
      <c r="K6" s="292"/>
    </row>
    <row r="7" spans="1:11" ht="15" hidden="1" thickBot="1" x14ac:dyDescent="0.35">
      <c r="A7" s="280" t="s">
        <v>479</v>
      </c>
      <c r="B7" s="246" t="s">
        <v>480</v>
      </c>
      <c r="C7" s="245"/>
      <c r="D7" s="245"/>
      <c r="E7" s="279">
        <v>0</v>
      </c>
      <c r="F7" s="242">
        <v>38733.24</v>
      </c>
      <c r="G7" s="242">
        <v>48417</v>
      </c>
      <c r="H7" s="241">
        <f>F7*E7</f>
        <v>0</v>
      </c>
      <c r="I7" s="241">
        <f>G7*E7</f>
        <v>0</v>
      </c>
      <c r="J7" s="240">
        <f>(G7-F7)/G7</f>
        <v>0.2000074354049198</v>
      </c>
      <c r="K7" s="239"/>
    </row>
    <row r="8" spans="1:11" ht="15" thickBot="1" x14ac:dyDescent="0.35">
      <c r="A8" s="280" t="s">
        <v>479</v>
      </c>
      <c r="B8" s="246" t="s">
        <v>481</v>
      </c>
      <c r="C8" s="245" t="s">
        <v>65</v>
      </c>
      <c r="D8" s="245" t="s">
        <v>66</v>
      </c>
      <c r="E8" s="243">
        <v>328</v>
      </c>
      <c r="F8" s="242">
        <v>38733.24</v>
      </c>
      <c r="G8" s="242">
        <f>F8/(1-J8)</f>
        <v>48416.549999999996</v>
      </c>
      <c r="H8" s="241">
        <f>F8*E8</f>
        <v>12704502.719999999</v>
      </c>
      <c r="I8" s="241">
        <f>G8*E8</f>
        <v>15880628.399999999</v>
      </c>
      <c r="J8" s="240">
        <v>0.2</v>
      </c>
      <c r="K8" s="239">
        <v>142560</v>
      </c>
    </row>
    <row r="9" spans="1:11" ht="29.4" thickBot="1" x14ac:dyDescent="0.35">
      <c r="A9" s="280" t="s">
        <v>479</v>
      </c>
      <c r="B9" s="246" t="s">
        <v>131</v>
      </c>
      <c r="C9" s="246" t="s">
        <v>131</v>
      </c>
      <c r="D9" s="244" t="s">
        <v>132</v>
      </c>
      <c r="E9" s="243">
        <f>9072+4608+4104</f>
        <v>17784</v>
      </c>
      <c r="F9" s="242">
        <v>859.11</v>
      </c>
      <c r="G9" s="242">
        <f>F9/(1-J9)</f>
        <v>1073.8875</v>
      </c>
      <c r="H9" s="241">
        <f>F9*E9</f>
        <v>15278412.24</v>
      </c>
      <c r="I9" s="241">
        <f>G9*E9</f>
        <v>19098015.300000001</v>
      </c>
      <c r="J9" s="240">
        <v>0.2</v>
      </c>
      <c r="K9" s="239"/>
    </row>
    <row r="10" spans="1:11" ht="29.4" thickBot="1" x14ac:dyDescent="0.35">
      <c r="A10" s="280" t="s">
        <v>479</v>
      </c>
      <c r="B10" s="246" t="s">
        <v>134</v>
      </c>
      <c r="C10" s="246" t="s">
        <v>134</v>
      </c>
      <c r="D10" s="244" t="s">
        <v>135</v>
      </c>
      <c r="E10" s="243">
        <f>5184+1152+1152+2304+2304+2304+864+72+72+2052+64+64</f>
        <v>17588</v>
      </c>
      <c r="F10" s="242">
        <f>831.11+70</f>
        <v>901.11</v>
      </c>
      <c r="G10" s="242">
        <f>F10/(1-J10)</f>
        <v>1126.3875</v>
      </c>
      <c r="H10" s="241">
        <f>F10*E10</f>
        <v>15848722.68</v>
      </c>
      <c r="I10" s="241">
        <f>G10*E10</f>
        <v>19810903.350000001</v>
      </c>
      <c r="J10" s="240">
        <v>0.2</v>
      </c>
      <c r="K10" s="239"/>
    </row>
    <row r="11" spans="1:11" ht="15" hidden="1" thickBot="1" x14ac:dyDescent="0.35">
      <c r="A11" s="280" t="s">
        <v>479</v>
      </c>
      <c r="B11" s="246" t="s">
        <v>482</v>
      </c>
      <c r="C11" s="245"/>
      <c r="D11" s="245"/>
      <c r="E11" s="243"/>
      <c r="F11" s="242">
        <f>611.11+150</f>
        <v>761.11</v>
      </c>
      <c r="G11" s="242">
        <f>F11/(1-J11)</f>
        <v>951.38749999999993</v>
      </c>
      <c r="H11" s="241">
        <f>F11*E11</f>
        <v>0</v>
      </c>
      <c r="I11" s="241">
        <f>G11*E11</f>
        <v>0</v>
      </c>
      <c r="J11" s="240">
        <v>0.2</v>
      </c>
      <c r="K11" s="239"/>
    </row>
    <row r="12" spans="1:11" ht="15" thickBot="1" x14ac:dyDescent="0.35">
      <c r="B12" s="246"/>
      <c r="C12" s="245"/>
      <c r="D12" s="245"/>
      <c r="E12" s="243"/>
      <c r="F12" s="242"/>
      <c r="G12" s="242"/>
      <c r="H12" s="241"/>
      <c r="I12" s="241"/>
      <c r="J12" s="277"/>
      <c r="K12" s="239"/>
    </row>
    <row r="13" spans="1:11" ht="15" thickBot="1" x14ac:dyDescent="0.35">
      <c r="B13" s="288" t="s">
        <v>483</v>
      </c>
      <c r="C13" s="287"/>
      <c r="D13" s="287"/>
      <c r="E13" s="291"/>
      <c r="F13" s="290"/>
      <c r="G13" s="290"/>
      <c r="H13" s="284">
        <f>SUM(H14:H22)</f>
        <v>16317480.720000001</v>
      </c>
      <c r="I13" s="284">
        <f>SUM(I14:I22)</f>
        <v>20364808.145454545</v>
      </c>
      <c r="J13" s="283">
        <f>(I13-H13)/I13</f>
        <v>0.19874124993207526</v>
      </c>
      <c r="K13" s="239"/>
    </row>
    <row r="14" spans="1:11" ht="29.4" hidden="1" thickBot="1" x14ac:dyDescent="0.35">
      <c r="B14" s="246" t="s">
        <v>484</v>
      </c>
      <c r="C14" s="245" t="s">
        <v>485</v>
      </c>
      <c r="D14" s="244" t="s">
        <v>486</v>
      </c>
      <c r="E14" s="279"/>
      <c r="F14" s="242">
        <v>2588</v>
      </c>
      <c r="G14" s="242">
        <f>F14/(1-18%)</f>
        <v>3156.0975609756097</v>
      </c>
      <c r="H14" s="241">
        <f t="shared" ref="H14:H20" si="0">F14*E14</f>
        <v>0</v>
      </c>
      <c r="I14" s="241">
        <f t="shared" ref="I14:I20" si="1">G14*E14</f>
        <v>0</v>
      </c>
      <c r="J14" s="240">
        <f>(G14-F14)/G14</f>
        <v>0.17999999999999997</v>
      </c>
      <c r="K14" s="239"/>
    </row>
    <row r="15" spans="1:11" ht="15" thickBot="1" x14ac:dyDescent="0.35">
      <c r="A15" s="280" t="s">
        <v>479</v>
      </c>
      <c r="B15" s="246" t="s">
        <v>487</v>
      </c>
      <c r="C15" s="245" t="s">
        <v>77</v>
      </c>
      <c r="D15" s="245" t="s">
        <v>78</v>
      </c>
      <c r="E15" s="279">
        <f>92</f>
        <v>92</v>
      </c>
      <c r="F15" s="242">
        <v>3066</v>
      </c>
      <c r="G15" s="242">
        <f>F15/(1-J15)</f>
        <v>3484.090909090909</v>
      </c>
      <c r="H15" s="241">
        <f t="shared" si="0"/>
        <v>282072</v>
      </c>
      <c r="I15" s="241">
        <f t="shared" si="1"/>
        <v>320536.36363636365</v>
      </c>
      <c r="J15" s="240">
        <v>0.12</v>
      </c>
      <c r="K15" s="239"/>
    </row>
    <row r="16" spans="1:11" ht="29.4" hidden="1" thickBot="1" x14ac:dyDescent="0.35">
      <c r="A16" s="280" t="s">
        <v>479</v>
      </c>
      <c r="B16" s="246" t="s">
        <v>488</v>
      </c>
      <c r="C16" s="245" t="s">
        <v>489</v>
      </c>
      <c r="D16" s="244" t="s">
        <v>490</v>
      </c>
      <c r="E16" s="279"/>
      <c r="F16" s="242">
        <v>24835.72</v>
      </c>
      <c r="G16" s="242">
        <v>28222</v>
      </c>
      <c r="H16" s="241">
        <f t="shared" si="0"/>
        <v>0</v>
      </c>
      <c r="I16" s="241">
        <f t="shared" si="1"/>
        <v>0</v>
      </c>
      <c r="J16" s="240">
        <f>(G16-F16)/G16</f>
        <v>0.11998724399404716</v>
      </c>
      <c r="K16" s="239"/>
    </row>
    <row r="17" spans="1:16" ht="15" thickBot="1" x14ac:dyDescent="0.35">
      <c r="A17" s="280" t="s">
        <v>479</v>
      </c>
      <c r="B17" s="246" t="s">
        <v>481</v>
      </c>
      <c r="C17" s="245" t="s">
        <v>65</v>
      </c>
      <c r="D17" s="245" t="s">
        <v>66</v>
      </c>
      <c r="E17" s="279">
        <v>10</v>
      </c>
      <c r="F17" s="242">
        <v>38733.24</v>
      </c>
      <c r="G17" s="242">
        <f>F17/(1-J17)</f>
        <v>48416.549999999996</v>
      </c>
      <c r="H17" s="241">
        <f t="shared" si="0"/>
        <v>387332.39999999997</v>
      </c>
      <c r="I17" s="241">
        <f t="shared" si="1"/>
        <v>484165.49999999994</v>
      </c>
      <c r="J17" s="240">
        <v>0.2</v>
      </c>
      <c r="K17" s="239">
        <v>142560</v>
      </c>
    </row>
    <row r="18" spans="1:16" ht="15" hidden="1" thickBot="1" x14ac:dyDescent="0.35">
      <c r="A18" s="280" t="s">
        <v>479</v>
      </c>
      <c r="B18" s="246" t="s">
        <v>480</v>
      </c>
      <c r="C18" s="245"/>
      <c r="D18" s="245"/>
      <c r="E18" s="279"/>
      <c r="F18" s="242">
        <v>38733.24</v>
      </c>
      <c r="G18" s="242">
        <v>48417</v>
      </c>
      <c r="H18" s="241">
        <f t="shared" si="0"/>
        <v>0</v>
      </c>
      <c r="I18" s="241">
        <f t="shared" si="1"/>
        <v>0</v>
      </c>
      <c r="J18" s="240">
        <f>(G18-F18)/G18</f>
        <v>0.2000074354049198</v>
      </c>
      <c r="K18" s="239"/>
    </row>
    <row r="19" spans="1:16" ht="39" customHeight="1" thickBot="1" x14ac:dyDescent="0.35">
      <c r="A19" s="280" t="s">
        <v>479</v>
      </c>
      <c r="B19" s="246" t="s">
        <v>491</v>
      </c>
      <c r="C19" s="245" t="s">
        <v>180</v>
      </c>
      <c r="D19" s="244" t="s">
        <v>181</v>
      </c>
      <c r="E19" s="279">
        <f>184</f>
        <v>184</v>
      </c>
      <c r="F19" s="242">
        <v>324.36</v>
      </c>
      <c r="G19" s="242">
        <f>F19/(1-J19)</f>
        <v>405.45</v>
      </c>
      <c r="H19" s="241">
        <f t="shared" si="0"/>
        <v>59682.240000000005</v>
      </c>
      <c r="I19" s="241">
        <f t="shared" si="1"/>
        <v>74602.8</v>
      </c>
      <c r="J19" s="240">
        <v>0.2</v>
      </c>
      <c r="K19" s="239"/>
    </row>
    <row r="20" spans="1:16" ht="15" hidden="1" thickBot="1" x14ac:dyDescent="0.35">
      <c r="A20" s="280" t="s">
        <v>479</v>
      </c>
      <c r="B20" s="246" t="s">
        <v>482</v>
      </c>
      <c r="C20" s="245"/>
      <c r="D20" s="245"/>
      <c r="E20" s="279"/>
      <c r="F20" s="242">
        <f>611.11+150</f>
        <v>761.11</v>
      </c>
      <c r="G20" s="242">
        <f>F20/(1-J20)</f>
        <v>951.38749999999993</v>
      </c>
      <c r="H20" s="241">
        <f t="shared" si="0"/>
        <v>0</v>
      </c>
      <c r="I20" s="241">
        <f t="shared" si="1"/>
        <v>0</v>
      </c>
      <c r="J20" s="240">
        <v>0.2</v>
      </c>
      <c r="K20" s="239"/>
    </row>
    <row r="21" spans="1:16" ht="29.4" hidden="1" thickBot="1" x14ac:dyDescent="0.35">
      <c r="A21" s="280" t="s">
        <v>479</v>
      </c>
      <c r="B21" s="246" t="s">
        <v>492</v>
      </c>
      <c r="C21" s="245" t="s">
        <v>131</v>
      </c>
      <c r="D21" s="289" t="s">
        <v>132</v>
      </c>
      <c r="E21" s="279"/>
      <c r="F21" s="242">
        <v>859.11</v>
      </c>
      <c r="G21" s="242">
        <f>F21/(1-J21)</f>
        <v>1342.359375</v>
      </c>
      <c r="H21" s="241">
        <v>15278412.24</v>
      </c>
      <c r="I21" s="241">
        <v>19098026.18181818</v>
      </c>
      <c r="J21" s="240">
        <v>0.36</v>
      </c>
      <c r="K21" s="239"/>
    </row>
    <row r="22" spans="1:16" ht="29.4" thickBot="1" x14ac:dyDescent="0.35">
      <c r="A22" s="280" t="s">
        <v>479</v>
      </c>
      <c r="B22" s="246" t="s">
        <v>134</v>
      </c>
      <c r="C22" s="245" t="s">
        <v>134</v>
      </c>
      <c r="D22" s="244" t="s">
        <v>135</v>
      </c>
      <c r="E22" s="279">
        <f>256+8+36+36+8</f>
        <v>344</v>
      </c>
      <c r="F22" s="242">
        <f>831.11+70</f>
        <v>901.11</v>
      </c>
      <c r="G22" s="242">
        <f>F22/(1-J22)</f>
        <v>1126.3875</v>
      </c>
      <c r="H22" s="241">
        <f>F22*E22</f>
        <v>309981.84000000003</v>
      </c>
      <c r="I22" s="241">
        <f>G22*E22</f>
        <v>387477.3</v>
      </c>
      <c r="J22" s="240">
        <v>0.2</v>
      </c>
      <c r="K22" s="239"/>
    </row>
    <row r="23" spans="1:16" ht="15" thickBot="1" x14ac:dyDescent="0.35">
      <c r="B23" s="246"/>
      <c r="C23" s="245"/>
      <c r="D23" s="245"/>
      <c r="E23" s="279"/>
      <c r="F23" s="242"/>
      <c r="G23" s="242"/>
      <c r="H23" s="241"/>
      <c r="I23" s="241"/>
      <c r="J23" s="277"/>
      <c r="K23" s="239"/>
    </row>
    <row r="24" spans="1:16" ht="15" thickBot="1" x14ac:dyDescent="0.35">
      <c r="B24" s="288" t="s">
        <v>493</v>
      </c>
      <c r="C24" s="287"/>
      <c r="D24" s="287"/>
      <c r="E24" s="286"/>
      <c r="F24" s="285"/>
      <c r="G24" s="285"/>
      <c r="H24" s="284">
        <f>SUM(H25:H31)</f>
        <v>5519589.9199999999</v>
      </c>
      <c r="I24" s="284">
        <f>SUM(I25:I32)</f>
        <v>14377161.793939395</v>
      </c>
      <c r="J24" s="283">
        <f>(I24-H24)/I24</f>
        <v>0.61608626242720943</v>
      </c>
      <c r="K24" s="282"/>
    </row>
    <row r="25" spans="1:16" ht="29.4" thickBot="1" x14ac:dyDescent="0.35">
      <c r="A25" s="280" t="s">
        <v>472</v>
      </c>
      <c r="B25" s="246" t="s">
        <v>494</v>
      </c>
      <c r="C25" s="245" t="s">
        <v>495</v>
      </c>
      <c r="D25" s="244" t="s">
        <v>496</v>
      </c>
      <c r="E25" s="279">
        <v>112</v>
      </c>
      <c r="F25" s="374">
        <f>'Rack BOM'!E2</f>
        <v>47544.909999999996</v>
      </c>
      <c r="G25" s="242">
        <f>'[6]Rack BOM'!G2</f>
        <v>60269.480303030308</v>
      </c>
      <c r="H25" s="241">
        <f>F25*E25</f>
        <v>5325029.92</v>
      </c>
      <c r="I25" s="241">
        <f>G25*E25</f>
        <v>6750181.7939393949</v>
      </c>
      <c r="J25" s="240">
        <f>(G25-F25)/G25</f>
        <v>0.21112792476477568</v>
      </c>
      <c r="K25" s="239"/>
      <c r="M25" s="269">
        <f>I25/I40</f>
        <v>2.4706888714401333E-2</v>
      </c>
      <c r="N25" s="281">
        <f>'[7]Rack BOM'!G42</f>
        <v>81513.166666666672</v>
      </c>
      <c r="O25" s="281">
        <f>N25*E25</f>
        <v>9129474.6666666679</v>
      </c>
      <c r="P25" s="269">
        <f>O25/I40</f>
        <v>3.3415531832460856E-2</v>
      </c>
    </row>
    <row r="26" spans="1:16" ht="15" thickBot="1" x14ac:dyDescent="0.35">
      <c r="A26" s="280" t="s">
        <v>472</v>
      </c>
      <c r="B26" s="246" t="s">
        <v>497</v>
      </c>
      <c r="C26" s="245" t="s">
        <v>109</v>
      </c>
      <c r="D26" s="245" t="s">
        <v>498</v>
      </c>
      <c r="E26" s="370">
        <v>512</v>
      </c>
      <c r="F26" s="372">
        <v>380</v>
      </c>
      <c r="G26" s="242">
        <f>F26/(1-J26)</f>
        <v>475</v>
      </c>
      <c r="H26" s="241">
        <f>F26*E26</f>
        <v>194560</v>
      </c>
      <c r="I26" s="241">
        <f>G26*E26</f>
        <v>243200</v>
      </c>
      <c r="J26" s="240">
        <v>0.2</v>
      </c>
      <c r="K26" s="239"/>
    </row>
    <row r="27" spans="1:16" ht="43.8" thickBot="1" x14ac:dyDescent="0.35">
      <c r="A27" s="280" t="s">
        <v>472</v>
      </c>
      <c r="B27" s="246" t="s">
        <v>499</v>
      </c>
      <c r="C27" s="245" t="s">
        <v>500</v>
      </c>
      <c r="D27" s="244" t="s">
        <v>501</v>
      </c>
      <c r="E27" s="279">
        <v>9072</v>
      </c>
      <c r="F27" s="371">
        <v>323</v>
      </c>
      <c r="G27" s="242">
        <f>F27/(1-J27)</f>
        <v>403.75</v>
      </c>
      <c r="H27" s="241"/>
      <c r="I27" s="241">
        <f>G27*E27</f>
        <v>3662820</v>
      </c>
      <c r="J27" s="240">
        <v>0.2</v>
      </c>
      <c r="K27" s="239"/>
    </row>
    <row r="28" spans="1:16" ht="43.8" thickBot="1" x14ac:dyDescent="0.35">
      <c r="A28" s="280" t="s">
        <v>472</v>
      </c>
      <c r="B28" s="246" t="s">
        <v>499</v>
      </c>
      <c r="C28" s="245" t="s">
        <v>502</v>
      </c>
      <c r="D28" s="244" t="s">
        <v>503</v>
      </c>
      <c r="E28" s="279">
        <v>9216</v>
      </c>
      <c r="F28" s="371">
        <v>323</v>
      </c>
      <c r="G28" s="242">
        <f>F28/(1-J28)</f>
        <v>403.75</v>
      </c>
      <c r="H28" s="241">
        <v>0</v>
      </c>
      <c r="I28" s="241">
        <f>G28*E28</f>
        <v>3720960</v>
      </c>
      <c r="J28" s="240">
        <v>0.2</v>
      </c>
      <c r="K28" s="239"/>
    </row>
    <row r="29" spans="1:16" ht="15" thickBot="1" x14ac:dyDescent="0.35">
      <c r="A29" s="280" t="s">
        <v>504</v>
      </c>
      <c r="B29" s="246" t="s">
        <v>505</v>
      </c>
      <c r="C29" s="245"/>
      <c r="D29" s="245" t="s">
        <v>506</v>
      </c>
      <c r="E29" s="279">
        <f>36288+36288</f>
        <v>72576</v>
      </c>
      <c r="F29" s="242"/>
      <c r="G29" s="242"/>
      <c r="H29" s="241"/>
      <c r="I29" s="241"/>
      <c r="J29" s="240"/>
      <c r="K29" s="239" t="s">
        <v>507</v>
      </c>
    </row>
    <row r="30" spans="1:16" ht="15" thickBot="1" x14ac:dyDescent="0.35">
      <c r="B30" s="246"/>
      <c r="C30" s="245"/>
      <c r="D30" s="245"/>
      <c r="E30" s="279"/>
      <c r="F30" s="242"/>
      <c r="G30" s="242"/>
      <c r="H30" s="241"/>
      <c r="I30" s="241"/>
      <c r="J30" s="277"/>
      <c r="K30" s="239"/>
    </row>
    <row r="31" spans="1:16" ht="15" hidden="1" thickBot="1" x14ac:dyDescent="0.35">
      <c r="A31" s="280" t="s">
        <v>479</v>
      </c>
      <c r="B31" s="246" t="s">
        <v>508</v>
      </c>
      <c r="C31" s="245" t="s">
        <v>509</v>
      </c>
      <c r="D31" s="245" t="s">
        <v>510</v>
      </c>
      <c r="E31" s="279">
        <v>0</v>
      </c>
      <c r="F31" s="242">
        <f>'[6]Rack BOM'!E44</f>
        <v>10882</v>
      </c>
      <c r="G31" s="242">
        <f>'[6]Rack BOM'!G44</f>
        <v>12365.90909090909</v>
      </c>
      <c r="H31" s="241">
        <f>F31*E31</f>
        <v>0</v>
      </c>
      <c r="I31" s="241">
        <f>G31*E31</f>
        <v>0</v>
      </c>
      <c r="J31" s="240">
        <f>(G31-F31)/G31</f>
        <v>0.11999999999999994</v>
      </c>
      <c r="K31" s="239"/>
    </row>
    <row r="32" spans="1:16" ht="29.4" hidden="1" thickBot="1" x14ac:dyDescent="0.35">
      <c r="A32" s="280" t="s">
        <v>511</v>
      </c>
      <c r="B32" s="246" t="s">
        <v>189</v>
      </c>
      <c r="C32" s="245" t="s">
        <v>190</v>
      </c>
      <c r="D32" s="244" t="s">
        <v>512</v>
      </c>
      <c r="E32" s="279">
        <v>0</v>
      </c>
      <c r="F32" s="242">
        <v>277</v>
      </c>
      <c r="G32" s="242">
        <f>F32/(1-J32)</f>
        <v>369.33333333333331</v>
      </c>
      <c r="H32" s="241">
        <f>F32*E32</f>
        <v>0</v>
      </c>
      <c r="I32" s="241">
        <f>G32*E32</f>
        <v>0</v>
      </c>
      <c r="J32" s="277">
        <v>0.25</v>
      </c>
      <c r="K32" s="239"/>
    </row>
    <row r="33" spans="1:14" ht="15" hidden="1" thickBot="1" x14ac:dyDescent="0.35">
      <c r="B33" s="246"/>
      <c r="C33" s="245"/>
      <c r="D33" s="245"/>
      <c r="E33" s="278"/>
      <c r="F33" s="242"/>
      <c r="G33" s="242"/>
      <c r="H33" s="241"/>
      <c r="I33" s="241"/>
      <c r="J33" s="277"/>
      <c r="K33" s="239"/>
    </row>
    <row r="34" spans="1:14" ht="15" hidden="1" thickBot="1" x14ac:dyDescent="0.35">
      <c r="A34" s="280" t="s">
        <v>479</v>
      </c>
      <c r="B34" s="246" t="s">
        <v>508</v>
      </c>
      <c r="C34" s="245" t="s">
        <v>509</v>
      </c>
      <c r="D34" s="245" t="s">
        <v>513</v>
      </c>
      <c r="E34" s="279"/>
      <c r="F34" s="242"/>
      <c r="G34" s="242"/>
      <c r="H34" s="241"/>
      <c r="I34" s="241"/>
      <c r="J34" s="240" t="e">
        <f>(G34-F34)/G34</f>
        <v>#DIV/0!</v>
      </c>
      <c r="K34" s="239" t="s">
        <v>514</v>
      </c>
    </row>
    <row r="35" spans="1:14" ht="29.4" hidden="1" thickBot="1" x14ac:dyDescent="0.35">
      <c r="A35" s="280" t="s">
        <v>511</v>
      </c>
      <c r="B35" s="246" t="s">
        <v>189</v>
      </c>
      <c r="C35" s="245" t="s">
        <v>190</v>
      </c>
      <c r="D35" s="244" t="s">
        <v>512</v>
      </c>
      <c r="E35" s="279"/>
      <c r="F35" s="242"/>
      <c r="G35" s="242"/>
      <c r="H35" s="241"/>
      <c r="I35" s="241"/>
      <c r="J35" s="277">
        <v>0.25</v>
      </c>
      <c r="K35" s="239"/>
    </row>
    <row r="36" spans="1:14" ht="15" hidden="1" thickBot="1" x14ac:dyDescent="0.35">
      <c r="B36" s="246"/>
      <c r="C36" s="245"/>
      <c r="D36" s="245"/>
      <c r="E36" s="278"/>
      <c r="F36" s="242"/>
      <c r="G36" s="242"/>
      <c r="H36" s="241"/>
      <c r="I36" s="241"/>
      <c r="J36" s="277"/>
      <c r="K36" s="239"/>
    </row>
    <row r="37" spans="1:14" ht="15" thickBot="1" x14ac:dyDescent="0.35">
      <c r="A37" s="280" t="s">
        <v>479</v>
      </c>
      <c r="B37" s="246" t="s">
        <v>508</v>
      </c>
      <c r="C37" s="245" t="s">
        <v>509</v>
      </c>
      <c r="D37" s="245" t="s">
        <v>94</v>
      </c>
      <c r="E37" s="279">
        <v>45</v>
      </c>
      <c r="F37" s="242"/>
      <c r="G37" s="242"/>
      <c r="H37" s="241">
        <f>F37*E37</f>
        <v>0</v>
      </c>
      <c r="I37" s="241"/>
      <c r="J37" s="240"/>
      <c r="K37" s="239"/>
    </row>
    <row r="38" spans="1:14" ht="29.4" thickBot="1" x14ac:dyDescent="0.35">
      <c r="A38" s="280" t="s">
        <v>511</v>
      </c>
      <c r="B38" s="246" t="s">
        <v>189</v>
      </c>
      <c r="C38" s="245" t="s">
        <v>190</v>
      </c>
      <c r="D38" s="244" t="s">
        <v>515</v>
      </c>
      <c r="E38" s="279">
        <v>24</v>
      </c>
      <c r="F38" s="242">
        <v>277</v>
      </c>
      <c r="G38" s="242">
        <f>F38/(1-J38)</f>
        <v>369.33333333333331</v>
      </c>
      <c r="H38" s="241">
        <f>F38*E38</f>
        <v>6648</v>
      </c>
      <c r="I38" s="241">
        <f>G38*E38</f>
        <v>8864</v>
      </c>
      <c r="J38" s="277">
        <v>0.25</v>
      </c>
      <c r="K38" s="239"/>
    </row>
    <row r="39" spans="1:14" ht="15" thickBot="1" x14ac:dyDescent="0.35">
      <c r="B39" s="246"/>
      <c r="C39" s="245"/>
      <c r="D39" s="245"/>
      <c r="E39" s="278"/>
      <c r="F39" s="242"/>
      <c r="G39" s="242"/>
      <c r="H39" s="241"/>
      <c r="I39" s="241"/>
      <c r="J39" s="277"/>
      <c r="K39" s="239"/>
    </row>
    <row r="40" spans="1:14" x14ac:dyDescent="0.3">
      <c r="B40" s="276" t="s">
        <v>227</v>
      </c>
      <c r="C40" s="276"/>
      <c r="D40" s="276"/>
      <c r="E40" s="275"/>
      <c r="F40" s="274"/>
      <c r="G40" s="274"/>
      <c r="H40" s="273">
        <f>SUM(H2,H6,H13,H24)</f>
        <v>215891826.67999995</v>
      </c>
      <c r="I40" s="273">
        <f>SUM(I2,I6,I13,I24)</f>
        <v>273210515.17121214</v>
      </c>
      <c r="J40" s="257">
        <f>(I40-H40)/I40</f>
        <v>0.20979678785530065</v>
      </c>
      <c r="K40" s="85"/>
    </row>
    <row r="41" spans="1:14" x14ac:dyDescent="0.3">
      <c r="H41" s="261"/>
      <c r="I41" s="261"/>
      <c r="N41" s="270">
        <v>17596008864</v>
      </c>
    </row>
    <row r="42" spans="1:14" x14ac:dyDescent="0.3">
      <c r="B42" s="271" t="s">
        <v>55</v>
      </c>
      <c r="C42" s="271"/>
      <c r="D42" s="271"/>
      <c r="E42" s="271" t="s">
        <v>428</v>
      </c>
      <c r="F42" s="271"/>
      <c r="G42" s="271"/>
      <c r="H42" s="272" t="s">
        <v>6</v>
      </c>
      <c r="I42" s="272" t="s">
        <v>9</v>
      </c>
      <c r="J42" s="271" t="s">
        <v>516</v>
      </c>
      <c r="N42" s="270">
        <v>2039876807</v>
      </c>
    </row>
    <row r="43" spans="1:14" x14ac:dyDescent="0.3">
      <c r="B43" s="92" t="str">
        <f>B2</f>
        <v>Networking E-W</v>
      </c>
      <c r="C43" s="92"/>
      <c r="D43" s="92"/>
      <c r="E43" s="92"/>
      <c r="F43" s="92"/>
      <c r="G43" s="92"/>
      <c r="H43" s="268">
        <f>H2</f>
        <v>150223118.39999998</v>
      </c>
      <c r="I43" s="268">
        <f>I2</f>
        <v>183678998.18181819</v>
      </c>
      <c r="J43" s="267">
        <f>(I43-H43)/I43</f>
        <v>0.18214319608113969</v>
      </c>
    </row>
    <row r="44" spans="1:14" x14ac:dyDescent="0.3">
      <c r="B44" s="92" t="str">
        <f>B6</f>
        <v>Networking N-S</v>
      </c>
      <c r="C44" s="92"/>
      <c r="D44" s="92"/>
      <c r="E44" s="92"/>
      <c r="F44" s="92"/>
      <c r="G44" s="92"/>
      <c r="H44" s="268">
        <f>H6</f>
        <v>43831637.640000001</v>
      </c>
      <c r="I44" s="268">
        <f>I6</f>
        <v>54789547.050000004</v>
      </c>
      <c r="J44" s="267">
        <f>(I44-H44)/I44</f>
        <v>0.20000000000000007</v>
      </c>
      <c r="N44" s="269">
        <f>N42/N41</f>
        <v>0.1159283802802249</v>
      </c>
    </row>
    <row r="45" spans="1:14" x14ac:dyDescent="0.3">
      <c r="B45" s="92" t="str">
        <f>B13</f>
        <v>OOB Network</v>
      </c>
      <c r="C45" s="92"/>
      <c r="D45" s="92"/>
      <c r="E45" s="92"/>
      <c r="F45" s="92"/>
      <c r="G45" s="92"/>
      <c r="H45" s="268">
        <f>H13</f>
        <v>16317480.720000001</v>
      </c>
      <c r="I45" s="268">
        <f>I13</f>
        <v>20364808.145454545</v>
      </c>
      <c r="J45" s="267">
        <f>(I45-H45)/I45</f>
        <v>0.19874124993207526</v>
      </c>
    </row>
    <row r="46" spans="1:14" x14ac:dyDescent="0.3">
      <c r="B46" s="92" t="str">
        <f>B24</f>
        <v>Networking Rack Infrastructure</v>
      </c>
      <c r="C46" s="92"/>
      <c r="D46" s="92"/>
      <c r="E46" s="92"/>
      <c r="F46" s="92"/>
      <c r="G46" s="92"/>
      <c r="H46" s="268">
        <f>H24</f>
        <v>5519589.9199999999</v>
      </c>
      <c r="I46" s="268">
        <f>I24</f>
        <v>14377161.793939395</v>
      </c>
      <c r="J46" s="267">
        <f>(I46-H46)/I46</f>
        <v>0.61608626242720943</v>
      </c>
    </row>
    <row r="47" spans="1:14" x14ac:dyDescent="0.3">
      <c r="B47" s="266" t="s">
        <v>517</v>
      </c>
      <c r="C47" s="264"/>
      <c r="D47" s="264"/>
      <c r="E47" s="265"/>
      <c r="F47" s="264"/>
      <c r="G47" s="264"/>
      <c r="H47" s="263">
        <f>SUM(H43:H46)</f>
        <v>215891826.67999995</v>
      </c>
      <c r="I47" s="263">
        <f>SUM(I43:I46)</f>
        <v>273210515.17121214</v>
      </c>
      <c r="J47" s="262">
        <f>(I47-H47)/I47</f>
        <v>0.20979678785530065</v>
      </c>
    </row>
    <row r="48" spans="1:14" x14ac:dyDescent="0.3">
      <c r="B48" s="256"/>
      <c r="C48" s="256"/>
      <c r="D48" s="256"/>
      <c r="H48" s="261"/>
      <c r="I48" s="261"/>
    </row>
    <row r="49" spans="1:11" x14ac:dyDescent="0.3">
      <c r="B49" s="260" t="s">
        <v>518</v>
      </c>
      <c r="C49" s="260"/>
      <c r="D49" s="260"/>
      <c r="E49" s="259"/>
      <c r="F49" s="259"/>
      <c r="G49" s="259"/>
      <c r="H49" s="258">
        <f>I49*(1-J49)</f>
        <v>0</v>
      </c>
      <c r="I49" s="258"/>
      <c r="J49" s="257">
        <v>0.35</v>
      </c>
    </row>
    <row r="50" spans="1:11" x14ac:dyDescent="0.3">
      <c r="B50" s="260" t="s">
        <v>519</v>
      </c>
      <c r="C50" s="260"/>
      <c r="D50" s="260"/>
      <c r="E50" s="259"/>
      <c r="F50" s="259"/>
      <c r="G50" s="259"/>
      <c r="H50" s="258">
        <f>I50*(1-J50)</f>
        <v>0</v>
      </c>
      <c r="I50" s="258"/>
      <c r="J50" s="257">
        <v>0.4</v>
      </c>
    </row>
    <row r="51" spans="1:11" x14ac:dyDescent="0.3">
      <c r="B51" s="256"/>
      <c r="C51" s="256"/>
      <c r="D51" s="256"/>
    </row>
    <row r="52" spans="1:11" x14ac:dyDescent="0.3">
      <c r="B52" s="256"/>
      <c r="C52" s="256"/>
      <c r="D52" s="256"/>
    </row>
    <row r="53" spans="1:11" x14ac:dyDescent="0.3">
      <c r="B53" s="255" t="s">
        <v>520</v>
      </c>
      <c r="C53" s="253"/>
      <c r="D53" s="253"/>
      <c r="E53" s="254"/>
      <c r="F53" s="253"/>
      <c r="G53" s="253"/>
    </row>
    <row r="54" spans="1:11" x14ac:dyDescent="0.3">
      <c r="A54" t="s">
        <v>521</v>
      </c>
      <c r="B54" s="251" t="s">
        <v>522</v>
      </c>
      <c r="C54" s="251"/>
      <c r="D54" s="251"/>
      <c r="E54" s="252">
        <v>72576</v>
      </c>
      <c r="F54" s="92"/>
      <c r="G54" s="92"/>
    </row>
    <row r="55" spans="1:11" x14ac:dyDescent="0.3">
      <c r="A55" t="s">
        <v>521</v>
      </c>
      <c r="B55" s="251" t="s">
        <v>523</v>
      </c>
      <c r="C55" s="251"/>
      <c r="D55" s="251"/>
      <c r="E55" s="252"/>
      <c r="F55" s="92"/>
      <c r="G55" s="92"/>
    </row>
    <row r="56" spans="1:11" x14ac:dyDescent="0.3">
      <c r="A56" t="s">
        <v>521</v>
      </c>
      <c r="B56" s="251" t="s">
        <v>524</v>
      </c>
      <c r="C56" s="251"/>
      <c r="D56" s="251"/>
      <c r="E56" s="251"/>
      <c r="F56" s="92"/>
      <c r="G56" s="92"/>
    </row>
    <row r="57" spans="1:11" x14ac:dyDescent="0.3">
      <c r="A57" t="s">
        <v>521</v>
      </c>
      <c r="B57" s="251" t="s">
        <v>525</v>
      </c>
      <c r="C57" s="251"/>
      <c r="D57" s="251"/>
      <c r="E57" s="251"/>
      <c r="F57" s="92"/>
      <c r="G57" s="92"/>
    </row>
    <row r="58" spans="1:11" x14ac:dyDescent="0.3">
      <c r="A58" t="s">
        <v>521</v>
      </c>
      <c r="B58" s="251" t="s">
        <v>526</v>
      </c>
      <c r="C58" s="251"/>
      <c r="D58" s="251"/>
      <c r="E58" s="252">
        <v>7920</v>
      </c>
      <c r="F58" s="92"/>
      <c r="G58" s="250"/>
    </row>
    <row r="59" spans="1:11" x14ac:dyDescent="0.3">
      <c r="A59" t="s">
        <v>521</v>
      </c>
      <c r="B59" s="251" t="s">
        <v>527</v>
      </c>
      <c r="C59" s="251"/>
      <c r="D59" s="251"/>
      <c r="E59" s="251"/>
      <c r="F59" s="92"/>
      <c r="G59" s="250"/>
    </row>
    <row r="60" spans="1:11" x14ac:dyDescent="0.3">
      <c r="A60" t="s">
        <v>521</v>
      </c>
      <c r="B60" s="251" t="s">
        <v>528</v>
      </c>
      <c r="C60" s="251"/>
      <c r="D60" s="251"/>
      <c r="E60" s="251"/>
      <c r="F60" s="92"/>
      <c r="G60" s="250"/>
    </row>
    <row r="61" spans="1:11" x14ac:dyDescent="0.3">
      <c r="A61" t="s">
        <v>521</v>
      </c>
      <c r="B61" s="249" t="s">
        <v>529</v>
      </c>
      <c r="C61" s="249"/>
      <c r="D61" s="249"/>
      <c r="E61" s="249"/>
      <c r="F61" s="248"/>
      <c r="G61" s="247"/>
    </row>
    <row r="62" spans="1:11" x14ac:dyDescent="0.3">
      <c r="A62" t="s">
        <v>521</v>
      </c>
      <c r="B62" s="249" t="s">
        <v>530</v>
      </c>
      <c r="C62" s="249"/>
      <c r="D62" s="249"/>
      <c r="E62" s="249"/>
      <c r="F62" s="248"/>
      <c r="G62" s="247"/>
    </row>
    <row r="63" spans="1:11" ht="29.4" thickBot="1" x14ac:dyDescent="0.35">
      <c r="A63" t="s">
        <v>521</v>
      </c>
      <c r="B63" s="246" t="s">
        <v>120</v>
      </c>
      <c r="C63" s="245" t="s">
        <v>120</v>
      </c>
      <c r="D63" s="244" t="s">
        <v>121</v>
      </c>
      <c r="E63" s="243">
        <v>97048</v>
      </c>
      <c r="F63" s="242">
        <v>133.56</v>
      </c>
      <c r="G63" s="242">
        <f>F63/(1-J63)</f>
        <v>151.77272727272728</v>
      </c>
      <c r="H63" s="241">
        <f>F63*E63</f>
        <v>12961730.880000001</v>
      </c>
      <c r="I63" s="241">
        <f>G63*E63</f>
        <v>14729239.636363637</v>
      </c>
      <c r="J63" s="240">
        <v>0.12</v>
      </c>
      <c r="K63" s="239"/>
    </row>
    <row r="64" spans="1:11" ht="15" thickBot="1" x14ac:dyDescent="0.35">
      <c r="A64" t="s">
        <v>521</v>
      </c>
      <c r="B64" s="245" t="s">
        <v>169</v>
      </c>
      <c r="C64" s="245" t="s">
        <v>169</v>
      </c>
      <c r="D64" s="244" t="s">
        <v>170</v>
      </c>
      <c r="E64" s="243">
        <v>2052</v>
      </c>
      <c r="F64" s="242"/>
      <c r="G64" s="242"/>
      <c r="H64" s="241"/>
      <c r="I64" s="241"/>
      <c r="J64" s="240"/>
      <c r="K64" s="239"/>
    </row>
    <row r="65" spans="1:11" ht="29.4" thickBot="1" x14ac:dyDescent="0.35">
      <c r="A65" t="s">
        <v>521</v>
      </c>
      <c r="B65" s="245" t="s">
        <v>186</v>
      </c>
      <c r="C65" s="245" t="s">
        <v>186</v>
      </c>
      <c r="D65" s="244" t="s">
        <v>187</v>
      </c>
      <c r="E65" s="243">
        <v>420</v>
      </c>
      <c r="F65" s="242">
        <v>45</v>
      </c>
      <c r="G65" s="242">
        <f>F65/(1-J65)</f>
        <v>51.136363636363633</v>
      </c>
      <c r="H65" s="241">
        <f>F65*E65</f>
        <v>18900</v>
      </c>
      <c r="I65" s="241">
        <f>G65*E65</f>
        <v>21477.272727272724</v>
      </c>
      <c r="J65" s="240">
        <v>0.12</v>
      </c>
      <c r="K65" s="239"/>
    </row>
    <row r="66" spans="1:11" ht="29.4" thickBot="1" x14ac:dyDescent="0.35">
      <c r="A66" t="s">
        <v>521</v>
      </c>
      <c r="B66" s="245" t="s">
        <v>183</v>
      </c>
      <c r="C66" s="245" t="s">
        <v>183</v>
      </c>
      <c r="D66" s="244" t="s">
        <v>184</v>
      </c>
      <c r="E66" s="243">
        <v>420</v>
      </c>
      <c r="F66" s="242">
        <v>65.87</v>
      </c>
      <c r="G66" s="242">
        <f>F66/(1-J66)</f>
        <v>74.852272727272734</v>
      </c>
      <c r="H66" s="241">
        <f>F66*E66</f>
        <v>27665.4</v>
      </c>
      <c r="I66" s="241">
        <f>G66*E66</f>
        <v>31437.954545454548</v>
      </c>
      <c r="J66" s="240">
        <v>0.12</v>
      </c>
      <c r="K66" s="239"/>
    </row>
    <row r="67" spans="1:11" ht="29.4" thickBot="1" x14ac:dyDescent="0.35">
      <c r="A67" t="s">
        <v>521</v>
      </c>
      <c r="B67" s="245" t="s">
        <v>120</v>
      </c>
      <c r="C67" s="245" t="s">
        <v>120</v>
      </c>
      <c r="D67" s="244" t="s">
        <v>121</v>
      </c>
      <c r="E67" s="243">
        <v>52</v>
      </c>
      <c r="F67" s="242">
        <v>133.56</v>
      </c>
      <c r="G67" s="242">
        <f>F67/(1-J67)</f>
        <v>151.77272727272728</v>
      </c>
      <c r="H67" s="241">
        <f>F67*E67</f>
        <v>6945.12</v>
      </c>
      <c r="I67" s="241">
        <f>G67*E67</f>
        <v>7892.1818181818189</v>
      </c>
      <c r="J67" s="240">
        <v>0.12</v>
      </c>
      <c r="K67" s="239"/>
    </row>
    <row r="68" spans="1:11" x14ac:dyDescent="0.3">
      <c r="B68" s="238"/>
      <c r="C68" s="238"/>
      <c r="D68" s="238"/>
    </row>
  </sheetData>
  <pageMargins left="0.7" right="0.7" top="0.75" bottom="0.75" header="0.3" footer="0.3"/>
  <headerFooter>
    <oddFooter>&amp;L_x000D_&amp;1#&amp;"Aptos"&amp;7&amp;K737373 Internal Use -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037-606D-46E9-9387-C4001ED6A348}">
  <dimension ref="A1"/>
  <sheetViews>
    <sheetView workbookViewId="0">
      <selection activeCell="C3" sqref="C3"/>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E89-1974-4496-9441-4F888187FE81}">
  <dimension ref="A1:N58"/>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54.5546875" style="1" customWidth="1"/>
    <col min="5" max="5" width="11.6640625" style="1" customWidth="1"/>
    <col min="6" max="6" width="14.109375" style="1" customWidth="1"/>
    <col min="7" max="7" width="18.88671875" style="1" customWidth="1"/>
    <col min="8" max="8" width="46.109375" style="1" customWidth="1"/>
    <col min="9" max="9" width="10.44140625" style="1" customWidth="1"/>
    <col min="10" max="10" width="78.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531</v>
      </c>
    </row>
    <row r="3" spans="1:14" x14ac:dyDescent="0.3">
      <c r="A3" s="1" t="s">
        <v>532</v>
      </c>
    </row>
    <row r="4" spans="1:14" x14ac:dyDescent="0.3">
      <c r="A4" s="1" t="s">
        <v>533</v>
      </c>
    </row>
    <row r="5" spans="1:14" x14ac:dyDescent="0.3">
      <c r="A5" s="1" t="s">
        <v>534</v>
      </c>
    </row>
    <row r="6" spans="1:14" x14ac:dyDescent="0.3">
      <c r="A6" s="1" t="s">
        <v>535</v>
      </c>
    </row>
    <row r="7" spans="1:14" ht="43.2" x14ac:dyDescent="0.3">
      <c r="A7" s="2" t="s">
        <v>536</v>
      </c>
    </row>
    <row r="8" spans="1:14" x14ac:dyDescent="0.3">
      <c r="A8" s="3"/>
      <c r="B8" s="3" t="s">
        <v>537</v>
      </c>
      <c r="C8" s="3" t="s">
        <v>538</v>
      </c>
      <c r="D8" s="3" t="s">
        <v>539</v>
      </c>
      <c r="E8" s="3" t="s">
        <v>540</v>
      </c>
      <c r="F8" s="3" t="s">
        <v>541</v>
      </c>
      <c r="G8" s="3" t="s">
        <v>542</v>
      </c>
      <c r="H8" s="3" t="s">
        <v>543</v>
      </c>
      <c r="I8" s="3" t="s">
        <v>434</v>
      </c>
      <c r="J8" s="3" t="s">
        <v>544</v>
      </c>
      <c r="K8" s="3" t="s">
        <v>545</v>
      </c>
      <c r="L8" s="3" t="s">
        <v>546</v>
      </c>
      <c r="M8" s="3" t="s">
        <v>435</v>
      </c>
      <c r="N8" s="3" t="s">
        <v>547</v>
      </c>
    </row>
    <row r="9" spans="1:14" x14ac:dyDescent="0.3">
      <c r="B9" s="1" t="s">
        <v>548</v>
      </c>
      <c r="C9" s="1" t="s">
        <v>549</v>
      </c>
      <c r="D9" s="1" t="s">
        <v>550</v>
      </c>
      <c r="E9" s="1">
        <v>8</v>
      </c>
      <c r="F9" s="4">
        <v>326247.63</v>
      </c>
      <c r="G9" s="4">
        <v>2609981.04</v>
      </c>
    </row>
    <row r="10" spans="1:14" x14ac:dyDescent="0.3">
      <c r="H10" s="1" t="s">
        <v>551</v>
      </c>
      <c r="I10" s="1" t="s">
        <v>552</v>
      </c>
      <c r="J10" s="1" t="s">
        <v>553</v>
      </c>
      <c r="K10" s="4">
        <v>4496.13</v>
      </c>
      <c r="L10" s="1" t="s">
        <v>554</v>
      </c>
      <c r="M10" s="1">
        <v>1</v>
      </c>
    </row>
    <row r="11" spans="1:14" x14ac:dyDescent="0.3">
      <c r="H11" s="1" t="s">
        <v>555</v>
      </c>
      <c r="I11" s="1" t="s">
        <v>556</v>
      </c>
      <c r="J11" s="1" t="s">
        <v>557</v>
      </c>
      <c r="K11" s="4">
        <v>0</v>
      </c>
      <c r="L11" s="1" t="s">
        <v>558</v>
      </c>
      <c r="M11" s="1">
        <v>1</v>
      </c>
    </row>
    <row r="12" spans="1:14" x14ac:dyDescent="0.3">
      <c r="H12" s="1" t="s">
        <v>559</v>
      </c>
      <c r="I12" s="1" t="s">
        <v>560</v>
      </c>
      <c r="J12" s="1" t="s">
        <v>561</v>
      </c>
      <c r="K12" s="4">
        <v>0</v>
      </c>
      <c r="L12" s="1" t="s">
        <v>562</v>
      </c>
      <c r="M12" s="1">
        <v>1</v>
      </c>
    </row>
    <row r="13" spans="1:14" x14ac:dyDescent="0.3">
      <c r="H13" s="1" t="s">
        <v>563</v>
      </c>
      <c r="I13" s="1" t="s">
        <v>564</v>
      </c>
      <c r="J13" s="1" t="s">
        <v>565</v>
      </c>
      <c r="K13" s="4">
        <v>0</v>
      </c>
      <c r="L13" s="1" t="s">
        <v>566</v>
      </c>
      <c r="M13" s="1">
        <v>1</v>
      </c>
    </row>
    <row r="14" spans="1:14" x14ac:dyDescent="0.3">
      <c r="H14" s="1" t="s">
        <v>567</v>
      </c>
      <c r="I14" s="1" t="s">
        <v>568</v>
      </c>
      <c r="J14" s="1" t="s">
        <v>569</v>
      </c>
      <c r="K14" s="4">
        <v>99</v>
      </c>
      <c r="L14" s="1" t="s">
        <v>570</v>
      </c>
      <c r="M14" s="1">
        <v>1</v>
      </c>
    </row>
    <row r="15" spans="1:14" x14ac:dyDescent="0.3">
      <c r="H15" s="1" t="s">
        <v>571</v>
      </c>
      <c r="I15" s="1" t="s">
        <v>572</v>
      </c>
      <c r="J15" s="1" t="s">
        <v>573</v>
      </c>
      <c r="K15" s="4">
        <v>1080</v>
      </c>
      <c r="L15" s="1" t="s">
        <v>574</v>
      </c>
      <c r="M15" s="1">
        <v>1</v>
      </c>
    </row>
    <row r="16" spans="1:14" x14ac:dyDescent="0.3">
      <c r="H16" s="1" t="s">
        <v>575</v>
      </c>
      <c r="I16" s="1" t="s">
        <v>576</v>
      </c>
      <c r="J16" s="1" t="s">
        <v>577</v>
      </c>
      <c r="K16" s="4">
        <v>10645</v>
      </c>
      <c r="L16" s="1" t="s">
        <v>578</v>
      </c>
      <c r="M16" s="1">
        <v>1</v>
      </c>
    </row>
    <row r="17" spans="8:13" x14ac:dyDescent="0.3">
      <c r="H17" s="1" t="s">
        <v>579</v>
      </c>
      <c r="I17" s="1" t="s">
        <v>580</v>
      </c>
      <c r="J17" s="1" t="s">
        <v>581</v>
      </c>
      <c r="K17" s="4">
        <v>157.4</v>
      </c>
      <c r="L17" s="1" t="s">
        <v>582</v>
      </c>
      <c r="M17" s="1">
        <v>1</v>
      </c>
    </row>
    <row r="18" spans="8:13" x14ac:dyDescent="0.3">
      <c r="H18" s="1" t="s">
        <v>583</v>
      </c>
      <c r="I18" s="1" t="s">
        <v>584</v>
      </c>
      <c r="J18" s="1" t="s">
        <v>585</v>
      </c>
      <c r="K18" s="4">
        <v>0</v>
      </c>
      <c r="L18" s="1" t="s">
        <v>586</v>
      </c>
      <c r="M18" s="1">
        <v>1</v>
      </c>
    </row>
    <row r="19" spans="8:13" x14ac:dyDescent="0.3">
      <c r="H19" s="1" t="s">
        <v>587</v>
      </c>
      <c r="I19" s="1" t="s">
        <v>588</v>
      </c>
      <c r="J19" s="1" t="s">
        <v>589</v>
      </c>
      <c r="K19" s="4">
        <v>0</v>
      </c>
      <c r="L19" s="1" t="s">
        <v>590</v>
      </c>
      <c r="M19" s="1">
        <v>1</v>
      </c>
    </row>
    <row r="20" spans="8:13" x14ac:dyDescent="0.3">
      <c r="H20" s="1" t="s">
        <v>591</v>
      </c>
      <c r="I20" s="1" t="s">
        <v>592</v>
      </c>
      <c r="J20" s="1" t="s">
        <v>593</v>
      </c>
      <c r="K20" s="4">
        <v>25824</v>
      </c>
      <c r="L20" s="1" t="s">
        <v>594</v>
      </c>
      <c r="M20" s="1">
        <v>12</v>
      </c>
    </row>
    <row r="21" spans="8:13" x14ac:dyDescent="0.3">
      <c r="H21" s="1" t="s">
        <v>595</v>
      </c>
      <c r="I21" s="1" t="s">
        <v>596</v>
      </c>
      <c r="J21" s="1" t="s">
        <v>597</v>
      </c>
      <c r="K21" s="4">
        <v>0</v>
      </c>
      <c r="L21" s="1" t="s">
        <v>598</v>
      </c>
      <c r="M21" s="1">
        <v>1</v>
      </c>
    </row>
    <row r="22" spans="8:13" x14ac:dyDescent="0.3">
      <c r="H22" s="1" t="s">
        <v>599</v>
      </c>
      <c r="I22" s="1" t="s">
        <v>600</v>
      </c>
      <c r="J22" s="1" t="s">
        <v>601</v>
      </c>
      <c r="K22" s="4">
        <v>0</v>
      </c>
      <c r="L22" s="1" t="s">
        <v>602</v>
      </c>
      <c r="M22" s="1">
        <v>1</v>
      </c>
    </row>
    <row r="23" spans="8:13" x14ac:dyDescent="0.3">
      <c r="H23" s="1" t="s">
        <v>603</v>
      </c>
      <c r="I23" s="1" t="s">
        <v>604</v>
      </c>
      <c r="J23" s="1" t="s">
        <v>605</v>
      </c>
      <c r="K23" s="4">
        <v>0</v>
      </c>
      <c r="L23" s="1" t="s">
        <v>606</v>
      </c>
      <c r="M23" s="1">
        <v>1</v>
      </c>
    </row>
    <row r="24" spans="8:13" x14ac:dyDescent="0.3">
      <c r="H24" s="1" t="s">
        <v>607</v>
      </c>
      <c r="I24" s="1" t="s">
        <v>608</v>
      </c>
      <c r="J24" s="1" t="s">
        <v>609</v>
      </c>
      <c r="K24" s="4">
        <v>253785.98</v>
      </c>
      <c r="L24" s="1" t="s">
        <v>610</v>
      </c>
      <c r="M24" s="1">
        <v>14</v>
      </c>
    </row>
    <row r="25" spans="8:13" x14ac:dyDescent="0.3">
      <c r="H25" s="1" t="s">
        <v>611</v>
      </c>
      <c r="I25" s="1" t="s">
        <v>612</v>
      </c>
      <c r="J25" s="1" t="s">
        <v>613</v>
      </c>
      <c r="K25" s="4">
        <v>0</v>
      </c>
      <c r="L25" s="1" t="s">
        <v>614</v>
      </c>
      <c r="M25" s="1">
        <v>1</v>
      </c>
    </row>
    <row r="26" spans="8:13" x14ac:dyDescent="0.3">
      <c r="H26" s="1" t="s">
        <v>615</v>
      </c>
      <c r="I26" s="1" t="s">
        <v>616</v>
      </c>
      <c r="J26" s="1" t="s">
        <v>617</v>
      </c>
      <c r="K26" s="4">
        <v>0</v>
      </c>
      <c r="L26" s="1" t="s">
        <v>618</v>
      </c>
      <c r="M26" s="1">
        <v>1</v>
      </c>
    </row>
    <row r="27" spans="8:13" x14ac:dyDescent="0.3">
      <c r="H27" s="1" t="s">
        <v>619</v>
      </c>
      <c r="I27" s="1" t="s">
        <v>620</v>
      </c>
      <c r="J27" s="1" t="s">
        <v>621</v>
      </c>
      <c r="K27" s="4">
        <v>299</v>
      </c>
      <c r="L27" s="1" t="s">
        <v>622</v>
      </c>
      <c r="M27" s="1">
        <v>1</v>
      </c>
    </row>
    <row r="28" spans="8:13" x14ac:dyDescent="0.3">
      <c r="H28" s="1" t="s">
        <v>623</v>
      </c>
      <c r="I28" s="1" t="s">
        <v>624</v>
      </c>
      <c r="J28" s="1" t="s">
        <v>625</v>
      </c>
      <c r="K28" s="4">
        <v>1429</v>
      </c>
      <c r="L28" s="1" t="s">
        <v>626</v>
      </c>
      <c r="M28" s="1">
        <v>1</v>
      </c>
    </row>
    <row r="29" spans="8:13" x14ac:dyDescent="0.3">
      <c r="H29" s="1" t="s">
        <v>627</v>
      </c>
      <c r="I29" s="1" t="s">
        <v>628</v>
      </c>
      <c r="J29" s="1" t="s">
        <v>629</v>
      </c>
      <c r="K29" s="4">
        <v>70</v>
      </c>
      <c r="L29" s="1" t="s">
        <v>630</v>
      </c>
      <c r="M29" s="1">
        <v>2</v>
      </c>
    </row>
    <row r="30" spans="8:13" x14ac:dyDescent="0.3">
      <c r="H30" s="1" t="s">
        <v>631</v>
      </c>
      <c r="I30" s="1" t="s">
        <v>632</v>
      </c>
      <c r="J30" s="1" t="s">
        <v>633</v>
      </c>
      <c r="K30" s="4">
        <v>1147.5999999999999</v>
      </c>
      <c r="L30" s="1" t="s">
        <v>634</v>
      </c>
      <c r="M30" s="1">
        <v>1</v>
      </c>
    </row>
    <row r="31" spans="8:13" x14ac:dyDescent="0.3">
      <c r="H31" s="1" t="s">
        <v>635</v>
      </c>
      <c r="I31" s="1" t="s">
        <v>636</v>
      </c>
      <c r="J31" s="1" t="s">
        <v>637</v>
      </c>
      <c r="K31" s="4">
        <v>0</v>
      </c>
      <c r="L31" s="1" t="s">
        <v>638</v>
      </c>
      <c r="M31" s="1">
        <v>1</v>
      </c>
    </row>
    <row r="32" spans="8:13" x14ac:dyDescent="0.3">
      <c r="H32" s="1" t="s">
        <v>639</v>
      </c>
      <c r="I32" s="1" t="s">
        <v>640</v>
      </c>
      <c r="J32" s="1" t="s">
        <v>641</v>
      </c>
      <c r="K32" s="4">
        <v>709</v>
      </c>
      <c r="L32" s="1" t="s">
        <v>642</v>
      </c>
      <c r="M32" s="1">
        <v>1</v>
      </c>
    </row>
    <row r="33" spans="8:13" x14ac:dyDescent="0.3">
      <c r="H33" s="1" t="s">
        <v>643</v>
      </c>
      <c r="I33" s="1" t="s">
        <v>644</v>
      </c>
      <c r="J33" s="1" t="s">
        <v>645</v>
      </c>
      <c r="K33" s="4">
        <v>139</v>
      </c>
      <c r="L33" s="1" t="s">
        <v>646</v>
      </c>
      <c r="M33" s="1">
        <v>1</v>
      </c>
    </row>
    <row r="34" spans="8:13" x14ac:dyDescent="0.3">
      <c r="H34" s="1" t="s">
        <v>643</v>
      </c>
      <c r="I34" s="1" t="s">
        <v>647</v>
      </c>
      <c r="J34" s="1" t="s">
        <v>648</v>
      </c>
      <c r="K34" s="4">
        <v>18938</v>
      </c>
      <c r="L34" s="1" t="s">
        <v>649</v>
      </c>
      <c r="M34" s="1">
        <v>2</v>
      </c>
    </row>
    <row r="35" spans="8:13" x14ac:dyDescent="0.3">
      <c r="H35" s="1" t="s">
        <v>650</v>
      </c>
      <c r="I35" s="1" t="s">
        <v>651</v>
      </c>
      <c r="J35" s="1" t="s">
        <v>652</v>
      </c>
      <c r="K35" s="4">
        <v>49</v>
      </c>
      <c r="L35" s="1" t="s">
        <v>653</v>
      </c>
      <c r="M35" s="1">
        <v>1</v>
      </c>
    </row>
    <row r="36" spans="8:13" x14ac:dyDescent="0.3">
      <c r="H36" s="1" t="s">
        <v>654</v>
      </c>
      <c r="I36" s="1" t="s">
        <v>655</v>
      </c>
      <c r="J36" s="1" t="s">
        <v>656</v>
      </c>
      <c r="K36" s="4">
        <v>4070</v>
      </c>
      <c r="L36" s="1" t="s">
        <v>657</v>
      </c>
      <c r="M36" s="1">
        <v>1</v>
      </c>
    </row>
    <row r="37" spans="8:13" x14ac:dyDescent="0.3">
      <c r="H37" s="1" t="s">
        <v>658</v>
      </c>
      <c r="I37" s="1" t="s">
        <v>659</v>
      </c>
      <c r="J37" s="1" t="s">
        <v>660</v>
      </c>
      <c r="K37" s="4">
        <v>0</v>
      </c>
      <c r="L37" s="1" t="s">
        <v>661</v>
      </c>
      <c r="M37" s="1">
        <v>1</v>
      </c>
    </row>
    <row r="38" spans="8:13" x14ac:dyDescent="0.3">
      <c r="H38" s="1" t="s">
        <v>662</v>
      </c>
      <c r="I38" s="1" t="s">
        <v>663</v>
      </c>
      <c r="J38" s="1" t="s">
        <v>664</v>
      </c>
      <c r="K38" s="4">
        <v>0</v>
      </c>
      <c r="L38" s="1" t="s">
        <v>665</v>
      </c>
      <c r="M38" s="1">
        <v>1</v>
      </c>
    </row>
    <row r="39" spans="8:13" x14ac:dyDescent="0.3">
      <c r="H39" s="1" t="s">
        <v>666</v>
      </c>
      <c r="I39" s="1" t="s">
        <v>667</v>
      </c>
      <c r="J39" s="1" t="s">
        <v>668</v>
      </c>
      <c r="K39" s="4">
        <v>0</v>
      </c>
      <c r="L39" s="1" t="s">
        <v>669</v>
      </c>
      <c r="M39" s="1">
        <v>1</v>
      </c>
    </row>
    <row r="40" spans="8:13" x14ac:dyDescent="0.3">
      <c r="H40" s="1" t="s">
        <v>666</v>
      </c>
      <c r="I40" s="1" t="s">
        <v>670</v>
      </c>
      <c r="J40" s="1" t="s">
        <v>671</v>
      </c>
      <c r="K40" s="4">
        <v>99</v>
      </c>
      <c r="L40" s="1" t="s">
        <v>672</v>
      </c>
      <c r="M40" s="1">
        <v>1</v>
      </c>
    </row>
    <row r="41" spans="8:13" x14ac:dyDescent="0.3">
      <c r="H41" s="1" t="s">
        <v>666</v>
      </c>
      <c r="I41" s="1" t="s">
        <v>673</v>
      </c>
      <c r="J41" s="1" t="s">
        <v>674</v>
      </c>
      <c r="K41" s="4">
        <v>1288</v>
      </c>
      <c r="L41" s="1" t="s">
        <v>675</v>
      </c>
      <c r="M41" s="1">
        <v>1</v>
      </c>
    </row>
    <row r="42" spans="8:13" x14ac:dyDescent="0.3">
      <c r="H42" s="1" t="s">
        <v>676</v>
      </c>
      <c r="I42" s="1" t="s">
        <v>677</v>
      </c>
      <c r="J42" s="1" t="s">
        <v>678</v>
      </c>
      <c r="K42" s="4">
        <v>0</v>
      </c>
      <c r="L42" s="1" t="s">
        <v>679</v>
      </c>
      <c r="M42" s="1">
        <v>1</v>
      </c>
    </row>
    <row r="43" spans="8:13" x14ac:dyDescent="0.3">
      <c r="H43" s="1" t="s">
        <v>680</v>
      </c>
      <c r="I43" s="1" t="s">
        <v>681</v>
      </c>
      <c r="J43" s="1" t="s">
        <v>682</v>
      </c>
      <c r="K43" s="4">
        <v>0</v>
      </c>
      <c r="L43" s="1" t="s">
        <v>683</v>
      </c>
      <c r="M43" s="1">
        <v>1</v>
      </c>
    </row>
    <row r="44" spans="8:13" x14ac:dyDescent="0.3">
      <c r="H44" s="1" t="s">
        <v>684</v>
      </c>
      <c r="I44" s="1" t="s">
        <v>685</v>
      </c>
      <c r="J44" s="1" t="s">
        <v>686</v>
      </c>
      <c r="K44" s="4">
        <v>0</v>
      </c>
      <c r="L44" s="1" t="s">
        <v>687</v>
      </c>
      <c r="M44" s="1">
        <v>1</v>
      </c>
    </row>
    <row r="45" spans="8:13" x14ac:dyDescent="0.3">
      <c r="H45" s="1" t="s">
        <v>688</v>
      </c>
      <c r="I45" s="1" t="s">
        <v>689</v>
      </c>
      <c r="J45" s="1" t="s">
        <v>690</v>
      </c>
      <c r="K45" s="4">
        <v>187.51</v>
      </c>
      <c r="L45" s="1" t="s">
        <v>691</v>
      </c>
      <c r="M45" s="1">
        <v>1</v>
      </c>
    </row>
    <row r="46" spans="8:13" x14ac:dyDescent="0.3">
      <c r="H46" s="1" t="s">
        <v>692</v>
      </c>
      <c r="I46" s="1" t="s">
        <v>693</v>
      </c>
      <c r="J46" s="1" t="s">
        <v>694</v>
      </c>
      <c r="K46" s="4">
        <v>0</v>
      </c>
      <c r="L46" s="1" t="s">
        <v>695</v>
      </c>
      <c r="M46" s="1">
        <v>1</v>
      </c>
    </row>
    <row r="47" spans="8:13" x14ac:dyDescent="0.3">
      <c r="H47" s="1" t="s">
        <v>696</v>
      </c>
      <c r="I47" s="1" t="s">
        <v>697</v>
      </c>
      <c r="J47" s="1" t="s">
        <v>698</v>
      </c>
      <c r="K47" s="4">
        <v>10</v>
      </c>
      <c r="L47" s="1" t="s">
        <v>699</v>
      </c>
      <c r="M47" s="1">
        <v>1</v>
      </c>
    </row>
    <row r="48" spans="8:13" x14ac:dyDescent="0.3">
      <c r="H48" s="1" t="s">
        <v>700</v>
      </c>
      <c r="I48" s="1" t="s">
        <v>701</v>
      </c>
      <c r="J48" s="1" t="s">
        <v>702</v>
      </c>
      <c r="K48" s="4">
        <v>99</v>
      </c>
      <c r="L48" s="1" t="s">
        <v>703</v>
      </c>
      <c r="M48" s="1">
        <v>1</v>
      </c>
    </row>
    <row r="49" spans="1:13" x14ac:dyDescent="0.3">
      <c r="H49" s="1" t="s">
        <v>704</v>
      </c>
      <c r="I49" s="1" t="s">
        <v>705</v>
      </c>
      <c r="J49" s="1" t="s">
        <v>706</v>
      </c>
      <c r="K49" s="4">
        <v>0</v>
      </c>
      <c r="L49" s="1" t="s">
        <v>707</v>
      </c>
      <c r="M49" s="1">
        <v>1</v>
      </c>
    </row>
    <row r="50" spans="1:13" x14ac:dyDescent="0.3">
      <c r="H50" s="1" t="s">
        <v>708</v>
      </c>
      <c r="I50" s="1" t="s">
        <v>709</v>
      </c>
      <c r="J50" s="1" t="s">
        <v>710</v>
      </c>
      <c r="K50" s="4">
        <v>0</v>
      </c>
      <c r="L50" s="1" t="s">
        <v>711</v>
      </c>
      <c r="M50" s="1">
        <v>1</v>
      </c>
    </row>
    <row r="51" spans="1:13" x14ac:dyDescent="0.3">
      <c r="H51" s="1" t="s">
        <v>712</v>
      </c>
      <c r="I51" s="1" t="s">
        <v>713</v>
      </c>
      <c r="J51" s="1" t="s">
        <v>714</v>
      </c>
      <c r="K51" s="4">
        <v>0</v>
      </c>
      <c r="L51" s="1" t="s">
        <v>715</v>
      </c>
      <c r="M51" s="1">
        <v>1</v>
      </c>
    </row>
    <row r="52" spans="1:13" x14ac:dyDescent="0.3">
      <c r="H52" s="1" t="s">
        <v>716</v>
      </c>
      <c r="I52" s="1" t="s">
        <v>717</v>
      </c>
      <c r="J52" s="1" t="s">
        <v>718</v>
      </c>
      <c r="K52" s="4">
        <v>1626.01</v>
      </c>
      <c r="L52" s="1" t="s">
        <v>719</v>
      </c>
      <c r="M52" s="1">
        <v>1</v>
      </c>
    </row>
    <row r="53" spans="1:13" x14ac:dyDescent="0.3">
      <c r="H53" s="1" t="s">
        <v>720</v>
      </c>
      <c r="I53" s="1" t="s">
        <v>721</v>
      </c>
      <c r="J53" s="1" t="s">
        <v>722</v>
      </c>
      <c r="K53" s="4">
        <v>0</v>
      </c>
      <c r="L53" s="1" t="s">
        <v>723</v>
      </c>
      <c r="M53" s="1">
        <v>1</v>
      </c>
    </row>
    <row r="54" spans="1:13" x14ac:dyDescent="0.3">
      <c r="B54" s="1" t="s">
        <v>548</v>
      </c>
      <c r="C54" s="1" t="s">
        <v>549</v>
      </c>
      <c r="D54" s="1" t="s">
        <v>724</v>
      </c>
      <c r="E54" s="1">
        <v>480</v>
      </c>
      <c r="F54" s="4">
        <v>1125</v>
      </c>
      <c r="G54" s="4">
        <v>540000</v>
      </c>
      <c r="L54" s="1" t="s">
        <v>725</v>
      </c>
    </row>
    <row r="55" spans="1:13" x14ac:dyDescent="0.3">
      <c r="B55" s="1" t="s">
        <v>548</v>
      </c>
      <c r="C55" s="1" t="s">
        <v>549</v>
      </c>
      <c r="D55" s="1" t="s">
        <v>726</v>
      </c>
      <c r="E55" s="1">
        <v>1</v>
      </c>
      <c r="F55" s="4">
        <v>25000</v>
      </c>
      <c r="G55" s="4">
        <v>25000</v>
      </c>
      <c r="L55" s="1" t="s">
        <v>727</v>
      </c>
    </row>
    <row r="58" spans="1:13" x14ac:dyDescent="0.3">
      <c r="A58" s="1" t="s">
        <v>728</v>
      </c>
    </row>
  </sheetData>
  <pageMargins left="0.75" right="0.75" top="0.75" bottom="0.5" header="0.5" footer="0.7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EA29-51EE-45DB-92FD-54FCF8226983}">
  <dimension ref="A1:N97"/>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44.33203125" style="1" customWidth="1"/>
    <col min="5" max="5" width="11.6640625" style="1" customWidth="1"/>
    <col min="6" max="6" width="14.109375" style="1" customWidth="1"/>
    <col min="7" max="7" width="18.88671875" style="1" customWidth="1"/>
    <col min="8" max="8" width="46.109375" style="1" customWidth="1"/>
    <col min="9" max="9" width="10.6640625" style="1" customWidth="1"/>
    <col min="10" max="10" width="82.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729</v>
      </c>
    </row>
    <row r="3" spans="1:14" x14ac:dyDescent="0.3">
      <c r="A3" s="1" t="s">
        <v>730</v>
      </c>
    </row>
    <row r="4" spans="1:14" x14ac:dyDescent="0.3">
      <c r="A4" s="1" t="s">
        <v>533</v>
      </c>
    </row>
    <row r="5" spans="1:14" x14ac:dyDescent="0.3">
      <c r="A5" s="1" t="s">
        <v>731</v>
      </c>
    </row>
    <row r="6" spans="1:14" x14ac:dyDescent="0.3">
      <c r="A6" s="1" t="s">
        <v>732</v>
      </c>
    </row>
    <row r="7" spans="1:14" ht="43.2" x14ac:dyDescent="0.3">
      <c r="A7" s="2" t="s">
        <v>536</v>
      </c>
    </row>
    <row r="8" spans="1:14" x14ac:dyDescent="0.3">
      <c r="A8" s="3"/>
      <c r="B8" s="3" t="s">
        <v>537</v>
      </c>
      <c r="C8" s="3" t="s">
        <v>538</v>
      </c>
      <c r="D8" s="3" t="s">
        <v>539</v>
      </c>
      <c r="E8" s="3" t="s">
        <v>540</v>
      </c>
      <c r="F8" s="3" t="s">
        <v>541</v>
      </c>
      <c r="G8" s="3" t="s">
        <v>542</v>
      </c>
      <c r="H8" s="3" t="s">
        <v>543</v>
      </c>
      <c r="I8" s="3" t="s">
        <v>434</v>
      </c>
      <c r="J8" s="3" t="s">
        <v>544</v>
      </c>
      <c r="K8" s="3" t="s">
        <v>545</v>
      </c>
      <c r="L8" s="3" t="s">
        <v>546</v>
      </c>
      <c r="M8" s="3" t="s">
        <v>435</v>
      </c>
      <c r="N8" s="3" t="s">
        <v>547</v>
      </c>
    </row>
    <row r="9" spans="1:14" x14ac:dyDescent="0.3">
      <c r="B9" s="1" t="s">
        <v>548</v>
      </c>
      <c r="C9" s="1" t="s">
        <v>733</v>
      </c>
      <c r="D9" s="1" t="s">
        <v>734</v>
      </c>
      <c r="E9" s="1">
        <v>2</v>
      </c>
      <c r="F9" s="4">
        <v>95460.32</v>
      </c>
      <c r="G9" s="4">
        <v>190920.64</v>
      </c>
    </row>
    <row r="10" spans="1:14" x14ac:dyDescent="0.3">
      <c r="H10" s="1" t="s">
        <v>735</v>
      </c>
      <c r="I10" s="1" t="s">
        <v>736</v>
      </c>
      <c r="J10" s="1" t="s">
        <v>737</v>
      </c>
      <c r="K10" s="4">
        <v>5014</v>
      </c>
      <c r="L10" s="1" t="s">
        <v>738</v>
      </c>
      <c r="M10" s="1">
        <v>1</v>
      </c>
    </row>
    <row r="11" spans="1:14" x14ac:dyDescent="0.3">
      <c r="H11" s="1" t="s">
        <v>567</v>
      </c>
      <c r="I11" s="1" t="s">
        <v>568</v>
      </c>
      <c r="J11" s="1" t="s">
        <v>569</v>
      </c>
      <c r="K11" s="4">
        <v>99</v>
      </c>
      <c r="L11" s="1" t="s">
        <v>570</v>
      </c>
      <c r="M11" s="1">
        <v>1</v>
      </c>
    </row>
    <row r="12" spans="1:14" x14ac:dyDescent="0.3">
      <c r="H12" s="1" t="s">
        <v>571</v>
      </c>
      <c r="I12" s="1" t="s">
        <v>739</v>
      </c>
      <c r="J12" s="1" t="s">
        <v>740</v>
      </c>
      <c r="K12" s="4">
        <v>580</v>
      </c>
      <c r="L12" s="1" t="s">
        <v>741</v>
      </c>
      <c r="M12" s="1">
        <v>1</v>
      </c>
    </row>
    <row r="13" spans="1:14" x14ac:dyDescent="0.3">
      <c r="H13" s="1" t="s">
        <v>575</v>
      </c>
      <c r="I13" s="1" t="s">
        <v>742</v>
      </c>
      <c r="J13" s="1" t="s">
        <v>743</v>
      </c>
      <c r="K13" s="4">
        <v>8199</v>
      </c>
      <c r="L13" s="1" t="s">
        <v>744</v>
      </c>
      <c r="M13" s="1">
        <v>1</v>
      </c>
    </row>
    <row r="14" spans="1:14" x14ac:dyDescent="0.3">
      <c r="H14" s="1" t="s">
        <v>745</v>
      </c>
      <c r="I14" s="1" t="s">
        <v>746</v>
      </c>
      <c r="J14" s="1" t="s">
        <v>743</v>
      </c>
      <c r="K14" s="4">
        <v>8199</v>
      </c>
      <c r="L14" s="1" t="s">
        <v>747</v>
      </c>
      <c r="M14" s="1">
        <v>1</v>
      </c>
    </row>
    <row r="15" spans="1:14" x14ac:dyDescent="0.3">
      <c r="H15" s="1" t="s">
        <v>748</v>
      </c>
      <c r="I15" s="1" t="s">
        <v>749</v>
      </c>
      <c r="J15" s="1" t="s">
        <v>750</v>
      </c>
      <c r="K15" s="4">
        <v>0</v>
      </c>
      <c r="L15" s="1" t="s">
        <v>751</v>
      </c>
      <c r="M15" s="1">
        <v>1</v>
      </c>
    </row>
    <row r="16" spans="1:14" x14ac:dyDescent="0.3">
      <c r="H16" s="1" t="s">
        <v>579</v>
      </c>
      <c r="I16" s="1" t="s">
        <v>752</v>
      </c>
      <c r="J16" s="1" t="s">
        <v>753</v>
      </c>
      <c r="K16" s="4">
        <v>217.45</v>
      </c>
      <c r="L16" s="1" t="s">
        <v>754</v>
      </c>
      <c r="M16" s="1">
        <v>1</v>
      </c>
    </row>
    <row r="17" spans="8:13" x14ac:dyDescent="0.3">
      <c r="H17" s="1" t="s">
        <v>583</v>
      </c>
      <c r="I17" s="1" t="s">
        <v>755</v>
      </c>
      <c r="J17" s="1" t="s">
        <v>585</v>
      </c>
      <c r="K17" s="4">
        <v>0</v>
      </c>
      <c r="L17" s="1" t="s">
        <v>756</v>
      </c>
      <c r="M17" s="1">
        <v>1</v>
      </c>
    </row>
    <row r="18" spans="8:13" x14ac:dyDescent="0.3">
      <c r="H18" s="1" t="s">
        <v>587</v>
      </c>
      <c r="I18" s="1" t="s">
        <v>588</v>
      </c>
      <c r="J18" s="1" t="s">
        <v>589</v>
      </c>
      <c r="K18" s="4">
        <v>0</v>
      </c>
      <c r="L18" s="1" t="s">
        <v>590</v>
      </c>
      <c r="M18" s="1">
        <v>1</v>
      </c>
    </row>
    <row r="19" spans="8:13" x14ac:dyDescent="0.3">
      <c r="H19" s="1" t="s">
        <v>591</v>
      </c>
      <c r="I19" s="1" t="s">
        <v>757</v>
      </c>
      <c r="J19" s="1" t="s">
        <v>758</v>
      </c>
      <c r="K19" s="4">
        <v>36576</v>
      </c>
      <c r="L19" s="1" t="s">
        <v>759</v>
      </c>
      <c r="M19" s="1">
        <v>32</v>
      </c>
    </row>
    <row r="20" spans="8:13" x14ac:dyDescent="0.3">
      <c r="H20" s="1" t="s">
        <v>595</v>
      </c>
      <c r="I20" s="1" t="s">
        <v>760</v>
      </c>
      <c r="J20" s="1" t="s">
        <v>761</v>
      </c>
      <c r="K20" s="4">
        <v>0</v>
      </c>
      <c r="L20" s="1" t="s">
        <v>762</v>
      </c>
      <c r="M20" s="1">
        <v>1</v>
      </c>
    </row>
    <row r="21" spans="8:13" x14ac:dyDescent="0.3">
      <c r="H21" s="1" t="s">
        <v>599</v>
      </c>
      <c r="I21" s="1" t="s">
        <v>763</v>
      </c>
      <c r="J21" s="1" t="s">
        <v>764</v>
      </c>
      <c r="K21" s="4">
        <v>3349</v>
      </c>
      <c r="L21" s="1" t="s">
        <v>765</v>
      </c>
      <c r="M21" s="1">
        <v>1</v>
      </c>
    </row>
    <row r="22" spans="8:13" x14ac:dyDescent="0.3">
      <c r="H22" s="1" t="s">
        <v>603</v>
      </c>
      <c r="I22" s="1" t="s">
        <v>766</v>
      </c>
      <c r="J22" s="1" t="s">
        <v>767</v>
      </c>
      <c r="K22" s="4">
        <v>10678.32</v>
      </c>
      <c r="L22" s="1" t="s">
        <v>768</v>
      </c>
      <c r="M22" s="1">
        <v>2</v>
      </c>
    </row>
    <row r="23" spans="8:13" x14ac:dyDescent="0.3">
      <c r="H23" s="1" t="s">
        <v>611</v>
      </c>
      <c r="I23" s="1" t="s">
        <v>769</v>
      </c>
      <c r="J23" s="1" t="s">
        <v>770</v>
      </c>
      <c r="K23" s="4">
        <v>0</v>
      </c>
      <c r="L23" s="1" t="s">
        <v>771</v>
      </c>
      <c r="M23" s="1">
        <v>1</v>
      </c>
    </row>
    <row r="24" spans="8:13" x14ac:dyDescent="0.3">
      <c r="H24" s="1" t="s">
        <v>615</v>
      </c>
      <c r="I24" s="1" t="s">
        <v>616</v>
      </c>
      <c r="J24" s="1" t="s">
        <v>617</v>
      </c>
      <c r="K24" s="4">
        <v>0</v>
      </c>
      <c r="L24" s="1" t="s">
        <v>618</v>
      </c>
      <c r="M24" s="1">
        <v>1</v>
      </c>
    </row>
    <row r="25" spans="8:13" x14ac:dyDescent="0.3">
      <c r="H25" s="1" t="s">
        <v>615</v>
      </c>
      <c r="I25" s="1" t="s">
        <v>772</v>
      </c>
      <c r="J25" s="1" t="s">
        <v>773</v>
      </c>
      <c r="K25" s="4">
        <v>0</v>
      </c>
      <c r="L25" s="1" t="s">
        <v>774</v>
      </c>
      <c r="M25" s="1">
        <v>1</v>
      </c>
    </row>
    <row r="26" spans="8:13" x14ac:dyDescent="0.3">
      <c r="H26" s="1" t="s">
        <v>619</v>
      </c>
      <c r="I26" s="1" t="s">
        <v>775</v>
      </c>
      <c r="J26" s="1" t="s">
        <v>776</v>
      </c>
      <c r="K26" s="4">
        <v>299</v>
      </c>
      <c r="L26" s="1" t="s">
        <v>777</v>
      </c>
      <c r="M26" s="1">
        <v>1</v>
      </c>
    </row>
    <row r="27" spans="8:13" x14ac:dyDescent="0.3">
      <c r="H27" s="1" t="s">
        <v>623</v>
      </c>
      <c r="I27" s="1" t="s">
        <v>624</v>
      </c>
      <c r="J27" s="1" t="s">
        <v>625</v>
      </c>
      <c r="K27" s="4">
        <v>1429</v>
      </c>
      <c r="L27" s="1" t="s">
        <v>626</v>
      </c>
      <c r="M27" s="1">
        <v>1</v>
      </c>
    </row>
    <row r="28" spans="8:13" x14ac:dyDescent="0.3">
      <c r="H28" s="1" t="s">
        <v>627</v>
      </c>
      <c r="I28" s="1" t="s">
        <v>628</v>
      </c>
      <c r="J28" s="1" t="s">
        <v>629</v>
      </c>
      <c r="K28" s="4">
        <v>70</v>
      </c>
      <c r="L28" s="1" t="s">
        <v>630</v>
      </c>
      <c r="M28" s="1">
        <v>2</v>
      </c>
    </row>
    <row r="29" spans="8:13" x14ac:dyDescent="0.3">
      <c r="H29" s="1" t="s">
        <v>631</v>
      </c>
      <c r="I29" s="1" t="s">
        <v>778</v>
      </c>
      <c r="J29" s="1" t="s">
        <v>779</v>
      </c>
      <c r="K29" s="4">
        <v>808.03</v>
      </c>
      <c r="L29" s="1" t="s">
        <v>780</v>
      </c>
      <c r="M29" s="1">
        <v>1</v>
      </c>
    </row>
    <row r="30" spans="8:13" x14ac:dyDescent="0.3">
      <c r="H30" s="1" t="s">
        <v>635</v>
      </c>
      <c r="I30" s="1" t="s">
        <v>781</v>
      </c>
      <c r="J30" s="1" t="s">
        <v>782</v>
      </c>
      <c r="K30" s="4">
        <v>450</v>
      </c>
      <c r="L30" s="1" t="s">
        <v>783</v>
      </c>
      <c r="M30" s="1">
        <v>1</v>
      </c>
    </row>
    <row r="31" spans="8:13" x14ac:dyDescent="0.3">
      <c r="H31" s="1" t="s">
        <v>666</v>
      </c>
      <c r="I31" s="1" t="s">
        <v>667</v>
      </c>
      <c r="J31" s="1" t="s">
        <v>668</v>
      </c>
      <c r="K31" s="4">
        <v>0</v>
      </c>
      <c r="L31" s="1" t="s">
        <v>669</v>
      </c>
      <c r="M31" s="1">
        <v>1</v>
      </c>
    </row>
    <row r="32" spans="8:13" x14ac:dyDescent="0.3">
      <c r="H32" s="1" t="s">
        <v>666</v>
      </c>
      <c r="I32" s="1" t="s">
        <v>670</v>
      </c>
      <c r="J32" s="1" t="s">
        <v>671</v>
      </c>
      <c r="K32" s="4">
        <v>99</v>
      </c>
      <c r="L32" s="1" t="s">
        <v>672</v>
      </c>
      <c r="M32" s="1">
        <v>1</v>
      </c>
    </row>
    <row r="33" spans="8:13" x14ac:dyDescent="0.3">
      <c r="H33" s="1" t="s">
        <v>666</v>
      </c>
      <c r="I33" s="1" t="s">
        <v>673</v>
      </c>
      <c r="J33" s="1" t="s">
        <v>674</v>
      </c>
      <c r="K33" s="4">
        <v>1288</v>
      </c>
      <c r="L33" s="1" t="s">
        <v>675</v>
      </c>
      <c r="M33" s="1">
        <v>1</v>
      </c>
    </row>
    <row r="34" spans="8:13" x14ac:dyDescent="0.3">
      <c r="H34" s="1" t="s">
        <v>639</v>
      </c>
      <c r="I34" s="1" t="s">
        <v>784</v>
      </c>
      <c r="J34" s="1" t="s">
        <v>785</v>
      </c>
      <c r="K34" s="4">
        <v>3224</v>
      </c>
      <c r="L34" s="1" t="s">
        <v>786</v>
      </c>
      <c r="M34" s="1">
        <v>1</v>
      </c>
    </row>
    <row r="35" spans="8:13" x14ac:dyDescent="0.3">
      <c r="H35" s="1" t="s">
        <v>643</v>
      </c>
      <c r="I35" s="1" t="s">
        <v>787</v>
      </c>
      <c r="J35" s="1" t="s">
        <v>788</v>
      </c>
      <c r="K35" s="4">
        <v>0</v>
      </c>
      <c r="L35" s="1" t="s">
        <v>789</v>
      </c>
      <c r="M35" s="1">
        <v>1</v>
      </c>
    </row>
    <row r="36" spans="8:13" x14ac:dyDescent="0.3">
      <c r="H36" s="1" t="s">
        <v>643</v>
      </c>
      <c r="I36" s="1" t="s">
        <v>790</v>
      </c>
      <c r="J36" s="1" t="s">
        <v>791</v>
      </c>
      <c r="K36" s="4">
        <v>8712</v>
      </c>
      <c r="L36" s="1" t="s">
        <v>792</v>
      </c>
      <c r="M36" s="1">
        <v>2</v>
      </c>
    </row>
    <row r="37" spans="8:13" x14ac:dyDescent="0.3">
      <c r="H37" s="1" t="s">
        <v>650</v>
      </c>
      <c r="I37" s="1" t="s">
        <v>793</v>
      </c>
      <c r="J37" s="1" t="s">
        <v>794</v>
      </c>
      <c r="K37" s="4">
        <v>49</v>
      </c>
      <c r="L37" s="1" t="s">
        <v>795</v>
      </c>
      <c r="M37" s="1">
        <v>1</v>
      </c>
    </row>
    <row r="38" spans="8:13" x14ac:dyDescent="0.3">
      <c r="H38" s="1" t="s">
        <v>654</v>
      </c>
      <c r="I38" s="1" t="s">
        <v>796</v>
      </c>
      <c r="J38" s="1" t="s">
        <v>797</v>
      </c>
      <c r="K38" s="4">
        <v>2700</v>
      </c>
      <c r="L38" s="1" t="s">
        <v>798</v>
      </c>
      <c r="M38" s="1">
        <v>1</v>
      </c>
    </row>
    <row r="39" spans="8:13" x14ac:dyDescent="0.3">
      <c r="H39" s="1" t="s">
        <v>676</v>
      </c>
      <c r="I39" s="1" t="s">
        <v>677</v>
      </c>
      <c r="J39" s="1" t="s">
        <v>678</v>
      </c>
      <c r="K39" s="4">
        <v>0</v>
      </c>
      <c r="L39" s="1" t="s">
        <v>679</v>
      </c>
      <c r="M39" s="1">
        <v>1</v>
      </c>
    </row>
    <row r="40" spans="8:13" x14ac:dyDescent="0.3">
      <c r="H40" s="1" t="s">
        <v>680</v>
      </c>
      <c r="I40" s="1" t="s">
        <v>799</v>
      </c>
      <c r="J40" s="1" t="s">
        <v>800</v>
      </c>
      <c r="K40" s="4">
        <v>0</v>
      </c>
      <c r="L40" s="1" t="s">
        <v>801</v>
      </c>
      <c r="M40" s="1">
        <v>1</v>
      </c>
    </row>
    <row r="41" spans="8:13" x14ac:dyDescent="0.3">
      <c r="H41" s="1" t="s">
        <v>684</v>
      </c>
      <c r="I41" s="1" t="s">
        <v>685</v>
      </c>
      <c r="J41" s="1" t="s">
        <v>686</v>
      </c>
      <c r="K41" s="4">
        <v>0</v>
      </c>
      <c r="L41" s="1" t="s">
        <v>687</v>
      </c>
      <c r="M41" s="1">
        <v>1</v>
      </c>
    </row>
    <row r="42" spans="8:13" x14ac:dyDescent="0.3">
      <c r="H42" s="1" t="s">
        <v>708</v>
      </c>
      <c r="I42" s="1" t="s">
        <v>709</v>
      </c>
      <c r="J42" s="1" t="s">
        <v>710</v>
      </c>
      <c r="K42" s="4">
        <v>0</v>
      </c>
      <c r="L42" s="1" t="s">
        <v>711</v>
      </c>
      <c r="M42" s="1">
        <v>1</v>
      </c>
    </row>
    <row r="43" spans="8:13" x14ac:dyDescent="0.3">
      <c r="H43" s="1" t="s">
        <v>658</v>
      </c>
      <c r="I43" s="1" t="s">
        <v>659</v>
      </c>
      <c r="J43" s="1" t="s">
        <v>660</v>
      </c>
      <c r="K43" s="4">
        <v>0</v>
      </c>
      <c r="L43" s="1" t="s">
        <v>661</v>
      </c>
      <c r="M43" s="1">
        <v>1</v>
      </c>
    </row>
    <row r="44" spans="8:13" x14ac:dyDescent="0.3">
      <c r="H44" s="1" t="s">
        <v>662</v>
      </c>
      <c r="I44" s="1" t="s">
        <v>663</v>
      </c>
      <c r="J44" s="1" t="s">
        <v>664</v>
      </c>
      <c r="K44" s="4">
        <v>0</v>
      </c>
      <c r="L44" s="1" t="s">
        <v>665</v>
      </c>
      <c r="M44" s="1">
        <v>1</v>
      </c>
    </row>
    <row r="45" spans="8:13" x14ac:dyDescent="0.3">
      <c r="H45" s="1" t="s">
        <v>688</v>
      </c>
      <c r="I45" s="1" t="s">
        <v>689</v>
      </c>
      <c r="J45" s="1" t="s">
        <v>690</v>
      </c>
      <c r="K45" s="4">
        <v>187.51</v>
      </c>
      <c r="L45" s="1" t="s">
        <v>691</v>
      </c>
      <c r="M45" s="1">
        <v>1</v>
      </c>
    </row>
    <row r="46" spans="8:13" x14ac:dyDescent="0.3">
      <c r="H46" s="1" t="s">
        <v>692</v>
      </c>
      <c r="I46" s="1" t="s">
        <v>693</v>
      </c>
      <c r="J46" s="1" t="s">
        <v>694</v>
      </c>
      <c r="K46" s="4">
        <v>0</v>
      </c>
      <c r="L46" s="1" t="s">
        <v>695</v>
      </c>
      <c r="M46" s="1">
        <v>1</v>
      </c>
    </row>
    <row r="47" spans="8:13" x14ac:dyDescent="0.3">
      <c r="H47" s="1" t="s">
        <v>696</v>
      </c>
      <c r="I47" s="1" t="s">
        <v>802</v>
      </c>
      <c r="J47" s="1" t="s">
        <v>803</v>
      </c>
      <c r="K47" s="4">
        <v>49</v>
      </c>
      <c r="L47" s="1" t="s">
        <v>804</v>
      </c>
      <c r="M47" s="1">
        <v>1</v>
      </c>
    </row>
    <row r="48" spans="8:13" x14ac:dyDescent="0.3">
      <c r="H48" s="1" t="s">
        <v>700</v>
      </c>
      <c r="I48" s="1" t="s">
        <v>805</v>
      </c>
      <c r="J48" s="1" t="s">
        <v>806</v>
      </c>
      <c r="K48" s="4">
        <v>99</v>
      </c>
      <c r="L48" s="1" t="s">
        <v>807</v>
      </c>
      <c r="M48" s="1">
        <v>1</v>
      </c>
    </row>
    <row r="49" spans="2:13" x14ac:dyDescent="0.3">
      <c r="H49" s="1" t="s">
        <v>704</v>
      </c>
      <c r="I49" s="1" t="s">
        <v>808</v>
      </c>
      <c r="J49" s="1" t="s">
        <v>809</v>
      </c>
      <c r="K49" s="4">
        <v>0</v>
      </c>
      <c r="L49" s="1" t="s">
        <v>810</v>
      </c>
      <c r="M49" s="1">
        <v>1</v>
      </c>
    </row>
    <row r="50" spans="2:13" x14ac:dyDescent="0.3">
      <c r="H50" s="1" t="s">
        <v>712</v>
      </c>
      <c r="I50" s="1" t="s">
        <v>713</v>
      </c>
      <c r="J50" s="1" t="s">
        <v>714</v>
      </c>
      <c r="K50" s="4">
        <v>0</v>
      </c>
      <c r="L50" s="1" t="s">
        <v>715</v>
      </c>
      <c r="M50" s="1">
        <v>1</v>
      </c>
    </row>
    <row r="51" spans="2:13" x14ac:dyDescent="0.3">
      <c r="H51" s="1" t="s">
        <v>811</v>
      </c>
      <c r="I51" s="1" t="s">
        <v>812</v>
      </c>
      <c r="J51" s="1" t="s">
        <v>718</v>
      </c>
      <c r="K51" s="4">
        <v>3085.01</v>
      </c>
      <c r="L51" s="1" t="s">
        <v>813</v>
      </c>
      <c r="M51" s="1">
        <v>1</v>
      </c>
    </row>
    <row r="52" spans="2:13" x14ac:dyDescent="0.3">
      <c r="B52" s="1" t="s">
        <v>548</v>
      </c>
      <c r="C52" s="1" t="s">
        <v>733</v>
      </c>
      <c r="D52" s="1" t="s">
        <v>814</v>
      </c>
      <c r="E52" s="1">
        <v>4</v>
      </c>
      <c r="F52" s="4">
        <v>88222.32</v>
      </c>
      <c r="G52" s="4">
        <v>352889.28</v>
      </c>
    </row>
    <row r="53" spans="2:13" x14ac:dyDescent="0.3">
      <c r="H53" s="1" t="s">
        <v>735</v>
      </c>
      <c r="I53" s="1" t="s">
        <v>736</v>
      </c>
      <c r="J53" s="1" t="s">
        <v>737</v>
      </c>
      <c r="K53" s="4">
        <v>5014</v>
      </c>
      <c r="L53" s="1" t="s">
        <v>738</v>
      </c>
      <c r="M53" s="1">
        <v>1</v>
      </c>
    </row>
    <row r="54" spans="2:13" x14ac:dyDescent="0.3">
      <c r="H54" s="1" t="s">
        <v>567</v>
      </c>
      <c r="I54" s="1" t="s">
        <v>568</v>
      </c>
      <c r="J54" s="1" t="s">
        <v>569</v>
      </c>
      <c r="K54" s="4">
        <v>99</v>
      </c>
      <c r="L54" s="1" t="s">
        <v>570</v>
      </c>
      <c r="M54" s="1">
        <v>1</v>
      </c>
    </row>
    <row r="55" spans="2:13" x14ac:dyDescent="0.3">
      <c r="H55" s="1" t="s">
        <v>571</v>
      </c>
      <c r="I55" s="1" t="s">
        <v>739</v>
      </c>
      <c r="J55" s="1" t="s">
        <v>740</v>
      </c>
      <c r="K55" s="4">
        <v>580</v>
      </c>
      <c r="L55" s="1" t="s">
        <v>741</v>
      </c>
      <c r="M55" s="1">
        <v>1</v>
      </c>
    </row>
    <row r="56" spans="2:13" x14ac:dyDescent="0.3">
      <c r="H56" s="1" t="s">
        <v>575</v>
      </c>
      <c r="I56" s="1" t="s">
        <v>742</v>
      </c>
      <c r="J56" s="1" t="s">
        <v>743</v>
      </c>
      <c r="K56" s="4">
        <v>8199</v>
      </c>
      <c r="L56" s="1" t="s">
        <v>744</v>
      </c>
      <c r="M56" s="1">
        <v>1</v>
      </c>
    </row>
    <row r="57" spans="2:13" x14ac:dyDescent="0.3">
      <c r="H57" s="1" t="s">
        <v>745</v>
      </c>
      <c r="I57" s="1" t="s">
        <v>746</v>
      </c>
      <c r="J57" s="1" t="s">
        <v>743</v>
      </c>
      <c r="K57" s="4">
        <v>8199</v>
      </c>
      <c r="L57" s="1" t="s">
        <v>747</v>
      </c>
      <c r="M57" s="1">
        <v>1</v>
      </c>
    </row>
    <row r="58" spans="2:13" x14ac:dyDescent="0.3">
      <c r="H58" s="1" t="s">
        <v>748</v>
      </c>
      <c r="I58" s="1" t="s">
        <v>749</v>
      </c>
      <c r="J58" s="1" t="s">
        <v>750</v>
      </c>
      <c r="K58" s="4">
        <v>0</v>
      </c>
      <c r="L58" s="1" t="s">
        <v>751</v>
      </c>
      <c r="M58" s="1">
        <v>1</v>
      </c>
    </row>
    <row r="59" spans="2:13" x14ac:dyDescent="0.3">
      <c r="H59" s="1" t="s">
        <v>579</v>
      </c>
      <c r="I59" s="1" t="s">
        <v>752</v>
      </c>
      <c r="J59" s="1" t="s">
        <v>753</v>
      </c>
      <c r="K59" s="4">
        <v>217.45</v>
      </c>
      <c r="L59" s="1" t="s">
        <v>754</v>
      </c>
      <c r="M59" s="1">
        <v>1</v>
      </c>
    </row>
    <row r="60" spans="2:13" x14ac:dyDescent="0.3">
      <c r="H60" s="1" t="s">
        <v>583</v>
      </c>
      <c r="I60" s="1" t="s">
        <v>755</v>
      </c>
      <c r="J60" s="1" t="s">
        <v>585</v>
      </c>
      <c r="K60" s="4">
        <v>0</v>
      </c>
      <c r="L60" s="1" t="s">
        <v>756</v>
      </c>
      <c r="M60" s="1">
        <v>1</v>
      </c>
    </row>
    <row r="61" spans="2:13" x14ac:dyDescent="0.3">
      <c r="H61" s="1" t="s">
        <v>587</v>
      </c>
      <c r="I61" s="1" t="s">
        <v>588</v>
      </c>
      <c r="J61" s="1" t="s">
        <v>589</v>
      </c>
      <c r="K61" s="4">
        <v>0</v>
      </c>
      <c r="L61" s="1" t="s">
        <v>590</v>
      </c>
      <c r="M61" s="1">
        <v>1</v>
      </c>
    </row>
    <row r="62" spans="2:13" x14ac:dyDescent="0.3">
      <c r="H62" s="1" t="s">
        <v>591</v>
      </c>
      <c r="I62" s="1" t="s">
        <v>757</v>
      </c>
      <c r="J62" s="1" t="s">
        <v>758</v>
      </c>
      <c r="K62" s="4">
        <v>36576</v>
      </c>
      <c r="L62" s="1" t="s">
        <v>759</v>
      </c>
      <c r="M62" s="1">
        <v>32</v>
      </c>
    </row>
    <row r="63" spans="2:13" x14ac:dyDescent="0.3">
      <c r="H63" s="1" t="s">
        <v>595</v>
      </c>
      <c r="I63" s="1" t="s">
        <v>760</v>
      </c>
      <c r="J63" s="1" t="s">
        <v>761</v>
      </c>
      <c r="K63" s="4">
        <v>0</v>
      </c>
      <c r="L63" s="1" t="s">
        <v>762</v>
      </c>
      <c r="M63" s="1">
        <v>1</v>
      </c>
    </row>
    <row r="64" spans="2:13" x14ac:dyDescent="0.3">
      <c r="H64" s="1" t="s">
        <v>599</v>
      </c>
      <c r="I64" s="1" t="s">
        <v>763</v>
      </c>
      <c r="J64" s="1" t="s">
        <v>764</v>
      </c>
      <c r="K64" s="4">
        <v>3349</v>
      </c>
      <c r="L64" s="1" t="s">
        <v>765</v>
      </c>
      <c r="M64" s="1">
        <v>1</v>
      </c>
    </row>
    <row r="65" spans="8:13" x14ac:dyDescent="0.3">
      <c r="H65" s="1" t="s">
        <v>603</v>
      </c>
      <c r="I65" s="1" t="s">
        <v>766</v>
      </c>
      <c r="J65" s="1" t="s">
        <v>767</v>
      </c>
      <c r="K65" s="4">
        <v>10678.32</v>
      </c>
      <c r="L65" s="1" t="s">
        <v>768</v>
      </c>
      <c r="M65" s="1">
        <v>2</v>
      </c>
    </row>
    <row r="66" spans="8:13" x14ac:dyDescent="0.3">
      <c r="H66" s="1" t="s">
        <v>611</v>
      </c>
      <c r="I66" s="1" t="s">
        <v>769</v>
      </c>
      <c r="J66" s="1" t="s">
        <v>770</v>
      </c>
      <c r="K66" s="4">
        <v>0</v>
      </c>
      <c r="L66" s="1" t="s">
        <v>771</v>
      </c>
      <c r="M66" s="1">
        <v>1</v>
      </c>
    </row>
    <row r="67" spans="8:13" x14ac:dyDescent="0.3">
      <c r="H67" s="1" t="s">
        <v>615</v>
      </c>
      <c r="I67" s="1" t="s">
        <v>616</v>
      </c>
      <c r="J67" s="1" t="s">
        <v>617</v>
      </c>
      <c r="K67" s="4">
        <v>0</v>
      </c>
      <c r="L67" s="1" t="s">
        <v>618</v>
      </c>
      <c r="M67" s="1">
        <v>1</v>
      </c>
    </row>
    <row r="68" spans="8:13" x14ac:dyDescent="0.3">
      <c r="H68" s="1" t="s">
        <v>615</v>
      </c>
      <c r="I68" s="1" t="s">
        <v>772</v>
      </c>
      <c r="J68" s="1" t="s">
        <v>773</v>
      </c>
      <c r="K68" s="4">
        <v>0</v>
      </c>
      <c r="L68" s="1" t="s">
        <v>774</v>
      </c>
      <c r="M68" s="1">
        <v>1</v>
      </c>
    </row>
    <row r="69" spans="8:13" x14ac:dyDescent="0.3">
      <c r="H69" s="1" t="s">
        <v>619</v>
      </c>
      <c r="I69" s="1" t="s">
        <v>775</v>
      </c>
      <c r="J69" s="1" t="s">
        <v>776</v>
      </c>
      <c r="K69" s="4">
        <v>299</v>
      </c>
      <c r="L69" s="1" t="s">
        <v>777</v>
      </c>
      <c r="M69" s="1">
        <v>1</v>
      </c>
    </row>
    <row r="70" spans="8:13" x14ac:dyDescent="0.3">
      <c r="H70" s="1" t="s">
        <v>623</v>
      </c>
      <c r="I70" s="1" t="s">
        <v>624</v>
      </c>
      <c r="J70" s="1" t="s">
        <v>625</v>
      </c>
      <c r="K70" s="4">
        <v>1429</v>
      </c>
      <c r="L70" s="1" t="s">
        <v>626</v>
      </c>
      <c r="M70" s="1">
        <v>1</v>
      </c>
    </row>
    <row r="71" spans="8:13" x14ac:dyDescent="0.3">
      <c r="H71" s="1" t="s">
        <v>627</v>
      </c>
      <c r="I71" s="1" t="s">
        <v>628</v>
      </c>
      <c r="J71" s="1" t="s">
        <v>629</v>
      </c>
      <c r="K71" s="4">
        <v>70</v>
      </c>
      <c r="L71" s="1" t="s">
        <v>630</v>
      </c>
      <c r="M71" s="1">
        <v>2</v>
      </c>
    </row>
    <row r="72" spans="8:13" x14ac:dyDescent="0.3">
      <c r="H72" s="1" t="s">
        <v>631</v>
      </c>
      <c r="I72" s="1" t="s">
        <v>778</v>
      </c>
      <c r="J72" s="1" t="s">
        <v>779</v>
      </c>
      <c r="K72" s="4">
        <v>808.03</v>
      </c>
      <c r="L72" s="1" t="s">
        <v>780</v>
      </c>
      <c r="M72" s="1">
        <v>1</v>
      </c>
    </row>
    <row r="73" spans="8:13" x14ac:dyDescent="0.3">
      <c r="H73" s="1" t="s">
        <v>635</v>
      </c>
      <c r="I73" s="1" t="s">
        <v>781</v>
      </c>
      <c r="J73" s="1" t="s">
        <v>782</v>
      </c>
      <c r="K73" s="4">
        <v>450</v>
      </c>
      <c r="L73" s="1" t="s">
        <v>783</v>
      </c>
      <c r="M73" s="1">
        <v>1</v>
      </c>
    </row>
    <row r="74" spans="8:13" x14ac:dyDescent="0.3">
      <c r="H74" s="1" t="s">
        <v>666</v>
      </c>
      <c r="I74" s="1" t="s">
        <v>667</v>
      </c>
      <c r="J74" s="1" t="s">
        <v>668</v>
      </c>
      <c r="K74" s="4">
        <v>0</v>
      </c>
      <c r="L74" s="1" t="s">
        <v>669</v>
      </c>
      <c r="M74" s="1">
        <v>1</v>
      </c>
    </row>
    <row r="75" spans="8:13" x14ac:dyDescent="0.3">
      <c r="H75" s="1" t="s">
        <v>666</v>
      </c>
      <c r="I75" s="1" t="s">
        <v>670</v>
      </c>
      <c r="J75" s="1" t="s">
        <v>671</v>
      </c>
      <c r="K75" s="4">
        <v>99</v>
      </c>
      <c r="L75" s="1" t="s">
        <v>672</v>
      </c>
      <c r="M75" s="1">
        <v>1</v>
      </c>
    </row>
    <row r="76" spans="8:13" x14ac:dyDescent="0.3">
      <c r="H76" s="1" t="s">
        <v>666</v>
      </c>
      <c r="I76" s="1" t="s">
        <v>673</v>
      </c>
      <c r="J76" s="1" t="s">
        <v>674</v>
      </c>
      <c r="K76" s="4">
        <v>1288</v>
      </c>
      <c r="L76" s="1" t="s">
        <v>675</v>
      </c>
      <c r="M76" s="1">
        <v>1</v>
      </c>
    </row>
    <row r="77" spans="8:13" x14ac:dyDescent="0.3">
      <c r="H77" s="1" t="s">
        <v>639</v>
      </c>
      <c r="I77" s="1" t="s">
        <v>784</v>
      </c>
      <c r="J77" s="1" t="s">
        <v>785</v>
      </c>
      <c r="K77" s="4">
        <v>3224</v>
      </c>
      <c r="L77" s="1" t="s">
        <v>786</v>
      </c>
      <c r="M77" s="1">
        <v>1</v>
      </c>
    </row>
    <row r="78" spans="8:13" x14ac:dyDescent="0.3">
      <c r="H78" s="1" t="s">
        <v>643</v>
      </c>
      <c r="I78" s="1" t="s">
        <v>787</v>
      </c>
      <c r="J78" s="1" t="s">
        <v>788</v>
      </c>
      <c r="K78" s="4">
        <v>0</v>
      </c>
      <c r="L78" s="1" t="s">
        <v>789</v>
      </c>
      <c r="M78" s="1">
        <v>1</v>
      </c>
    </row>
    <row r="79" spans="8:13" x14ac:dyDescent="0.3">
      <c r="H79" s="1" t="s">
        <v>643</v>
      </c>
      <c r="I79" s="1" t="s">
        <v>815</v>
      </c>
      <c r="J79" s="1" t="s">
        <v>816</v>
      </c>
      <c r="K79" s="4">
        <v>1474</v>
      </c>
      <c r="L79" s="1" t="s">
        <v>817</v>
      </c>
      <c r="M79" s="1">
        <v>1</v>
      </c>
    </row>
    <row r="80" spans="8:13" x14ac:dyDescent="0.3">
      <c r="H80" s="1" t="s">
        <v>650</v>
      </c>
      <c r="I80" s="1" t="s">
        <v>793</v>
      </c>
      <c r="J80" s="1" t="s">
        <v>794</v>
      </c>
      <c r="K80" s="4">
        <v>49</v>
      </c>
      <c r="L80" s="1" t="s">
        <v>795</v>
      </c>
      <c r="M80" s="1">
        <v>1</v>
      </c>
    </row>
    <row r="81" spans="8:13" x14ac:dyDescent="0.3">
      <c r="H81" s="1" t="s">
        <v>654</v>
      </c>
      <c r="I81" s="1" t="s">
        <v>796</v>
      </c>
      <c r="J81" s="1" t="s">
        <v>797</v>
      </c>
      <c r="K81" s="4">
        <v>2700</v>
      </c>
      <c r="L81" s="1" t="s">
        <v>798</v>
      </c>
      <c r="M81" s="1">
        <v>1</v>
      </c>
    </row>
    <row r="82" spans="8:13" x14ac:dyDescent="0.3">
      <c r="H82" s="1" t="s">
        <v>676</v>
      </c>
      <c r="I82" s="1" t="s">
        <v>677</v>
      </c>
      <c r="J82" s="1" t="s">
        <v>678</v>
      </c>
      <c r="K82" s="4">
        <v>0</v>
      </c>
      <c r="L82" s="1" t="s">
        <v>679</v>
      </c>
      <c r="M82" s="1">
        <v>1</v>
      </c>
    </row>
    <row r="83" spans="8:13" x14ac:dyDescent="0.3">
      <c r="H83" s="1" t="s">
        <v>680</v>
      </c>
      <c r="I83" s="1" t="s">
        <v>799</v>
      </c>
      <c r="J83" s="1" t="s">
        <v>800</v>
      </c>
      <c r="K83" s="4">
        <v>0</v>
      </c>
      <c r="L83" s="1" t="s">
        <v>801</v>
      </c>
      <c r="M83" s="1">
        <v>1</v>
      </c>
    </row>
    <row r="84" spans="8:13" x14ac:dyDescent="0.3">
      <c r="H84" s="1" t="s">
        <v>684</v>
      </c>
      <c r="I84" s="1" t="s">
        <v>685</v>
      </c>
      <c r="J84" s="1" t="s">
        <v>686</v>
      </c>
      <c r="K84" s="4">
        <v>0</v>
      </c>
      <c r="L84" s="1" t="s">
        <v>687</v>
      </c>
      <c r="M84" s="1">
        <v>1</v>
      </c>
    </row>
    <row r="85" spans="8:13" x14ac:dyDescent="0.3">
      <c r="H85" s="1" t="s">
        <v>708</v>
      </c>
      <c r="I85" s="1" t="s">
        <v>709</v>
      </c>
      <c r="J85" s="1" t="s">
        <v>710</v>
      </c>
      <c r="K85" s="4">
        <v>0</v>
      </c>
      <c r="L85" s="1" t="s">
        <v>711</v>
      </c>
      <c r="M85" s="1">
        <v>1</v>
      </c>
    </row>
    <row r="86" spans="8:13" x14ac:dyDescent="0.3">
      <c r="H86" s="1" t="s">
        <v>658</v>
      </c>
      <c r="I86" s="1" t="s">
        <v>659</v>
      </c>
      <c r="J86" s="1" t="s">
        <v>660</v>
      </c>
      <c r="K86" s="4">
        <v>0</v>
      </c>
      <c r="L86" s="1" t="s">
        <v>661</v>
      </c>
      <c r="M86" s="1">
        <v>1</v>
      </c>
    </row>
    <row r="87" spans="8:13" x14ac:dyDescent="0.3">
      <c r="H87" s="1" t="s">
        <v>662</v>
      </c>
      <c r="I87" s="1" t="s">
        <v>663</v>
      </c>
      <c r="J87" s="1" t="s">
        <v>664</v>
      </c>
      <c r="K87" s="4">
        <v>0</v>
      </c>
      <c r="L87" s="1" t="s">
        <v>665</v>
      </c>
      <c r="M87" s="1">
        <v>1</v>
      </c>
    </row>
    <row r="88" spans="8:13" x14ac:dyDescent="0.3">
      <c r="H88" s="1" t="s">
        <v>688</v>
      </c>
      <c r="I88" s="1" t="s">
        <v>689</v>
      </c>
      <c r="J88" s="1" t="s">
        <v>690</v>
      </c>
      <c r="K88" s="4">
        <v>187.51</v>
      </c>
      <c r="L88" s="1" t="s">
        <v>691</v>
      </c>
      <c r="M88" s="1">
        <v>1</v>
      </c>
    </row>
    <row r="89" spans="8:13" x14ac:dyDescent="0.3">
      <c r="H89" s="1" t="s">
        <v>692</v>
      </c>
      <c r="I89" s="1" t="s">
        <v>693</v>
      </c>
      <c r="J89" s="1" t="s">
        <v>694</v>
      </c>
      <c r="K89" s="4">
        <v>0</v>
      </c>
      <c r="L89" s="1" t="s">
        <v>695</v>
      </c>
      <c r="M89" s="1">
        <v>1</v>
      </c>
    </row>
    <row r="90" spans="8:13" x14ac:dyDescent="0.3">
      <c r="H90" s="1" t="s">
        <v>696</v>
      </c>
      <c r="I90" s="1" t="s">
        <v>802</v>
      </c>
      <c r="J90" s="1" t="s">
        <v>803</v>
      </c>
      <c r="K90" s="4">
        <v>49</v>
      </c>
      <c r="L90" s="1" t="s">
        <v>804</v>
      </c>
      <c r="M90" s="1">
        <v>1</v>
      </c>
    </row>
    <row r="91" spans="8:13" x14ac:dyDescent="0.3">
      <c r="H91" s="1" t="s">
        <v>700</v>
      </c>
      <c r="I91" s="1" t="s">
        <v>805</v>
      </c>
      <c r="J91" s="1" t="s">
        <v>806</v>
      </c>
      <c r="K91" s="4">
        <v>99</v>
      </c>
      <c r="L91" s="1" t="s">
        <v>807</v>
      </c>
      <c r="M91" s="1">
        <v>1</v>
      </c>
    </row>
    <row r="92" spans="8:13" x14ac:dyDescent="0.3">
      <c r="H92" s="1" t="s">
        <v>704</v>
      </c>
      <c r="I92" s="1" t="s">
        <v>808</v>
      </c>
      <c r="J92" s="1" t="s">
        <v>809</v>
      </c>
      <c r="K92" s="4">
        <v>0</v>
      </c>
      <c r="L92" s="1" t="s">
        <v>810</v>
      </c>
      <c r="M92" s="1">
        <v>1</v>
      </c>
    </row>
    <row r="93" spans="8:13" x14ac:dyDescent="0.3">
      <c r="H93" s="1" t="s">
        <v>712</v>
      </c>
      <c r="I93" s="1" t="s">
        <v>713</v>
      </c>
      <c r="J93" s="1" t="s">
        <v>714</v>
      </c>
      <c r="K93" s="4">
        <v>0</v>
      </c>
      <c r="L93" s="1" t="s">
        <v>715</v>
      </c>
      <c r="M93" s="1">
        <v>1</v>
      </c>
    </row>
    <row r="94" spans="8:13" x14ac:dyDescent="0.3">
      <c r="H94" s="1" t="s">
        <v>811</v>
      </c>
      <c r="I94" s="1" t="s">
        <v>812</v>
      </c>
      <c r="J94" s="1" t="s">
        <v>718</v>
      </c>
      <c r="K94" s="4">
        <v>3085.01</v>
      </c>
      <c r="L94" s="1" t="s">
        <v>813</v>
      </c>
      <c r="M94" s="1">
        <v>1</v>
      </c>
    </row>
    <row r="97" spans="1:1" x14ac:dyDescent="0.3">
      <c r="A97" s="1" t="s">
        <v>728</v>
      </c>
    </row>
  </sheetData>
  <pageMargins left="0.75" right="0.75" top="0.75" bottom="0.5" header="0.5" footer="0.7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EE865589E31842B4BEFFD6263ECB93" ma:contentTypeVersion="16" ma:contentTypeDescription="Create a new document." ma:contentTypeScope="" ma:versionID="2febd06703fb83b3a45afd88fd636c7f">
  <xsd:schema xmlns:xsd="http://www.w3.org/2001/XMLSchema" xmlns:xs="http://www.w3.org/2001/XMLSchema" xmlns:p="http://schemas.microsoft.com/office/2006/metadata/properties" xmlns:ns1="http://schemas.microsoft.com/sharepoint/v3" xmlns:ns2="fa3e9ded-7345-46bb-8d4a-2162773d1a26" xmlns:ns3="adea1bd8-78b7-4105-85bd-f4f6d9c5a717" targetNamespace="http://schemas.microsoft.com/office/2006/metadata/properties" ma:root="true" ma:fieldsID="5bca61a65a4c3ff6a4271bfca60fab8e" ns1:_="" ns2:_="" ns3:_="">
    <xsd:import namespace="http://schemas.microsoft.com/sharepoint/v3"/>
    <xsd:import namespace="fa3e9ded-7345-46bb-8d4a-2162773d1a26"/>
    <xsd:import namespace="adea1bd8-78b7-4105-85bd-f4f6d9c5a7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andotherSharePoi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3e9ded-7345-46bb-8d4a-2162773d1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andotherSharePoint" ma:index="21" nillable="true" ma:displayName="Notes and other SharePoint" ma:format="Dropdown" ma:internalName="NotesandotherSharePoi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ea1bd8-78b7-4105-85bd-f4f6d9c5a7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c841d9-3cbc-4447-9b89-18d3cbeb3a3b}" ma:internalName="TaxCatchAll" ma:showField="CatchAllData" ma:web="adea1bd8-78b7-4105-85bd-f4f6d9c5a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dea1bd8-78b7-4105-85bd-f4f6d9c5a717" xsi:nil="true"/>
    <lcf76f155ced4ddcb4097134ff3c332f xmlns="fa3e9ded-7345-46bb-8d4a-2162773d1a26">
      <Terms xmlns="http://schemas.microsoft.com/office/infopath/2007/PartnerControls"/>
    </lcf76f155ced4ddcb4097134ff3c332f>
    <SharedWithUsers xmlns="adea1bd8-78b7-4105-85bd-f4f6d9c5a717">
      <UserInfo>
        <DisplayName/>
        <AccountId xsi:nil="true"/>
        <AccountType/>
      </UserInfo>
    </SharedWithUsers>
    <NotesandotherSharePoint xmlns="fa3e9ded-7345-46bb-8d4a-2162773d1a26" xsi:nil="true"/>
  </documentManagement>
</p:properties>
</file>

<file path=customXml/itemProps1.xml><?xml version="1.0" encoding="utf-8"?>
<ds:datastoreItem xmlns:ds="http://schemas.openxmlformats.org/officeDocument/2006/customXml" ds:itemID="{F3947A51-1C52-4D3D-9178-4F3CA76C90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3e9ded-7345-46bb-8d4a-2162773d1a26"/>
    <ds:schemaRef ds:uri="adea1bd8-78b7-4105-85bd-f4f6d9c5a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B26669-694E-4D55-8CAE-1454A0F47A4A}">
  <ds:schemaRefs>
    <ds:schemaRef ds:uri="http://schemas.microsoft.com/sharepoint/v3/contenttype/forms"/>
  </ds:schemaRefs>
</ds:datastoreItem>
</file>

<file path=customXml/itemProps3.xml><?xml version="1.0" encoding="utf-8"?>
<ds:datastoreItem xmlns:ds="http://schemas.openxmlformats.org/officeDocument/2006/customXml" ds:itemID="{27F69BA7-F8DC-489D-B025-797E1384EAF8}">
  <ds:schemaRefs>
    <ds:schemaRef ds:uri="http://schemas.microsoft.com/office/2006/metadata/properties"/>
    <ds:schemaRef ds:uri="http://schemas.microsoft.com/office/infopath/2007/PartnerControls"/>
    <ds:schemaRef ds:uri="http://schemas.microsoft.com/sharepoint/v3"/>
    <ds:schemaRef ds:uri="adea1bd8-78b7-4105-85bd-f4f6d9c5a717"/>
    <ds:schemaRef ds:uri="fa3e9ded-7345-46bb-8d4a-2162773d1a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P&amp;L</vt:lpstr>
      <vt:lpstr>GOAL Export</vt:lpstr>
      <vt:lpstr>Version</vt:lpstr>
      <vt:lpstr>L11 BOM Ntwk</vt:lpstr>
      <vt:lpstr>Rack-Elevations</vt:lpstr>
      <vt:lpstr>Rack BOM</vt:lpstr>
      <vt:lpstr>PnL SN6600-LD-0831 </vt:lpstr>
      <vt:lpstr>Services Summary</vt:lpstr>
      <vt:lpstr>DW2000P_1</vt:lpstr>
      <vt:lpstr>Compute_Management</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Yen_Mei</dc:creator>
  <cp:keywords/>
  <dc:description/>
  <cp:lastModifiedBy>Abuzaid, Abdullah</cp:lastModifiedBy>
  <cp:revision/>
  <dcterms:created xsi:type="dcterms:W3CDTF">2024-12-31T19:59:33Z</dcterms:created>
  <dcterms:modified xsi:type="dcterms:W3CDTF">2026-09-18T18:38:35Z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ies>
</file>