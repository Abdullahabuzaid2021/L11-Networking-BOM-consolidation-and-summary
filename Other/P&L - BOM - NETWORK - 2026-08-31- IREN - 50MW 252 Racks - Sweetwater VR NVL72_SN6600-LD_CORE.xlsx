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
    </mc:Choice>
  </mc:AlternateContent>
  <xr:revisionPtr revIDLastSave="6" documentId="8_{6E508D24-7749-47EE-B880-92AFFDBE73FE}" xr6:coauthVersionLast="47" xr6:coauthVersionMax="47" xr10:uidLastSave="{D989D530-55ED-4EC9-9C11-F2FA826C46B2}"/>
  <bookViews>
    <workbookView xWindow="-38520" yWindow="-2385" windowWidth="38640" windowHeight="21120" tabRatio="762" firstSheet="3" activeTab="6" xr2:uid="{7B32C1FE-A573-4662-B1BF-9EBE43181AD9}"/>
  </bookViews>
  <sheets>
    <sheet name="P&amp;L" sheetId="58" state="hidden" r:id="rId1"/>
    <sheet name="GOAL Export" sheetId="57" state="hidden" r:id="rId2"/>
    <sheet name="Version" sheetId="17" r:id="rId3"/>
    <sheet name="L11 BOM Ntwk" sheetId="69" r:id="rId4"/>
    <sheet name="Rack Elevations" sheetId="73" r:id="rId5"/>
    <sheet name="Rack BOM" sheetId="74" r:id="rId6"/>
    <sheet name="PnL SN6600-LD" sheetId="75" r:id="rId7"/>
    <sheet name="Services Summary" sheetId="28" state="hidden" r:id="rId8"/>
    <sheet name="DW2000P_1" sheetId="11" state="hidden" r:id="rId9"/>
    <sheet name="Compute_Management" sheetId="12" state="hidden" r:id="rId10"/>
  </sheets>
  <externalReferences>
    <externalReference r:id="rId11"/>
    <externalReference r:id="rId12"/>
    <externalReference r:id="rId13"/>
    <externalReference r:id="rId14"/>
    <externalReference r:id="rId15"/>
    <externalReference r:id="rId16"/>
    <externalReference r:id="rId17"/>
  </externalReferences>
  <definedNames>
    <definedName name="_56F9DC9755BA473782653E2940F9FormId">"mhlclKKDgE6fjFqRvldS3VTyrQc3qIJOpCoYkY-9sxNUQkxLTjBLT1NSUzc0VzNEV00zSkhQSktLTS4u"</definedName>
    <definedName name="_56F9DC9755BA473782653E2940F9ResponseSheet">"Form1"</definedName>
    <definedName name="_56F9DC9755BA473782653E2940F9SourceDocId">"{8a994947-8c73-49f0-af16-597f5a835ce5}"</definedName>
    <definedName name="_Fill" localSheetId="6" hidden="1">#REF!</definedName>
    <definedName name="_Fill" localSheetId="5" hidden="1">#REF!</definedName>
    <definedName name="_Fill" hidden="1">#REF!</definedName>
    <definedName name="_Key1" localSheetId="6" hidden="1">#REF!</definedName>
    <definedName name="_Key1" localSheetId="5" hidden="1">#REF!</definedName>
    <definedName name="_Key1" hidden="1">#REF!</definedName>
    <definedName name="_Key2" localSheetId="6" hidden="1">#REF!</definedName>
    <definedName name="_Key2" localSheetId="5" hidden="1">#REF!</definedName>
    <definedName name="_Key2" hidden="1">#REF!</definedName>
    <definedName name="_Order1" hidden="1">255</definedName>
    <definedName name="_Order2" hidden="1">0</definedName>
    <definedName name="_Sort" localSheetId="6" hidden="1">#REF!</definedName>
    <definedName name="_Sort" localSheetId="5" hidden="1">#REF!</definedName>
    <definedName name="_Sort" hidden="1">#REF!</definedName>
    <definedName name="anscount" hidden="1">2</definedName>
    <definedName name="AssetCount">#REF!</definedName>
    <definedName name="BILL_TO_ADDRESS" localSheetId="6">#REF!</definedName>
    <definedName name="BILL_TO_ADDRESS" localSheetId="5">#REF!</definedName>
    <definedName name="BILL_TO_ADDRESS">#REF!</definedName>
    <definedName name="BILL_TO_CONTACT" localSheetId="6">#REF!</definedName>
    <definedName name="BILL_TO_CONTACT" localSheetId="5">#REF!</definedName>
    <definedName name="BILL_TO_CONTACT">#REF!</definedName>
    <definedName name="BILL_TO_LABEL" localSheetId="6">#REF!</definedName>
    <definedName name="BILL_TO_LABEL" localSheetId="5">#REF!</definedName>
    <definedName name="BILL_TO_LABEL">#REF!</definedName>
    <definedName name="BILL_TO_NAME" localSheetId="6">#REF!</definedName>
    <definedName name="BILL_TO_NAME" localSheetId="5">#REF!</definedName>
    <definedName name="BILL_TO_NAME">#REF!</definedName>
    <definedName name="BILL_TO_PHONE" localSheetId="6">#REF!</definedName>
    <definedName name="BILL_TO_PHONE" localSheetId="5">#REF!</definedName>
    <definedName name="BILL_TO_PHONE">#REF!</definedName>
    <definedName name="BOM_All_Parts" localSheetId="6">#REF!</definedName>
    <definedName name="BOM_All_Parts" localSheetId="5">#REF!</definedName>
    <definedName name="BOM_All_Parts">#REF!</definedName>
    <definedName name="BOM_Cables_CAT6" localSheetId="6">#REF!</definedName>
    <definedName name="BOM_Cables_CAT6" localSheetId="5">#REF!</definedName>
    <definedName name="BOM_Cables_CAT6">#REF!</definedName>
    <definedName name="BOM_Cables_DAC_O112" localSheetId="6">#REF!</definedName>
    <definedName name="BOM_Cables_DAC_O112" localSheetId="5">#REF!</definedName>
    <definedName name="BOM_Cables_DAC_O112">#REF!</definedName>
    <definedName name="BOM_Cables_MPO_to_4x_LC" localSheetId="6">#REF!</definedName>
    <definedName name="BOM_Cables_MPO_to_4x_LC" localSheetId="5">#REF!</definedName>
    <definedName name="BOM_Cables_MPO_to_4x_LC">#REF!</definedName>
    <definedName name="BOM_Cables_MPO12" localSheetId="6">#REF!</definedName>
    <definedName name="BOM_Cables_MPO12" localSheetId="5">#REF!</definedName>
    <definedName name="BOM_Cables_MPO12">#REF!</definedName>
    <definedName name="BOM_Cables_OSFP" localSheetId="6">#REF!</definedName>
    <definedName name="BOM_Cables_OSFP" localSheetId="5">#REF!</definedName>
    <definedName name="BOM_Cables_OSFP">#REF!</definedName>
    <definedName name="BOM_Fiber_Distribution" localSheetId="6">#REF!</definedName>
    <definedName name="BOM_Fiber_Distribution" localSheetId="5">#REF!</definedName>
    <definedName name="BOM_Fiber_Distribution">#REF!</definedName>
    <definedName name="BOM_Optics" localSheetId="6">#REF!</definedName>
    <definedName name="BOM_Optics" localSheetId="5">#REF!</definedName>
    <definedName name="BOM_Optics">#REF!</definedName>
    <definedName name="BOM_PDU" localSheetId="6">#REF!</definedName>
    <definedName name="BOM_PDU" localSheetId="5">#REF!</definedName>
    <definedName name="BOM_PDU">#REF!</definedName>
    <definedName name="BOM_Racks_Aircool" localSheetId="6">#REF!</definedName>
    <definedName name="BOM_Racks_Aircool" localSheetId="5">#REF!</definedName>
    <definedName name="BOM_Racks_Aircool">#REF!</definedName>
    <definedName name="BOM_Racks_Sidecar" localSheetId="6">#REF!</definedName>
    <definedName name="BOM_Racks_Sidecar" localSheetId="5">#REF!</definedName>
    <definedName name="BOM_Racks_Sidecar">#REF!</definedName>
    <definedName name="BOM_Switch_100G" localSheetId="6">#REF!</definedName>
    <definedName name="BOM_Switch_100G" localSheetId="5">#REF!</definedName>
    <definedName name="BOM_Switch_100G">#REF!</definedName>
    <definedName name="BOM_Switch_400G" localSheetId="6">#REF!</definedName>
    <definedName name="BOM_Switch_400G" localSheetId="5">#REF!</definedName>
    <definedName name="BOM_Switch_400G">#REF!</definedName>
    <definedName name="BOM_Switch_800G" localSheetId="6">#REF!</definedName>
    <definedName name="BOM_Switch_800G" localSheetId="5">#REF!</definedName>
    <definedName name="BOM_Switch_800G">#REF!</definedName>
    <definedName name="BOM_Switch_IB_144_port" localSheetId="6">#REF!</definedName>
    <definedName name="BOM_Switch_IB_144_port" localSheetId="5">#REF!</definedName>
    <definedName name="BOM_Switch_IB_144_port">#REF!</definedName>
    <definedName name="BOM_Switch_Spectrum_Fabric" localSheetId="6">#REF!</definedName>
    <definedName name="BOM_Switch_Spectrum_Fabric" localSheetId="5">#REF!</definedName>
    <definedName name="BOM_Switch_Spectrum_Fabric">#REF!</definedName>
    <definedName name="BOM_Switch_Spectrum_OOB" localSheetId="6">#REF!</definedName>
    <definedName name="BOM_Switch_Spectrum_OOB" localSheetId="5">#REF!</definedName>
    <definedName name="BOM_Switch_Spectrum_OOB">#REF!</definedName>
    <definedName name="BOM_Switch_Spectrum_OOB_Aggr" localSheetId="6">#REF!</definedName>
    <definedName name="BOM_Switch_Spectrum_OOB_Aggr" localSheetId="5">#REF!</definedName>
    <definedName name="BOM_Switch_Spectrum_OOB_Aggr">#REF!</definedName>
    <definedName name="BOM_Transceiver_NIC" localSheetId="6">#REF!</definedName>
    <definedName name="BOM_Transceiver_NIC" localSheetId="5">#REF!</definedName>
    <definedName name="BOM_Transceiver_NIC">#REF!</definedName>
    <definedName name="BOM_Transceiver_Switch" localSheetId="6">#REF!</definedName>
    <definedName name="BOM_Transceiver_Switch" localSheetId="5">#REF!</definedName>
    <definedName name="BOM_Transceiver_Switch">#REF!</definedName>
    <definedName name="BRS_FLOOR_ANALYSIS_LINES_TO_FORMAT0" localSheetId="6">#REF!</definedName>
    <definedName name="BRS_FLOOR_ANALYSIS_LINES_TO_FORMAT0" localSheetId="5">#REF!</definedName>
    <definedName name="BRS_FLOOR_ANALYSIS_LINES_TO_FORMAT0">#REF!</definedName>
    <definedName name="BRS_FLOOR_ANALYSIS_LINES_TO_FORMAT1" localSheetId="6">#REF!</definedName>
    <definedName name="BRS_FLOOR_ANALYSIS_LINES_TO_FORMAT1" localSheetId="5">#REF!</definedName>
    <definedName name="BRS_FLOOR_ANALYSIS_LINES_TO_FORMAT1">#REF!</definedName>
    <definedName name="BRS_FLOOR_ANALYSIS_SECTION" localSheetId="6">#REF!</definedName>
    <definedName name="BRS_FLOOR_ANALYSIS_SECTION" localSheetId="5">#REF!</definedName>
    <definedName name="BRS_FLOOR_ANALYSIS_SECTION">#REF!</definedName>
    <definedName name="CBWorkbookPriority" hidden="1">-1010689980</definedName>
    <definedName name="CFG_SECTION" localSheetId="6">#REF!</definedName>
    <definedName name="CFG_SECTION" localSheetId="5">#REF!</definedName>
    <definedName name="CFG_SECTION">#REF!</definedName>
    <definedName name="CFG_SUBTOTAL_ALL" localSheetId="6">#REF!</definedName>
    <definedName name="CFG_SUBTOTAL_ALL" localSheetId="5">#REF!</definedName>
    <definedName name="CFG_SUBTOTAL_ALL">#REF!</definedName>
    <definedName name="CFG_SUBTOTAL_HW" localSheetId="6">#REF!</definedName>
    <definedName name="CFG_SUBTOTAL_HW" localSheetId="5">#REF!</definedName>
    <definedName name="CFG_SUBTOTAL_HW">#REF!</definedName>
    <definedName name="CFG_SUBTOTAL_MW" localSheetId="6">#REF!</definedName>
    <definedName name="CFG_SUBTOTAL_MW" localSheetId="5">#REF!</definedName>
    <definedName name="CFG_SUBTOTAL_MW">#REF!</definedName>
    <definedName name="CFG_SUBTOTAL_PS" localSheetId="6">#REF!</definedName>
    <definedName name="CFG_SUBTOTAL_PS" localSheetId="5">#REF!</definedName>
    <definedName name="CFG_SUBTOTAL_PS">#REF!</definedName>
    <definedName name="CFG_SUBTOTAL_SECTION" localSheetId="6">#REF!</definedName>
    <definedName name="CFG_SUBTOTAL_SECTION" localSheetId="5">#REF!</definedName>
    <definedName name="CFG_SUBTOTAL_SECTION">#REF!</definedName>
    <definedName name="CFG_SUBTOTAL_SW" localSheetId="6">#REF!</definedName>
    <definedName name="CFG_SUBTOTAL_SW" localSheetId="5">#REF!</definedName>
    <definedName name="CFG_SUBTOTAL_SW">#REF!</definedName>
    <definedName name="CFG_TITLE_FLD_CFG_NAME" localSheetId="6">#REF!</definedName>
    <definedName name="CFG_TITLE_FLD_CFG_NAME" localSheetId="5">#REF!</definedName>
    <definedName name="CFG_TITLE_FLD_CFG_NAME">#REF!</definedName>
    <definedName name="CFG_TITLE_SECTION" localSheetId="6">#REF!</definedName>
    <definedName name="CFG_TITLE_SECTION" localSheetId="5">#REF!</definedName>
    <definedName name="CFG_TITLE_SECTION">#REF!</definedName>
    <definedName name="CSI_FLD_CSI_DESCRIPTION" localSheetId="6">#REF!</definedName>
    <definedName name="CSI_FLD_CSI_DESCRIPTION" localSheetId="5">#REF!</definedName>
    <definedName name="CSI_FLD_CSI_DESCRIPTION">#REF!</definedName>
    <definedName name="CSI_FLD_CSI_NAME" localSheetId="6">#REF!</definedName>
    <definedName name="CSI_FLD_CSI_NAME" localSheetId="5">#REF!</definedName>
    <definedName name="CSI_FLD_CSI_NAME">#REF!</definedName>
    <definedName name="CSI_FLD_CSI_SERIAL_NUMBER" localSheetId="6">#REF!</definedName>
    <definedName name="CSI_FLD_CSI_SERIAL_NUMBER" localSheetId="5">#REF!</definedName>
    <definedName name="CSI_FLD_CSI_SERIAL_NUMBER">#REF!</definedName>
    <definedName name="CSI_LABEL_FORCOPY_SERIAL_NUMBER" localSheetId="6">#REF!</definedName>
    <definedName name="CSI_LABEL_FORCOPY_SERIAL_NUMBER" localSheetId="5">#REF!</definedName>
    <definedName name="CSI_LABEL_FORCOPY_SERIAL_NUMBER">#REF!</definedName>
    <definedName name="CSI_LABEL_HEADERS" localSheetId="6">#REF!</definedName>
    <definedName name="CSI_LABEL_HEADERS" localSheetId="5">#REF!</definedName>
    <definedName name="CSI_LABEL_HEADERS">#REF!</definedName>
    <definedName name="CSI_LINE_HW" localSheetId="6">#REF!</definedName>
    <definedName name="CSI_LINE_HW" localSheetId="5">#REF!</definedName>
    <definedName name="CSI_LINE_HW">#REF!</definedName>
    <definedName name="CSI_LINE_MW" localSheetId="6">#REF!</definedName>
    <definedName name="CSI_LINE_MW" localSheetId="5">#REF!</definedName>
    <definedName name="CSI_LINE_MW">#REF!</definedName>
    <definedName name="CSI_LINE_PS" localSheetId="6">#REF!</definedName>
    <definedName name="CSI_LINE_PS" localSheetId="5">#REF!</definedName>
    <definedName name="CSI_LINE_PS">#REF!</definedName>
    <definedName name="CSI_LINE_SW" localSheetId="6">#REF!</definedName>
    <definedName name="CSI_LINE_SW" localSheetId="5">#REF!</definedName>
    <definedName name="CSI_LINE_SW">#REF!</definedName>
    <definedName name="CSI_SECTION_HW_ALL" localSheetId="6">#REF!</definedName>
    <definedName name="CSI_SECTION_HW_ALL" localSheetId="5">#REF!</definedName>
    <definedName name="CSI_SECTION_HW_ALL">#REF!</definedName>
    <definedName name="CSI_SECTION_HW_BOT" localSheetId="6">#REF!</definedName>
    <definedName name="CSI_SECTION_HW_BOT" localSheetId="5">#REF!</definedName>
    <definedName name="CSI_SECTION_HW_BOT">#REF!</definedName>
    <definedName name="CSI_SECTION_HW_TOP" localSheetId="6">#REF!</definedName>
    <definedName name="CSI_SECTION_HW_TOP" localSheetId="5">#REF!</definedName>
    <definedName name="CSI_SECTION_HW_TOP">#REF!</definedName>
    <definedName name="CSI_SECTION_MW_ALL" localSheetId="6">#REF!</definedName>
    <definedName name="CSI_SECTION_MW_ALL" localSheetId="5">#REF!</definedName>
    <definedName name="CSI_SECTION_MW_ALL">#REF!</definedName>
    <definedName name="CSI_SECTION_MW_BOT" localSheetId="6">#REF!</definedName>
    <definedName name="CSI_SECTION_MW_BOT" localSheetId="5">#REF!</definedName>
    <definedName name="CSI_SECTION_MW_BOT">#REF!</definedName>
    <definedName name="CSI_SECTION_MW_TOP" localSheetId="6">#REF!</definedName>
    <definedName name="CSI_SECTION_MW_TOP" localSheetId="5">#REF!</definedName>
    <definedName name="CSI_SECTION_MW_TOP">#REF!</definedName>
    <definedName name="CSI_SECTION_PS_ALL" localSheetId="6">#REF!</definedName>
    <definedName name="CSI_SECTION_PS_ALL" localSheetId="5">#REF!</definedName>
    <definedName name="CSI_SECTION_PS_ALL">#REF!</definedName>
    <definedName name="CSI_SECTION_PS_BOT" localSheetId="6">#REF!</definedName>
    <definedName name="CSI_SECTION_PS_BOT" localSheetId="5">#REF!</definedName>
    <definedName name="CSI_SECTION_PS_BOT">#REF!</definedName>
    <definedName name="CSI_SECTION_PS_TOP" localSheetId="6">#REF!</definedName>
    <definedName name="CSI_SECTION_PS_TOP" localSheetId="5">#REF!</definedName>
    <definedName name="CSI_SECTION_PS_TOP">#REF!</definedName>
    <definedName name="CSI_SECTION_SW_ALL" localSheetId="6">#REF!</definedName>
    <definedName name="CSI_SECTION_SW_ALL" localSheetId="5">#REF!</definedName>
    <definedName name="CSI_SECTION_SW_ALL">#REF!</definedName>
    <definedName name="CSI_SECTION_SW_BOT" localSheetId="6">#REF!</definedName>
    <definedName name="CSI_SECTION_SW_BOT" localSheetId="5">#REF!</definedName>
    <definedName name="CSI_SECTION_SW_BOT">#REF!</definedName>
    <definedName name="CSI_SECTION_SW_TOP" localSheetId="6">#REF!</definedName>
    <definedName name="CSI_SECTION_SW_TOP" localSheetId="5">#REF!</definedName>
    <definedName name="CSI_SECTION_SW_TOP">#REF!</definedName>
    <definedName name="CSI_SECTION_TITLE" localSheetId="6">#REF!</definedName>
    <definedName name="CSI_SECTION_TITLE" localSheetId="5">#REF!</definedName>
    <definedName name="CSI_SECTION_TITLE">#REF!</definedName>
    <definedName name="CSI_SUBTOTAL_HW" localSheetId="6">#REF!</definedName>
    <definedName name="CSI_SUBTOTAL_HW" localSheetId="5">#REF!</definedName>
    <definedName name="CSI_SUBTOTAL_HW">#REF!</definedName>
    <definedName name="CSI_SUBTOTAL_MW" localSheetId="6">#REF!</definedName>
    <definedName name="CSI_SUBTOTAL_MW" localSheetId="5">#REF!</definedName>
    <definedName name="CSI_SUBTOTAL_MW">#REF!</definedName>
    <definedName name="CSI_SUBTOTAL_PS" localSheetId="6">#REF!</definedName>
    <definedName name="CSI_SUBTOTAL_PS" localSheetId="5">#REF!</definedName>
    <definedName name="CSI_SUBTOTAL_PS">#REF!</definedName>
    <definedName name="CSI_SUBTOTAL_SW" localSheetId="6">#REF!</definedName>
    <definedName name="CSI_SUBTOTAL_SW" localSheetId="5">#REF!</definedName>
    <definedName name="CSI_SUBTOTAL_SW">#REF!</definedName>
    <definedName name="DOL">#REF!</definedName>
    <definedName name="DSECost">#REF!</definedName>
    <definedName name="DSEPrice">#REF!</definedName>
    <definedName name="DXP_REMOVE_GROSS_COST" localSheetId="6">#REF!</definedName>
    <definedName name="DXP_REMOVE_GROSS_COST" localSheetId="5">#REF!</definedName>
    <definedName name="DXP_REMOVE_GROSS_COST">#REF!</definedName>
    <definedName name="DXP_REMOVE_GROSS_NOTE3" localSheetId="6">#REF!</definedName>
    <definedName name="DXP_REMOVE_GROSS_NOTE3" localSheetId="5">#REF!</definedName>
    <definedName name="DXP_REMOVE_GROSS_NOTE3">#REF!</definedName>
    <definedName name="EMC_ADDRESS" localSheetId="6">#REF!</definedName>
    <definedName name="EMC_ADDRESS" localSheetId="5">#REF!</definedName>
    <definedName name="EMC_ADDRESS">#REF!</definedName>
    <definedName name="EMC_BM_TABLE_HEADER" localSheetId="6">#REF!</definedName>
    <definedName name="EMC_BM_TABLE_HEADER" localSheetId="5">#REF!</definedName>
    <definedName name="EMC_BM_TABLE_HEADER">#REF!</definedName>
    <definedName name="EMC_BUSINESS_MONITORING" localSheetId="6">#REF!</definedName>
    <definedName name="EMC_BUSINESS_MONITORING" localSheetId="5">#REF!</definedName>
    <definedName name="EMC_BUSINESS_MONITORING">#REF!</definedName>
    <definedName name="EMC_NO_RULES_BROKEN" localSheetId="6">#REF!</definedName>
    <definedName name="EMC_NO_RULES_BROKEN" localSheetId="5">#REF!</definedName>
    <definedName name="EMC_NO_RULES_BROKEN">#REF!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EV__LASTREFTIME__" hidden="1">39825.6100810185</definedName>
    <definedName name="Exch_Rate2" localSheetId="6">#REF!</definedName>
    <definedName name="Exch_Rate2" localSheetId="5">#REF!</definedName>
    <definedName name="Exch_Rate2">#REF!</definedName>
    <definedName name="FLOOR_ANALYSIS_LINES_TO_FORMAT0" localSheetId="6">#REF!</definedName>
    <definedName name="FLOOR_ANALYSIS_LINES_TO_FORMAT0" localSheetId="5">#REF!</definedName>
    <definedName name="FLOOR_ANALYSIS_LINES_TO_FORMAT0">#REF!</definedName>
    <definedName name="FLOOR_ANALYSIS_LINES_TO_FORMAT1" localSheetId="6">#REF!</definedName>
    <definedName name="FLOOR_ANALYSIS_LINES_TO_FORMAT1" localSheetId="5">#REF!</definedName>
    <definedName name="FLOOR_ANALYSIS_LINES_TO_FORMAT1">#REF!</definedName>
    <definedName name="FLOOR_ANALYSIS_SECTION" localSheetId="6">#REF!</definedName>
    <definedName name="FLOOR_ANALYSIS_SECTION" localSheetId="5">#REF!</definedName>
    <definedName name="FLOOR_ANALYSIS_SECTION">#REF!</definedName>
    <definedName name="foosiemsh" localSheetId="6" hidden="1">#REF!</definedName>
    <definedName name="foosiemsh" localSheetId="5" hidden="1">#REF!</definedName>
    <definedName name="foosiemsh" hidden="1">#REF!</definedName>
    <definedName name="GSA_HEADER_FIELDS" localSheetId="6">#REF!</definedName>
    <definedName name="GSA_HEADER_FIELDS" localSheetId="5">#REF!</definedName>
    <definedName name="GSA_HEADER_FIELDS">#REF!</definedName>
    <definedName name="GVKey">"271182-01w"</definedName>
    <definedName name="INSTALL_AT_ADDRESS" localSheetId="6">#REF!</definedName>
    <definedName name="INSTALL_AT_ADDRESS" localSheetId="5">#REF!</definedName>
    <definedName name="INSTALL_AT_ADDRESS">#REF!</definedName>
    <definedName name="INSTALL_AT_CONTACT" localSheetId="6">#REF!</definedName>
    <definedName name="INSTALL_AT_CONTACT" localSheetId="5">#REF!</definedName>
    <definedName name="INSTALL_AT_CONTACT">#REF!</definedName>
    <definedName name="INSTALL_AT_LABEL" localSheetId="6">#REF!</definedName>
    <definedName name="INSTALL_AT_LABEL" localSheetId="5">#REF!</definedName>
    <definedName name="INSTALL_AT_LABEL">#REF!</definedName>
    <definedName name="INSTALL_AT_NAME" localSheetId="6">#REF!</definedName>
    <definedName name="INSTALL_AT_NAME" localSheetId="5">#REF!</definedName>
    <definedName name="INSTALL_AT_NAME">#REF!</definedName>
    <definedName name="INSTALL_AT_PHONE" localSheetId="6">#REF!</definedName>
    <definedName name="INSTALL_AT_PHONE" localSheetId="5">#REF!</definedName>
    <definedName name="INSTALL_AT_PHONE">#REF!</definedName>
    <definedName name="IssueTypes">[1]Data!$B$6:$B$8</definedName>
    <definedName name="K2_WBEVMODE" hidden="1">-1</definedName>
    <definedName name="limcount" hidden="1">2</definedName>
    <definedName name="LPRU">#REF!</definedName>
    <definedName name="MISC_FLD_TITLE" localSheetId="6">#REF!</definedName>
    <definedName name="MISC_FLD_TITLE" localSheetId="5">#REF!</definedName>
    <definedName name="MISC_FLD_TITLE">#REF!</definedName>
    <definedName name="MISC_LINE_HW" localSheetId="6">#REF!</definedName>
    <definedName name="MISC_LINE_HW" localSheetId="5">#REF!</definedName>
    <definedName name="MISC_LINE_HW">#REF!</definedName>
    <definedName name="MISC_LINE_PS" localSheetId="6">#REF!</definedName>
    <definedName name="MISC_LINE_PS" localSheetId="5">#REF!</definedName>
    <definedName name="MISC_LINE_PS">#REF!</definedName>
    <definedName name="MISC_LINE_SW" localSheetId="6">#REF!</definedName>
    <definedName name="MISC_LINE_SW" localSheetId="5">#REF!</definedName>
    <definedName name="MISC_LINE_SW">#REF!</definedName>
    <definedName name="MISC_SECTION_HW_ALL" localSheetId="6">#REF!</definedName>
    <definedName name="MISC_SECTION_HW_ALL" localSheetId="5">#REF!</definedName>
    <definedName name="MISC_SECTION_HW_ALL">#REF!</definedName>
    <definedName name="MISC_SECTION_HW_BOT" localSheetId="6">#REF!</definedName>
    <definedName name="MISC_SECTION_HW_BOT" localSheetId="5">#REF!</definedName>
    <definedName name="MISC_SECTION_HW_BOT">#REF!</definedName>
    <definedName name="MISC_SECTION_HW_TOP" localSheetId="6">#REF!</definedName>
    <definedName name="MISC_SECTION_HW_TOP" localSheetId="5">#REF!</definedName>
    <definedName name="MISC_SECTION_HW_TOP">#REF!</definedName>
    <definedName name="MISC_SECTION_PS_ALL" localSheetId="6">#REF!</definedName>
    <definedName name="MISC_SECTION_PS_ALL" localSheetId="5">#REF!</definedName>
    <definedName name="MISC_SECTION_PS_ALL">#REF!</definedName>
    <definedName name="MISC_SECTION_PS_BOT" localSheetId="6">#REF!</definedName>
    <definedName name="MISC_SECTION_PS_BOT" localSheetId="5">#REF!</definedName>
    <definedName name="MISC_SECTION_PS_BOT">#REF!</definedName>
    <definedName name="MISC_SECTION_PS_TOP" localSheetId="6">#REF!</definedName>
    <definedName name="MISC_SECTION_PS_TOP" localSheetId="5">#REF!</definedName>
    <definedName name="MISC_SECTION_PS_TOP">#REF!</definedName>
    <definedName name="MISC_SECTION_SW_ALL" localSheetId="6">#REF!</definedName>
    <definedName name="MISC_SECTION_SW_ALL" localSheetId="5">#REF!</definedName>
    <definedName name="MISC_SECTION_SW_ALL">#REF!</definedName>
    <definedName name="MISC_SECTION_SW_BOT" localSheetId="6">#REF!</definedName>
    <definedName name="MISC_SECTION_SW_BOT" localSheetId="5">#REF!</definedName>
    <definedName name="MISC_SECTION_SW_BOT">#REF!</definedName>
    <definedName name="MISC_SECTION_SW_TOP" localSheetId="6">#REF!</definedName>
    <definedName name="MISC_SECTION_SW_TOP" localSheetId="5">#REF!</definedName>
    <definedName name="MISC_SECTION_SW_TOP">#REF!</definedName>
    <definedName name="MISC_SECTION_TITLE" localSheetId="6">#REF!</definedName>
    <definedName name="MISC_SECTION_TITLE" localSheetId="5">#REF!</definedName>
    <definedName name="MISC_SECTION_TITLE">#REF!</definedName>
    <definedName name="MISC_SUBTOTAL_HW" localSheetId="6">#REF!</definedName>
    <definedName name="MISC_SUBTOTAL_HW" localSheetId="5">#REF!</definedName>
    <definedName name="MISC_SUBTOTAL_HW">#REF!</definedName>
    <definedName name="MISC_SUBTOTAL_PS" localSheetId="6">#REF!</definedName>
    <definedName name="MISC_SUBTOTAL_PS" localSheetId="5">#REF!</definedName>
    <definedName name="MISC_SUBTOTAL_PS">#REF!</definedName>
    <definedName name="MISC_SUBTOTAL_SW" localSheetId="6">#REF!</definedName>
    <definedName name="MISC_SUBTOTAL_SW" localSheetId="5">#REF!</definedName>
    <definedName name="MISC_SUBTOTAL_SW">#REF!</definedName>
    <definedName name="Model">#REF!</definedName>
    <definedName name="new">'[2]Reference Data'!$GP$11:$HD$11</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NOTES_ZONE_0" localSheetId="6">#REF!</definedName>
    <definedName name="NOTES_ZONE_0" localSheetId="5">#REF!</definedName>
    <definedName name="NOTES_ZONE_0">#REF!</definedName>
    <definedName name="NOTES_ZONE_1" localSheetId="6">#REF!</definedName>
    <definedName name="NOTES_ZONE_1" localSheetId="5">#REF!</definedName>
    <definedName name="NOTES_ZONE_1">#REF!</definedName>
    <definedName name="NOTES_ZONE_2" localSheetId="6">#REF!</definedName>
    <definedName name="NOTES_ZONE_2" localSheetId="5">#REF!</definedName>
    <definedName name="NOTES_ZONE_2">#REF!</definedName>
    <definedName name="OPPTY_SECTION" localSheetId="6">#REF!</definedName>
    <definedName name="OPPTY_SECTION" localSheetId="5">#REF!</definedName>
    <definedName name="OPPTY_SECTION">#REF!</definedName>
    <definedName name="OSECost">#REF!</definedName>
    <definedName name="OSEPrice">#REF!</definedName>
    <definedName name="PRECONTRACT_FLD_CFG_NAME" localSheetId="6">#REF!</definedName>
    <definedName name="PRECONTRACT_FLD_CFG_NAME" localSheetId="5">#REF!</definedName>
    <definedName name="PRECONTRACT_FLD_CFG_NAME">#REF!</definedName>
    <definedName name="PRECONTRACT_FLD_CSI_DESCIPTION" localSheetId="6">#REF!</definedName>
    <definedName name="PRECONTRACT_FLD_CSI_DESCIPTION" localSheetId="5">#REF!</definedName>
    <definedName name="PRECONTRACT_FLD_CSI_DESCIPTION">#REF!</definedName>
    <definedName name="PRECONTRACT_FLD_CSI_NAME" localSheetId="6">#REF!</definedName>
    <definedName name="PRECONTRACT_FLD_CSI_NAME" localSheetId="5">#REF!</definedName>
    <definedName name="PRECONTRACT_FLD_CSI_NAME">#REF!</definedName>
    <definedName name="PRECONTRACT_LINE" localSheetId="6">#REF!</definedName>
    <definedName name="PRECONTRACT_LINE" localSheetId="5">#REF!</definedName>
    <definedName name="PRECONTRACT_LINE">#REF!</definedName>
    <definedName name="PRECONTRACT_SECTION" localSheetId="6">#REF!</definedName>
    <definedName name="PRECONTRACT_SECTION" localSheetId="5">#REF!</definedName>
    <definedName name="PRECONTRACT_SECTION">#REF!</definedName>
    <definedName name="PRECONTRACT_SECTION_CFG_TITLE" localSheetId="6">#REF!</definedName>
    <definedName name="PRECONTRACT_SECTION_CFG_TITLE" localSheetId="5">#REF!</definedName>
    <definedName name="PRECONTRACT_SECTION_CFG_TITLE">#REF!</definedName>
    <definedName name="PRECONTRACT_SECTION_CSI" localSheetId="6">#REF!</definedName>
    <definedName name="PRECONTRACT_SECTION_CSI" localSheetId="5">#REF!</definedName>
    <definedName name="PRECONTRACT_SECTION_CSI">#REF!</definedName>
    <definedName name="PRICE_JUST_COMMENT" localSheetId="6">#REF!</definedName>
    <definedName name="PRICE_JUST_COMMENT" localSheetId="5">#REF!</definedName>
    <definedName name="PRICE_JUST_COMMENT">#REF!</definedName>
    <definedName name="PROMO_SECTION" localSheetId="6">#REF!</definedName>
    <definedName name="PROMO_SECTION" localSheetId="5">#REF!</definedName>
    <definedName name="PROMO_SECTION">#REF!</definedName>
    <definedName name="PROPOSAL_SECTION" localSheetId="6">#REF!</definedName>
    <definedName name="PROPOSAL_SECTION" localSheetId="5">#REF!</definedName>
    <definedName name="PROPOSAL_SECTION">#REF!</definedName>
    <definedName name="PROPOSAL_SECTION_MW" localSheetId="6">#REF!</definedName>
    <definedName name="PROPOSAL_SECTION_MW" localSheetId="5">#REF!</definedName>
    <definedName name="PROPOSAL_SECTION_MW">#REF!</definedName>
    <definedName name="PROPOSAL_SUBTOTAL_HW" localSheetId="6">#REF!</definedName>
    <definedName name="PROPOSAL_SUBTOTAL_HW" localSheetId="5">#REF!</definedName>
    <definedName name="PROPOSAL_SUBTOTAL_HW">#REF!</definedName>
    <definedName name="PROPOSAL_SUBTOTAL_MW_HW" localSheetId="6">#REF!</definedName>
    <definedName name="PROPOSAL_SUBTOTAL_MW_HW" localSheetId="5">#REF!</definedName>
    <definedName name="PROPOSAL_SUBTOTAL_MW_HW">#REF!</definedName>
    <definedName name="PROPOSAL_SUBTOTAL_MW_SW" localSheetId="6">#REF!</definedName>
    <definedName name="PROPOSAL_SUBTOTAL_MW_SW" localSheetId="5">#REF!</definedName>
    <definedName name="PROPOSAL_SUBTOTAL_MW_SW">#REF!</definedName>
    <definedName name="PROPOSAL_SUBTOTAL_MW_WAR" localSheetId="6">#REF!</definedName>
    <definedName name="PROPOSAL_SUBTOTAL_MW_WAR" localSheetId="5">#REF!</definedName>
    <definedName name="PROPOSAL_SUBTOTAL_MW_WAR">#REF!</definedName>
    <definedName name="PROPOSAL_SUBTOTAL_PS" localSheetId="6">#REF!</definedName>
    <definedName name="PROPOSAL_SUBTOTAL_PS" localSheetId="5">#REF!</definedName>
    <definedName name="PROPOSAL_SUBTOTAL_PS">#REF!</definedName>
    <definedName name="PROPOSAL_SUBTOTAL_SW" localSheetId="6">#REF!</definedName>
    <definedName name="PROPOSAL_SUBTOTAL_SW" localSheetId="5">#REF!</definedName>
    <definedName name="PROPOSAL_SUBTOTAL_SW">#REF!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QUOTE_PRICEBREAK" localSheetId="6">#REF!</definedName>
    <definedName name="QUOTE_PRICEBREAK" localSheetId="5">#REF!</definedName>
    <definedName name="QUOTE_PRICEBREAK">#REF!</definedName>
    <definedName name="QUOTE_PS_PRICEBREAK" localSheetId="6">#REF!</definedName>
    <definedName name="QUOTE_PS_PRICEBREAK" localSheetId="5">#REF!</definedName>
    <definedName name="QUOTE_PS_PRICEBREAK">#REF!</definedName>
    <definedName name="REDIRECT_SECTION" localSheetId="6">#REF!</definedName>
    <definedName name="REDIRECT_SECTION" localSheetId="5">#REF!</definedName>
    <definedName name="REDIRECT_SECTION">#REF!</definedName>
    <definedName name="Region">#REF!</definedName>
    <definedName name="REPORT_LINES_TO_FORMAT" localSheetId="6">#REF!,#REF!</definedName>
    <definedName name="REPORT_LINES_TO_FORMAT" localSheetId="5">#REF!,#REF!</definedName>
    <definedName name="REPORT_LINES_TO_FORMAT">#REF!,#REF!</definedName>
    <definedName name="REPORT_LINES_TO_FORMAT0" localSheetId="6">#REF!</definedName>
    <definedName name="REPORT_LINES_TO_FORMAT0" localSheetId="5">#REF!</definedName>
    <definedName name="REPORT_LINES_TO_FORMAT0">#REF!</definedName>
    <definedName name="REPORT_LINES_TO_FORMAT1" localSheetId="6">#REF!</definedName>
    <definedName name="REPORT_LINES_TO_FORMAT1" localSheetId="5">#REF!</definedName>
    <definedName name="REPORT_LINES_TO_FORMAT1">#REF!</definedName>
    <definedName name="REPORT_LINES_TO_FORMAT2" localSheetId="6">#REF!</definedName>
    <definedName name="REPORT_LINES_TO_FORMAT2" localSheetId="5">#REF!</definedName>
    <definedName name="REPORT_LINES_TO_FORMAT2">#REF!</definedName>
    <definedName name="REPORT_TOTALS_TO_FORMAT" localSheetId="6">#REF!,#REF!,#REF!</definedName>
    <definedName name="REPORT_TOTALS_TO_FORMAT" localSheetId="5">#REF!,#REF!,#REF!</definedName>
    <definedName name="REPORT_TOTALS_TO_FORMAT">#REF!,#REF!,#REF!</definedName>
    <definedName name="REPORT_TOTALS_TO_FORMAT0" localSheetId="6">#REF!</definedName>
    <definedName name="REPORT_TOTALS_TO_FORMAT0" localSheetId="5">#REF!</definedName>
    <definedName name="REPORT_TOTALS_TO_FORMAT0">#REF!</definedName>
    <definedName name="REPORT_TOTALS_TO_FORMAT1" localSheetId="6">#REF!</definedName>
    <definedName name="REPORT_TOTALS_TO_FORMAT1" localSheetId="5">#REF!</definedName>
    <definedName name="REPORT_TOTALS_TO_FORMAT1">#REF!</definedName>
    <definedName name="REPORT_TOTALS_TO_FORMAT2" localSheetId="6">#REF!</definedName>
    <definedName name="REPORT_TOTALS_TO_FORMAT2" localSheetId="5">#REF!</definedName>
    <definedName name="REPORT_TOTALS_TO_FORMAT2">#REF!</definedName>
    <definedName name="REPORT_TOTALS_TO_FORMAT3" localSheetId="6">#REF!</definedName>
    <definedName name="REPORT_TOTALS_TO_FORMAT3" localSheetId="5">#REF!</definedName>
    <definedName name="REPORT_TOTALS_TO_FORMAT3">#REF!</definedName>
    <definedName name="REPORT_TOTALS_TO_FORMAT4" localSheetId="6">#REF!</definedName>
    <definedName name="REPORT_TOTALS_TO_FORMAT4" localSheetId="5">#REF!</definedName>
    <definedName name="REPORT_TOTALS_TO_FORMAT4">#REF!</definedName>
    <definedName name="REPORT_TOTALS_TO_FORMAT5" localSheetId="6">#REF!</definedName>
    <definedName name="REPORT_TOTALS_TO_FORMAT5" localSheetId="5">#REF!</definedName>
    <definedName name="REPORT_TOTALS_TO_FORMAT5">#REF!</definedName>
    <definedName name="ResidentCost">#REF!</definedName>
    <definedName name="ResidentPrice">#REF!</definedName>
    <definedName name="RQFRate1">[3]Template!$BC$20</definedName>
    <definedName name="s">'[4]Summary &amp; Status'!#REF!</definedName>
    <definedName name="sa">[3]Info!$AZ$20</definedName>
    <definedName name="SAPBEXrevision" hidden="1">2</definedName>
    <definedName name="SAPBEXsysID" hidden="1">"BWP"</definedName>
    <definedName name="SAPBEXwbID" hidden="1">"427RYF5MIK75065EZBL5WAVIT"</definedName>
    <definedName name="sencount" hidden="1">2</definedName>
    <definedName name="SHIP_TO_ADDRESS" localSheetId="6">#REF!</definedName>
    <definedName name="SHIP_TO_ADDRESS" localSheetId="5">#REF!</definedName>
    <definedName name="SHIP_TO_ADDRESS">#REF!</definedName>
    <definedName name="SHIP_TO_CONTACT" localSheetId="6">#REF!</definedName>
    <definedName name="SHIP_TO_CONTACT" localSheetId="5">#REF!</definedName>
    <definedName name="SHIP_TO_CONTACT">#REF!</definedName>
    <definedName name="SHIP_TO_LABEL" localSheetId="6">#REF!</definedName>
    <definedName name="SHIP_TO_LABEL" localSheetId="5">#REF!</definedName>
    <definedName name="SHIP_TO_LABEL">#REF!</definedName>
    <definedName name="SHIP_TO_NAME" localSheetId="6">#REF!</definedName>
    <definedName name="SHIP_TO_NAME" localSheetId="5">#REF!</definedName>
    <definedName name="SHIP_TO_NAME">#REF!</definedName>
    <definedName name="SHIP_TO_PHONE" localSheetId="6">#REF!</definedName>
    <definedName name="SHIP_TO_PHONE" localSheetId="5">#REF!</definedName>
    <definedName name="SHIP_TO_PHONE">#REF!</definedName>
    <definedName name="SHIPPING_ZONE_0" localSheetId="6">#REF!</definedName>
    <definedName name="SHIPPING_ZONE_0" localSheetId="5">#REF!</definedName>
    <definedName name="SHIPPING_ZONE_0">#REF!</definedName>
    <definedName name="SHIPPING_ZONE_1" localSheetId="6">#REF!</definedName>
    <definedName name="SHIPPING_ZONE_1" localSheetId="5">#REF!</definedName>
    <definedName name="SHIPPING_ZONE_1">#REF!</definedName>
    <definedName name="SHIPPING_ZONE_2" localSheetId="6">#REF!</definedName>
    <definedName name="SHIPPING_ZONE_2" localSheetId="5">#REF!</definedName>
    <definedName name="SHIPPING_ZONE_2">#REF!</definedName>
    <definedName name="SiteCodeLU">'[5]Site details V2'!$A$1:$Z$2506</definedName>
    <definedName name="Sites">#REF!</definedName>
    <definedName name="SOLD_TO_ADDRESS" localSheetId="6">#REF!</definedName>
    <definedName name="SOLD_TO_ADDRESS" localSheetId="5">#REF!</definedName>
    <definedName name="SOLD_TO_ADDRESS">#REF!</definedName>
    <definedName name="SOLD_TO_CONTACT" localSheetId="6">#REF!</definedName>
    <definedName name="SOLD_TO_CONTACT" localSheetId="5">#REF!</definedName>
    <definedName name="SOLD_TO_CONTACT">#REF!</definedName>
    <definedName name="SOLD_TO_LABEL" localSheetId="6">#REF!</definedName>
    <definedName name="SOLD_TO_LABEL" localSheetId="5">#REF!</definedName>
    <definedName name="SOLD_TO_LABEL">#REF!</definedName>
    <definedName name="SOLD_TO_NAME" localSheetId="6">#REF!</definedName>
    <definedName name="SOLD_TO_NAME" localSheetId="5">#REF!</definedName>
    <definedName name="SOLD_TO_NAME">#REF!</definedName>
    <definedName name="SOLD_TO_PHONE" localSheetId="6">#REF!</definedName>
    <definedName name="SOLD_TO_PHONE" localSheetId="5">#REF!</definedName>
    <definedName name="SOLD_TO_PHONE">#REF!</definedName>
    <definedName name="SPSet">"current"</definedName>
    <definedName name="SPWS_WBID">"AE891147-BB2F-445D-ACEB-8EEEC2660B6C"</definedName>
    <definedName name="status_indicators">'[4]Summary &amp; Status'!#REF!</definedName>
    <definedName name="status_milestonetable">'[4]Summary &amp; Status'!#REF!</definedName>
    <definedName name="status_next_reporting_period">'[4]Summary &amp; Status'!#REF!</definedName>
    <definedName name="status_this_reporting_period">'[4]Summary &amp; Status'!#REF!</definedName>
    <definedName name="StatusNames">[1]Data!$B$1:$B$3</definedName>
    <definedName name="SumMargin">#REF!</definedName>
    <definedName name="SumRev">#REF!</definedName>
    <definedName name="Term">#REF!</definedName>
    <definedName name="TEST_IPF" localSheetId="6">#REF!</definedName>
    <definedName name="TEST_IPF" localSheetId="5">#REF!</definedName>
    <definedName name="TEST_IPF">#REF!</definedName>
    <definedName name="TRADEIN_SECTION" localSheetId="6">#REF!</definedName>
    <definedName name="TRADEIN_SECTION" localSheetId="5">#REF!</definedName>
    <definedName name="TRADEIN_SECTION">#REF!</definedName>
    <definedName name="TRADEIN_SECTION_TOTAL" localSheetId="6">#REF!</definedName>
    <definedName name="TRADEIN_SECTION_TOTAL" localSheetId="5">#REF!</definedName>
    <definedName name="TRADEIN_SECTION_TOTAL">#REF!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75" l="1"/>
  <c r="G67" i="75"/>
  <c r="I67" i="75" s="1"/>
  <c r="H66" i="75"/>
  <c r="G66" i="75"/>
  <c r="I66" i="75" s="1"/>
  <c r="H65" i="75"/>
  <c r="G65" i="75"/>
  <c r="I65" i="75" s="1"/>
  <c r="H63" i="75"/>
  <c r="G63" i="75"/>
  <c r="I63" i="75" s="1"/>
  <c r="H50" i="75"/>
  <c r="H49" i="75"/>
  <c r="B46" i="75"/>
  <c r="B45" i="75"/>
  <c r="B44" i="75"/>
  <c r="B43" i="75"/>
  <c r="H38" i="75"/>
  <c r="G38" i="75"/>
  <c r="I38" i="75" s="1"/>
  <c r="G37" i="75"/>
  <c r="J37" i="75" s="1"/>
  <c r="F37" i="75"/>
  <c r="H37" i="75" s="1"/>
  <c r="H35" i="75"/>
  <c r="J34" i="75"/>
  <c r="H34" i="75"/>
  <c r="J31" i="75"/>
  <c r="H28" i="75"/>
  <c r="G28" i="75"/>
  <c r="I28" i="75" s="1"/>
  <c r="G27" i="75"/>
  <c r="H26" i="75"/>
  <c r="G26" i="75"/>
  <c r="I26" i="75" s="1"/>
  <c r="N25" i="75"/>
  <c r="O25" i="75" s="1"/>
  <c r="G25" i="75"/>
  <c r="J25" i="75" s="1"/>
  <c r="F25" i="75"/>
  <c r="H25" i="75" s="1"/>
  <c r="H24" i="75" s="1"/>
  <c r="H46" i="75" s="1"/>
  <c r="F22" i="75"/>
  <c r="G22" i="75" s="1"/>
  <c r="I22" i="75" s="1"/>
  <c r="G21" i="75"/>
  <c r="F20" i="75"/>
  <c r="G20" i="75" s="1"/>
  <c r="I20" i="75" s="1"/>
  <c r="H19" i="75"/>
  <c r="G19" i="75"/>
  <c r="I19" i="75" s="1"/>
  <c r="J18" i="75"/>
  <c r="I18" i="75"/>
  <c r="H18" i="75"/>
  <c r="H17" i="75"/>
  <c r="G17" i="75"/>
  <c r="I17" i="75" s="1"/>
  <c r="J16" i="75"/>
  <c r="I16" i="75"/>
  <c r="H16" i="75"/>
  <c r="H15" i="75"/>
  <c r="G15" i="75"/>
  <c r="I15" i="75" s="1"/>
  <c r="H14" i="75"/>
  <c r="G14" i="75"/>
  <c r="J14" i="75" s="1"/>
  <c r="F11" i="75"/>
  <c r="H11" i="75" s="1"/>
  <c r="F10" i="75"/>
  <c r="G10" i="75" s="1"/>
  <c r="I10" i="75" s="1"/>
  <c r="H9" i="75"/>
  <c r="G9" i="75"/>
  <c r="I9" i="75" s="1"/>
  <c r="I8" i="75"/>
  <c r="H8" i="75"/>
  <c r="G8" i="75"/>
  <c r="J7" i="75"/>
  <c r="I7" i="75"/>
  <c r="H7" i="75"/>
  <c r="H4" i="75"/>
  <c r="G4" i="75"/>
  <c r="I4" i="75" s="1"/>
  <c r="H3" i="75"/>
  <c r="G3" i="75"/>
  <c r="I3" i="75" s="1"/>
  <c r="I2" i="75" s="1"/>
  <c r="H2" i="75"/>
  <c r="H43" i="75" s="1"/>
  <c r="E48" i="74"/>
  <c r="E47" i="74"/>
  <c r="E46" i="74"/>
  <c r="G44" i="74"/>
  <c r="E44" i="74"/>
  <c r="E41" i="74"/>
  <c r="E40" i="74"/>
  <c r="E39" i="74"/>
  <c r="E38" i="74"/>
  <c r="E37" i="74"/>
  <c r="E42" i="74" s="1"/>
  <c r="G42" i="74" s="1"/>
  <c r="E36" i="74"/>
  <c r="E35" i="74"/>
  <c r="E34" i="74"/>
  <c r="C30" i="74"/>
  <c r="E30" i="74" s="1"/>
  <c r="E29" i="74"/>
  <c r="E28" i="74"/>
  <c r="E31" i="74" s="1"/>
  <c r="E27" i="74"/>
  <c r="E22" i="74"/>
  <c r="E21" i="74"/>
  <c r="E20" i="74"/>
  <c r="E19" i="74"/>
  <c r="E23" i="74" s="1"/>
  <c r="G23" i="74" s="1"/>
  <c r="E15" i="74"/>
  <c r="E14" i="74"/>
  <c r="E13" i="74"/>
  <c r="E12" i="74"/>
  <c r="E11" i="74"/>
  <c r="E10" i="74"/>
  <c r="E9" i="74"/>
  <c r="E8" i="74"/>
  <c r="E7" i="74"/>
  <c r="E6" i="74"/>
  <c r="E5" i="74"/>
  <c r="E16" i="74" s="1"/>
  <c r="H13" i="75" l="1"/>
  <c r="H45" i="75" s="1"/>
  <c r="J2" i="75"/>
  <c r="I43" i="75"/>
  <c r="I37" i="75"/>
  <c r="I25" i="75"/>
  <c r="G11" i="75"/>
  <c r="I11" i="75" s="1"/>
  <c r="I6" i="75" s="1"/>
  <c r="H20" i="75"/>
  <c r="I14" i="75"/>
  <c r="I13" i="75" s="1"/>
  <c r="H22" i="75"/>
  <c r="H10" i="75"/>
  <c r="H6" i="75" s="1"/>
  <c r="E2" i="74"/>
  <c r="G16" i="74"/>
  <c r="J31" i="74"/>
  <c r="G31" i="74"/>
  <c r="H44" i="75" l="1"/>
  <c r="H47" i="75" s="1"/>
  <c r="H40" i="75"/>
  <c r="I44" i="75"/>
  <c r="J6" i="75"/>
  <c r="J43" i="75"/>
  <c r="I24" i="75"/>
  <c r="I45" i="75"/>
  <c r="J45" i="75" s="1"/>
  <c r="J13" i="75"/>
  <c r="G2" i="74"/>
  <c r="J24" i="75" l="1"/>
  <c r="I46" i="75"/>
  <c r="J46" i="75" s="1"/>
  <c r="I47" i="75"/>
  <c r="J47" i="75" s="1"/>
  <c r="I40" i="75"/>
  <c r="J44" i="75"/>
  <c r="J40" i="75" l="1"/>
  <c r="P25" i="75"/>
  <c r="M25" i="75"/>
  <c r="B106" i="69" l="1"/>
  <c r="D106" i="69" s="1"/>
  <c r="B104" i="69"/>
  <c r="B103" i="69"/>
  <c r="D103" i="69" s="1"/>
  <c r="B101" i="69"/>
  <c r="D101" i="69" s="1"/>
  <c r="B98" i="69"/>
  <c r="D64" i="69"/>
  <c r="D46" i="69"/>
  <c r="D47" i="69"/>
  <c r="D48" i="69"/>
  <c r="D49" i="69"/>
  <c r="D50" i="69"/>
  <c r="D51" i="69"/>
  <c r="D52" i="69"/>
  <c r="B102" i="69" l="1"/>
  <c r="D102" i="69" s="1"/>
  <c r="B100" i="69"/>
  <c r="D100" i="69" s="1"/>
  <c r="B99" i="69"/>
  <c r="D99" i="69" s="1"/>
  <c r="D98" i="69"/>
  <c r="B105" i="69"/>
  <c r="D105" i="69" s="1"/>
  <c r="D104" i="69"/>
  <c r="B30" i="69"/>
  <c r="D8" i="73"/>
  <c r="B63" i="69"/>
  <c r="B57" i="69"/>
  <c r="B126" i="69"/>
  <c r="B82" i="69"/>
  <c r="B125" i="69"/>
  <c r="D156" i="69" l="1"/>
  <c r="D155" i="69"/>
  <c r="D154" i="69"/>
  <c r="D23" i="69"/>
  <c r="B75" i="69" l="1"/>
  <c r="B83" i="69"/>
  <c r="D83" i="69" s="1"/>
  <c r="B87" i="69"/>
  <c r="D87" i="69" s="1"/>
  <c r="B69" i="69"/>
  <c r="D17" i="69"/>
  <c r="D37" i="69"/>
  <c r="D38" i="69"/>
  <c r="D40" i="69"/>
  <c r="D36" i="69"/>
  <c r="B35" i="69"/>
  <c r="D35" i="69" s="1"/>
  <c r="D34" i="69"/>
  <c r="D127" i="69"/>
  <c r="D25" i="69"/>
  <c r="D13" i="69"/>
  <c r="D14" i="69"/>
  <c r="D15" i="69"/>
  <c r="D16" i="69"/>
  <c r="D18" i="69"/>
  <c r="D150" i="69"/>
  <c r="B149" i="69"/>
  <c r="D149" i="69" s="1"/>
  <c r="D147" i="69"/>
  <c r="B146" i="69"/>
  <c r="D146" i="69" s="1"/>
  <c r="D134" i="69"/>
  <c r="D135" i="69"/>
  <c r="D136" i="69"/>
  <c r="D128" i="69"/>
  <c r="B114" i="69"/>
  <c r="B116" i="69" s="1"/>
  <c r="B92" i="69"/>
  <c r="D31" i="69"/>
  <c r="D116" i="69" l="1"/>
  <c r="B118" i="69"/>
  <c r="B120" i="69" s="1"/>
  <c r="B89" i="69"/>
  <c r="D89" i="69" s="1"/>
  <c r="B88" i="69"/>
  <c r="D88" i="69" s="1"/>
  <c r="D39" i="69"/>
  <c r="D32" i="69"/>
  <c r="D145" i="69"/>
  <c r="D148" i="69"/>
  <c r="D129" i="69"/>
  <c r="B93" i="69"/>
  <c r="D82" i="69"/>
  <c r="D81" i="69"/>
  <c r="B122" i="69" l="1"/>
  <c r="D122" i="69" s="1"/>
  <c r="D120" i="69"/>
  <c r="D5" i="69"/>
  <c r="D29" i="69"/>
  <c r="B68" i="69" l="1"/>
  <c r="B55" i="69"/>
  <c r="B56" i="69" s="1"/>
  <c r="D118" i="69" l="1"/>
  <c r="D94" i="69" l="1"/>
  <c r="D140" i="69"/>
  <c r="D141" i="69"/>
  <c r="D139" i="69"/>
  <c r="B77" i="69"/>
  <c r="B70" i="69"/>
  <c r="D92" i="69" l="1"/>
  <c r="D93" i="69"/>
  <c r="B115" i="69" l="1"/>
  <c r="D12" i="69"/>
  <c r="D75" i="69"/>
  <c r="D115" i="69" l="1"/>
  <c r="B117" i="69"/>
  <c r="D114" i="69"/>
  <c r="B76" i="69"/>
  <c r="D76" i="69" s="1"/>
  <c r="B119" i="69" l="1"/>
  <c r="D117" i="69"/>
  <c r="C130" i="69"/>
  <c r="D130" i="69" s="1"/>
  <c r="C132" i="69"/>
  <c r="D132" i="69" s="1"/>
  <c r="C133" i="69"/>
  <c r="D133" i="69" s="1"/>
  <c r="C71" i="69"/>
  <c r="D71" i="69" s="1"/>
  <c r="D70" i="69"/>
  <c r="D4" i="69"/>
  <c r="D3" i="69"/>
  <c r="B121" i="69" l="1"/>
  <c r="D121" i="69" s="1"/>
  <c r="D119" i="69"/>
  <c r="D125" i="69"/>
  <c r="D126" i="69"/>
  <c r="D68" i="69"/>
  <c r="D69" i="69"/>
  <c r="D63" i="69" l="1"/>
  <c r="D77" i="69"/>
  <c r="D56" i="69"/>
  <c r="D22" i="69"/>
  <c r="D24" i="69"/>
  <c r="D21" i="69" l="1"/>
  <c r="D55" i="69"/>
  <c r="D45" i="69"/>
  <c r="D30" i="69"/>
  <c r="D11" i="69"/>
  <c r="D10" i="69"/>
  <c r="J2" i="58" l="1"/>
  <c r="C2" i="58"/>
  <c r="B2" i="58"/>
  <c r="F9" i="57"/>
  <c r="E9" i="57"/>
  <c r="D3" i="57"/>
  <c r="F3" i="57" s="1"/>
  <c r="D4" i="57"/>
  <c r="F4" i="57" s="1"/>
  <c r="D5" i="57"/>
  <c r="E5" i="57" s="1"/>
  <c r="D6" i="57"/>
  <c r="E6" i="57" s="1"/>
  <c r="D7" i="57"/>
  <c r="E7" i="57" s="1"/>
  <c r="D8" i="57"/>
  <c r="E8" i="57" s="1"/>
  <c r="D2" i="57"/>
  <c r="E2" i="57" s="1"/>
  <c r="F196" i="69"/>
  <c r="F195" i="69"/>
  <c r="D192" i="69"/>
  <c r="F192" i="69"/>
  <c r="D191" i="69"/>
  <c r="F194" i="69"/>
  <c r="F193" i="69"/>
  <c r="F191" i="69"/>
  <c r="D194" i="69"/>
  <c r="D193" i="69"/>
  <c r="D196" i="69"/>
  <c r="D195" i="69"/>
  <c r="E167" i="69" a="1"/>
  <c r="E3" i="57" l="1"/>
  <c r="E4" i="57"/>
  <c r="F2" i="57"/>
  <c r="F8" i="57"/>
  <c r="E2" i="58"/>
  <c r="I2" i="58" s="1"/>
  <c r="F6" i="57"/>
  <c r="F7" i="57"/>
  <c r="F5" i="57"/>
  <c r="E167" i="69"/>
  <c r="D190" i="69"/>
  <c r="D176" i="69"/>
  <c r="F184" i="69"/>
  <c r="F175" i="69"/>
  <c r="F190" i="69"/>
  <c r="F170" i="69"/>
  <c r="D178" i="69"/>
  <c r="D182" i="69"/>
  <c r="D177" i="69"/>
  <c r="F182" i="69"/>
  <c r="F188" i="69"/>
  <c r="D185" i="69"/>
  <c r="F187" i="69"/>
  <c r="F185" i="69"/>
  <c r="F180" i="69"/>
  <c r="F174" i="69"/>
  <c r="D186" i="69"/>
  <c r="F173" i="69"/>
  <c r="D181" i="69"/>
  <c r="D172" i="69"/>
  <c r="F181" i="69"/>
  <c r="D170" i="69"/>
  <c r="D173" i="69"/>
  <c r="F179" i="69"/>
  <c r="D180" i="69"/>
  <c r="D174" i="69"/>
  <c r="F177" i="69"/>
  <c r="D188" i="69"/>
  <c r="D189" i="69"/>
  <c r="F172" i="69"/>
  <c r="D187" i="69"/>
  <c r="D184" i="69"/>
  <c r="F171" i="69"/>
  <c r="D169" i="69"/>
  <c r="F189" i="69"/>
  <c r="F186" i="69"/>
  <c r="F167" i="69"/>
  <c r="D171" i="69"/>
  <c r="D179" i="69"/>
  <c r="F169" i="69"/>
  <c r="F183" i="69"/>
  <c r="D183" i="69"/>
  <c r="F178" i="69"/>
  <c r="F168" i="69"/>
  <c r="D175" i="69"/>
  <c r="D168" i="69"/>
  <c r="F176" i="69"/>
  <c r="G2" i="58" l="1"/>
  <c r="D167"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<sst xmlns="http://schemas.openxmlformats.org/spreadsheetml/2006/main" count="1661" uniqueCount="783">
  <si>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</si>
  <si>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</si>
  <si>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</si>
  <si>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</si>
  <si>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</si>
  <si>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</si>
  <si>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</si>
  <si>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</si>
  <si>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</si>
  <si>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</si>
  <si>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</si>
  <si>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</si>
  <si>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</si>
  <si>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</si>
  <si>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</si>
  <si>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</si>
  <si>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</si>
  <si>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</si>
  <si>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</si>
  <si>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</si>
  <si>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</si>
  <si>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</si>
  <si>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</si>
  <si>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</si>
  <si>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</si>
  <si>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</si>
  <si>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</si>
  <si>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</si>
  <si>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</si>
  <si>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</si>
  <si>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</si>
  <si>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</si>
  <si>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</si>
  <si>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</si>
  <si>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</si>
  <si>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</si>
  <si>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</si>
  <si>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</si>
  <si>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</si>
  <si>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</si>
  <si>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</si>
  <si>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</si>
  <si>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</si>
  <si>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</si>
  <si>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</si>
  <si>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</si>
  <si>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</si>
  <si>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</si>
  <si>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</si>
  <si>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</si>
  <si>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</si>
  <si>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</si>
  <si>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</si>
  <si>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</si>
  <si>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</si>
  <si>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</si>
  <si>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</si>
  <si>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</si>
  <si>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</si>
  <si>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</si>
  <si>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</si>
  <si>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</si>
  <si>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</si>
  <si>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</si>
  <si>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</si>
  <si>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</si>
  <si>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</si>
  <si>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</si>
  <si>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</si>
  <si>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</si>
  <si>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</si>
  <si>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</si>
  <si>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</si>
  <si>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</si>
  <si>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</si>
  <si>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</si>
  <si>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</si>
  <si>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</si>
  <si>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</si>
  <si>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</si>
  <si>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</si>
  <si>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</si>
  <si>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</si>
  <si>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</si>
  <si>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</si>
  <si>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Racks, PDUs and CDUs</t>
  </si>
  <si>
    <t>GPU Racks</t>
  </si>
  <si>
    <t>[GPU RACK] VR72</t>
  </si>
  <si>
    <t xml:space="preserve"> VR72 GPU Racks</t>
  </si>
  <si>
    <t>T1 E-W NtwkRack</t>
  </si>
  <si>
    <t>IR9000/750mmx1200mm/48U</t>
  </si>
  <si>
    <t>T2 E-W NtwkRack</t>
  </si>
  <si>
    <t>48U x750mm x1200mm</t>
  </si>
  <si>
    <t>T1/T2 N-S NtwkRack</t>
  </si>
  <si>
    <t>T2 N-S NtwkRack</t>
  </si>
  <si>
    <t>T3 N-S NtwkRack</t>
  </si>
  <si>
    <t>T1/T2 Storage Leaf/Spine</t>
  </si>
  <si>
    <t>T1/T2 Control Leaf / Spine</t>
  </si>
  <si>
    <t>IREN Control Leaf/racks</t>
  </si>
  <si>
    <t>IR7044</t>
  </si>
  <si>
    <t>IR7000/750mmx1200mm/48U</t>
  </si>
  <si>
    <t>OOB/AGGR/Storage/Control Racks</t>
  </si>
  <si>
    <t>PDU 3Ph, 415V, 60A</t>
  </si>
  <si>
    <t>Andrew to Confirm</t>
  </si>
  <si>
    <t>RDHx CL20</t>
  </si>
  <si>
    <t>Patch Panels / Shuffle Componets Side Car</t>
  </si>
  <si>
    <t>Cassette /SU for Leaf Rack GPU to Leaf [Hosted in Leaf rack]</t>
  </si>
  <si>
    <t>4x4 shuffle unit = 432 x 18 [4x4] + 144 x 9[4x4]</t>
  </si>
  <si>
    <t xml:space="preserve">Cassette /SU for Leaf Rack to Spine Rack [Hosted in Spine Rack] </t>
  </si>
  <si>
    <t>4x4 shuffle unit = 360 x 18 [4x4] + 200 x 9[4x4]</t>
  </si>
  <si>
    <t>FiberPanel</t>
  </si>
  <si>
    <t>Shuffle Racks</t>
  </si>
  <si>
    <t>Shuffle Boxes (Passive &amp; Openframe) [4x4 Shufflers]</t>
  </si>
  <si>
    <t>Side Car</t>
  </si>
  <si>
    <t>Jumper Cable from Fiber Panel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</si>
  <si>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</si>
  <si>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</si>
  <si>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</si>
  <si>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</si>
  <si>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</si>
  <si>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</si>
  <si>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</si>
  <si>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</si>
  <si>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</si>
  <si>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</si>
  <si>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</si>
  <si>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</si>
  <si>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</si>
  <si>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</si>
  <si>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</si>
  <si>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</si>
  <si>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</si>
  <si>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</si>
  <si>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</si>
  <si>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</si>
  <si>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</si>
  <si>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</si>
  <si>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</si>
  <si>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</si>
  <si>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</si>
  <si>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</si>
  <si>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</si>
  <si>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</si>
  <si>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</si>
  <si>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</si>
  <si>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</si>
  <si>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</si>
  <si>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</si>
  <si>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</si>
  <si>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</si>
  <si>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</si>
  <si>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</si>
  <si>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</si>
  <si>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</si>
  <si>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</si>
  <si>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</si>
  <si>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</si>
  <si>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</si>
  <si>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</si>
  <si>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</si>
  <si>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</si>
  <si>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</si>
  <si>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t>N-S Storage Spine-Core Link Spine Xcvr</t>
  </si>
  <si>
    <t>N-S Storage Spine-Core Link Spine Xcvr Cable</t>
  </si>
  <si>
    <t>Backend Storage Leaf-Compute Link Leaf Xcvr</t>
  </si>
  <si>
    <t>Backend Storage Leaf-Compute Link  Cable</t>
  </si>
  <si>
    <t>Backend Storage Leaf-Compute Link  Xcvr</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</si>
  <si>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</si>
  <si>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</si>
  <si>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</si>
  <si>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</si>
  <si>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</si>
  <si>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</si>
  <si>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</si>
  <si>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</si>
  <si>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</si>
  <si>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</si>
  <si>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</si>
  <si>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</si>
  <si>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</si>
  <si>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</si>
  <si>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Cat 6</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</si>
  <si>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</si>
  <si>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</si>
  <si>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</si>
  <si>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</si>
  <si>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</si>
  <si>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</si>
  <si>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</si>
  <si>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</si>
  <si>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</si>
  <si>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</si>
  <si>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</si>
  <si>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OOB ToR-AGG Link AGGR Xcvr </t>
  </si>
  <si>
    <t>OOB Core-Border leaf Link OOB Core Xcvr</t>
  </si>
  <si>
    <t>4x100G Breakout Patch Panel [AGGR to TOR] installed local to AGG switch</t>
  </si>
  <si>
    <t>Corning has to provide the part number</t>
  </si>
  <si>
    <t>One Patch Panel to rack where SN4700 is installed since 4x100G cable length max size is 5m</t>
  </si>
  <si>
    <t>OOB Core-Border Link Border Xcvr Cable</t>
  </si>
  <si>
    <t xml:space="preserve">OOB Core-Border Link Border Xcvr </t>
  </si>
  <si>
    <t xml:space="preserve"> IREN WILL PROVIDE</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</si>
  <si>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</si>
  <si>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</si>
  <si>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</si>
  <si>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</si>
  <si>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</si>
  <si>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</si>
  <si>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</si>
  <si>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</si>
  <si>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</si>
  <si>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</si>
  <si>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</si>
  <si>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</si>
  <si>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</si>
  <si>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</si>
  <si>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</si>
  <si>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</si>
  <si>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</si>
  <si>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</si>
  <si>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</si>
  <si>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</si>
  <si>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</si>
  <si>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</si>
  <si>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</si>
  <si>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D157</t>
  </si>
  <si>
    <t>E157</t>
  </si>
  <si>
    <t>F157</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</si>
  <si>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</si>
  <si>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</si>
  <si>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</si>
  <si>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</si>
  <si>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</si>
  <si>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</si>
  <si>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</si>
  <si>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4 spines, 1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</si>
  <si>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</si>
  <si>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</si>
  <si>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</si>
  <si>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</si>
  <si>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</si>
  <si>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</si>
  <si>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</si>
  <si>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</si>
  <si>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</si>
  <si>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</si>
  <si>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</si>
  <si>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</si>
  <si>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OOB ToR #1</t>
  </si>
  <si>
    <t>9 4x4Shuffle (3blade)</t>
  </si>
  <si>
    <t>Storage BE OOB ToR #1</t>
  </si>
  <si>
    <t>18 4x4Shuffle (3blade)</t>
  </si>
  <si>
    <t>Storage BE OOB ToR #2</t>
  </si>
  <si>
    <t>CTRL Leaf #1</t>
  </si>
  <si>
    <t>OOB ToR #2</t>
  </si>
  <si>
    <t>Storage BE OOB ToR #3</t>
  </si>
  <si>
    <t>IREN OOB ToR #3</t>
  </si>
  <si>
    <t>CSP OOB ToR #4</t>
  </si>
  <si>
    <t>Storage BE OOB ToR #4</t>
  </si>
  <si>
    <t>1RU POWER SHELF</t>
  </si>
  <si>
    <t>CTRL Leaf #2</t>
  </si>
  <si>
    <t>O-OOB # 5</t>
  </si>
  <si>
    <t>Backend STORAGE leaf  #2</t>
  </si>
  <si>
    <t>Dell IRC</t>
  </si>
  <si>
    <t>OOB AGG #1</t>
  </si>
  <si>
    <t>Cross-Brace</t>
  </si>
  <si>
    <t>E-W Leaf #2.A SN6600-LD Plane4</t>
  </si>
  <si>
    <t>E-W Leaf #2.B SN6600-LD Plane8</t>
  </si>
  <si>
    <t>E-W Leaf #4.A SN6600-LD Plane4</t>
  </si>
  <si>
    <t>E-W Leaf #4.B SN6600-LD Plane8</t>
  </si>
  <si>
    <t>E-W Spine #8 SN6600-LD</t>
  </si>
  <si>
    <t>Backend STORAGE leaf  #1</t>
  </si>
  <si>
    <t>OOB CORE # 1</t>
  </si>
  <si>
    <t>E-W Leaf #2.A SN6600-LD Plane3</t>
  </si>
  <si>
    <t>E-W Leaf #2.B SN6600-LD Plane7</t>
  </si>
  <si>
    <t>E-W Leaf #4.A SN6600-LD Plane3</t>
  </si>
  <si>
    <t>E-W Leaf #4.B SN6600-LD Plane7</t>
  </si>
  <si>
    <t>E-W Spine #7 SN6600-LD</t>
  </si>
  <si>
    <t>STORAGE SPINE #4</t>
  </si>
  <si>
    <t>CTRL SPINE #1</t>
  </si>
  <si>
    <t>E-W Leaf #2.A SN6600-LD Plane2</t>
  </si>
  <si>
    <t>E-W Leaf #2.B SN6600-LD Plane6</t>
  </si>
  <si>
    <t>E-W Leaf #4.A SN6600-LD Plane2</t>
  </si>
  <si>
    <t>E-W Leaf #4.B SN6600-LD Plane6</t>
  </si>
  <si>
    <t>E-W Spine #6 SN6600-LD</t>
  </si>
  <si>
    <t>N-S Spine #3</t>
  </si>
  <si>
    <t>N-S Spine #4</t>
  </si>
  <si>
    <t>STORAGE SPINE #3</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</si>
  <si>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</si>
  <si>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</si>
  <si>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</si>
  <si>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</si>
  <si>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</si>
  <si>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</si>
  <si>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</si>
  <si>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</si>
  <si>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</si>
  <si>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</si>
  <si>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</si>
  <si>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SPINE #2</t>
  </si>
  <si>
    <t>CTRL Leaf # 2</t>
  </si>
  <si>
    <t>N-S Core #5(Group 1)</t>
  </si>
  <si>
    <t>N-S Core #5(Group 2)</t>
  </si>
  <si>
    <t>N-S Core #5(Group 3)</t>
  </si>
  <si>
    <t>N-S Core #5(Group 4)</t>
  </si>
  <si>
    <t>STORAGE SPINE #1</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</si>
  <si>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</si>
  <si>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</si>
  <si>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</si>
  <si>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</si>
  <si>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</si>
  <si>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</si>
  <si>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</si>
  <si>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</si>
  <si>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</si>
  <si>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</si>
  <si>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</si>
  <si>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</si>
  <si>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</si>
  <si>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</si>
  <si>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</si>
  <si>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</si>
  <si>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</si>
  <si>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</si>
  <si>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</si>
  <si>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</si>
  <si>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</si>
  <si>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</si>
  <si>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</si>
  <si>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</si>
  <si>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</si>
  <si>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</si>
  <si>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</si>
  <si>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</si>
  <si>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</si>
  <si>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</si>
  <si>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</si>
  <si>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</si>
  <si>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</si>
  <si>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</si>
  <si>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</si>
  <si>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</si>
  <si>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</si>
  <si>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</si>
  <si>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</si>
  <si>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</si>
  <si>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</si>
  <si>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</si>
  <si>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</si>
  <si>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</si>
  <si>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</si>
  <si>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</si>
  <si>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</si>
  <si>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</si>
  <si>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</si>
  <si>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</si>
  <si>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</si>
  <si>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</si>
  <si>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</si>
  <si>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</si>
  <si>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</si>
  <si>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</si>
  <si>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</si>
  <si>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</si>
  <si>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</si>
  <si>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</si>
  <si>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</si>
  <si>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</si>
  <si>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</si>
  <si>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</si>
  <si>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</si>
  <si>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</si>
  <si>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</si>
  <si>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</si>
  <si>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</si>
  <si>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</si>
  <si>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48U Rack</t>
  </si>
  <si>
    <t>DLC Rack Brakdown</t>
  </si>
  <si>
    <t xml:space="preserve">IR 9000 racks components - based on 48RU rack  - Dell MGX 144 rack </t>
  </si>
  <si>
    <t>Dell cost (per unit)</t>
  </si>
  <si>
    <t>TTL QTY</t>
  </si>
  <si>
    <t>Ext Cost</t>
  </si>
  <si>
    <t>Bus bar</t>
  </si>
  <si>
    <t>44OU/48RU DLC Bus Bar for Dell 5000A+ (landed)</t>
  </si>
  <si>
    <t>Drip tray</t>
  </si>
  <si>
    <t xml:space="preserve">Rack  </t>
  </si>
  <si>
    <t>Dell IR9000 48U Rack for XE9812 VR200 NVL144, 750mm x 1200mm (material only)(include 2 side panels, bolt down brackets aka. Stiffener)</t>
  </si>
  <si>
    <t>Manifolds</t>
  </si>
  <si>
    <t>Cooler Master 48RU Manifolds, 48RU Rack, UQOD08</t>
  </si>
  <si>
    <t>Filter</t>
  </si>
  <si>
    <t>SFN Filter Kit, 2", Includes Filter, Valve and Clamp (in row CDU only)</t>
  </si>
  <si>
    <t>Shock Pallet</t>
  </si>
  <si>
    <t>Shock Pallet with Strap Down Kit, APC - 440OU</t>
  </si>
  <si>
    <t>Rail kit</t>
  </si>
  <si>
    <t>ODM Mechanical Component Compute Tray Slide Rail Pair for MGX Rack V1.2
4 for PSUs + 2 for ToRs + 1 for IRC + 8 for SN6600LD</t>
  </si>
  <si>
    <t>Blanking panels</t>
  </si>
  <si>
    <t>ODM Mechanical Component 1RU Blank Panel with DGX ID</t>
  </si>
  <si>
    <t>Brush filler</t>
  </si>
  <si>
    <t>Brush Filler Shield for Dell 9812 Rack</t>
  </si>
  <si>
    <t>Warranty</t>
  </si>
  <si>
    <t>Basic Next Business Day 36 Months</t>
  </si>
  <si>
    <t xml:space="preserve">Shipping &amp; logistic </t>
  </si>
  <si>
    <t>Placeholder  - Unknowns</t>
  </si>
  <si>
    <t xml:space="preserve">Total per rack cost </t>
  </si>
  <si>
    <t>Power Shelves (Per rack standard qty: 2) - cost from Gaines 2.0 powershelves</t>
  </si>
  <si>
    <t>IR9048 Mounting Rail Kit for PowerShelf</t>
  </si>
  <si>
    <t>Dell Server XE9712 GB300 Powershelf, LiteOn</t>
  </si>
  <si>
    <t>Power Supply Kit for Single Power Shelf, 5.5KW, LiteOn</t>
  </si>
  <si>
    <t>Total per rack power shelf</t>
  </si>
  <si>
    <t>IRC (per rack qty: 1)</t>
  </si>
  <si>
    <t>NRE++</t>
  </si>
  <si>
    <t xml:space="preserve">IRC Preliminary NRE, Ops Adder,  SW, Firmware, and Warranty placeholder </t>
  </si>
  <si>
    <t>Appliance</t>
  </si>
  <si>
    <t>IRC Appliance, Power Satellite, LCD, leak detect rope (Mechanical Cost)</t>
  </si>
  <si>
    <t>Valve control</t>
  </si>
  <si>
    <t>Valve control cable, Valve + Hose Kit for IR9000 (For in Row only)</t>
  </si>
  <si>
    <t xml:space="preserve">PS1 CSP Warranty </t>
  </si>
  <si>
    <t>Total IRC per rack</t>
  </si>
  <si>
    <t>In Rack CDU (per rack qty:1)</t>
  </si>
  <si>
    <t>in -rack CDU</t>
  </si>
  <si>
    <t>Dell PowerCool RCDU R4R19010A</t>
  </si>
  <si>
    <t>PowerCool RCDU Rail kit for IR9000</t>
  </si>
  <si>
    <t>Dell PowerCool RCDU Facility to CDU Hose,1.5in Sanitary, 6ft</t>
  </si>
  <si>
    <t>IR9000 CDU to Manifold Hose Kit, 1.5in, for Dell PowerCool RCDU</t>
  </si>
  <si>
    <t>ProSupport One Data Center for CSP AI Plus Support Bundle with Designated Support and Onsite Engineer NBD Onsite Initial, 36 Month(s)</t>
  </si>
  <si>
    <t>Custom Rack Integration Dell SOW Required</t>
  </si>
  <si>
    <t>CDU Preventative Maintenance Service, 36 Month(s)</t>
  </si>
  <si>
    <t>Air Cooled Rack Breakdown</t>
  </si>
  <si>
    <t>Reference Quote</t>
  </si>
  <si>
    <t>Unit Cost</t>
  </si>
  <si>
    <t>Units</t>
  </si>
  <si>
    <t>US-3000201328266/1</t>
  </si>
  <si>
    <t>APC NetShelter SX Server Rack Gen 2, 48U, 2258H x 750W x 1200D mm,</t>
  </si>
  <si>
    <t>NetShelter SX 750mm Wide x 1200mm Deep Networking Roof</t>
  </si>
  <si>
    <t>PDU11450ME - Power Distribution Unit - Rack-Mountable - Input Voltage: 415 V 3 phase - 34.6KW - I</t>
  </si>
  <si>
    <t>Networking</t>
  </si>
  <si>
    <t xml:space="preserve"> Unit Cost</t>
  </si>
  <si>
    <t>Unit Price</t>
  </si>
  <si>
    <t>Orders Margin</t>
  </si>
  <si>
    <t>Networking E-W</t>
  </si>
  <si>
    <t>L11-DLC</t>
  </si>
  <si>
    <t>SN6600-LD -  DLC, OSFP Pluggable, DC BusBar</t>
  </si>
  <si>
    <t>Using estimated costs for PS1 CSP</t>
  </si>
  <si>
    <t>MMS4B10-XM-RHS</t>
  </si>
  <si>
    <t>Networking N-S</t>
  </si>
  <si>
    <t>SN5610 -  2U 64xOSFP112, C2P (I/P) Airflow</t>
  </si>
  <si>
    <t>L11-AC</t>
  </si>
  <si>
    <t>SN5600D -  2U 64xOSFP112, DC BusBar, C2P (I/P) Airflow</t>
  </si>
  <si>
    <t>MMS1V00-WM</t>
  </si>
  <si>
    <t>OOB Network</t>
  </si>
  <si>
    <t>SN2201 AC C2P - MSN2201-CB2RC </t>
  </si>
  <si>
    <t xml:space="preserve">920-9N110-01R1-0C0 </t>
  </si>
  <si>
    <t>NVDA SN2201 48x1GBaseT, 1U, 2AC PSU, C2P (I/P) Airflow, w/ Cumulus[MSN2201-CB2RC]</t>
  </si>
  <si>
    <t>SN2201 DC Busbar - MSN2201-CSMRC  </t>
  </si>
  <si>
    <t>SN4700 AC C2P - MSN4700-WS2RC</t>
  </si>
  <si>
    <t>920-9N301-00RB-0C0</t>
  </si>
  <si>
    <t>NVDA SN4700 400GbE, 32xQSFPDD, 1U, 2AC PSU, C2P (I/P) Airflow, w/ Cumulus[MSN4700-WS2RC]</t>
  </si>
  <si>
    <t>MMS1V70-CM</t>
  </si>
  <si>
    <t>MMS4X00-NS400</t>
  </si>
  <si>
    <t>Networking Rack Infrastructure</t>
  </si>
  <si>
    <t>DLC Networking Racks - 48U</t>
  </si>
  <si>
    <t>Network rack (DLC)</t>
  </si>
  <si>
    <t>IR9148/750mmx1200mm/48U with 2x PowerShelves and IRC (no in-rack CDU)</t>
  </si>
  <si>
    <t>1U SHUFFLE PANEL</t>
  </si>
  <si>
    <t>4x4 Shuffle Cassette - Commscope 760263036</t>
  </si>
  <si>
    <t>Fibre Shuffle Cassettes - E-W Leaf rack</t>
  </si>
  <si>
    <t>Cassette /SU for Leaf Rack GPU to Leaf [Hosted in Leaf rack] - - MPO-8 4x4 Shuffle Module, 4x8f MPO/APC pinned rear to 4X8f MPO/APC pinned front</t>
  </si>
  <si>
    <t>2x(2x2) Shuffle Cassette - Commscope 760263034</t>
  </si>
  <si>
    <t>MPO-8 2x2 Shuffle Module, 4x8f MPO/APC pinned rear to 4X8f MPO/APC pinned front, Key Up/Key Up adapters</t>
  </si>
  <si>
    <t>L11-DLC check with Maunish</t>
  </si>
  <si>
    <t>MPO12/APC-MMC/APC SMF Jumper - 3m or 5m</t>
  </si>
  <si>
    <t>Air-Cooled Networking Racks - Clusters 48U</t>
  </si>
  <si>
    <t>Network rack (AC)</t>
  </si>
  <si>
    <t>IR5000 - Air Cooled Racks with 2x PDUs</t>
  </si>
  <si>
    <t>L11-AC check with RIT</t>
  </si>
  <si>
    <t xml:space="preserve">4x100G Patch Panel </t>
  </si>
  <si>
    <t>Corning 4x100 Breakout PP</t>
  </si>
  <si>
    <t>IR7000 - Air Cooled Racks with 2x PDUs</t>
  </si>
  <si>
    <t>Price can be collected form DSA</t>
  </si>
  <si>
    <t>IR9048 - Air Cooled Racks with 2x PDUs</t>
  </si>
  <si>
    <t>GM</t>
  </si>
  <si>
    <t>Total Networking PnL</t>
  </si>
  <si>
    <t>Rack Integration - (Compute and Networking Racks)</t>
  </si>
  <si>
    <t>Field Deployment - (Compute and Networking Racks)</t>
  </si>
  <si>
    <t>Not Included in the Quote</t>
  </si>
  <si>
    <t>MPO12/APC-MMC/APC SMF Jumper - 3m</t>
  </si>
  <si>
    <t>MPO12/APC SMF - 50m</t>
  </si>
  <si>
    <t>MPO12/APC-MMC/APC SMF - 50m</t>
  </si>
  <si>
    <t>MPO12/APC-4LC SMF - 10m</t>
  </si>
  <si>
    <t xml:space="preserve">CAT6 Thin </t>
  </si>
  <si>
    <t>CAT6 Thin 3M</t>
  </si>
  <si>
    <t>CAT6 Thin 10M</t>
  </si>
  <si>
    <t>Aircool AC Sidecar (VCM)</t>
  </si>
  <si>
    <t>DLC DC Sidecar (VCM)</t>
  </si>
  <si>
    <t>P2P</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</si>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</sst>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0.00"/>
    <numFmt numFmtId="165" formatCode="&quot;$&quot;#,##0.00"/>
    <numFmt numFmtId="166" formatCode="0.0"/>
    <numFmt numFmtId="167" formatCode="_(* #,##0_);_(* \(#,##0\);_(* &quot;-&quot;??_);_(@_)"/>
  </numFmts>
  <fonts count="66"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b/>
      <sz val="14"/>
      <color theme="5"/>
      <name val="Aptos Narrow"/>
      <family val="2"/>
      <scheme val="minor"/>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9"/>
      <name val="Calibri"/>
      <family val="2"/>
    </font>
    <font>
      <sz val="11"/>
      <color rgb="FFFF0000"/>
      <name val="Calibri"/>
      <family val="2"/>
    </font>
    <font>
      <sz val="9"/>
      <color theme="1"/>
      <name val="Calibri"/>
      <family val="2"/>
    </font>
    <font>
      <b/>
      <sz val="14"/>
      <color rgb="FFED7D31"/>
      <name val="Calibri"/>
      <family val="2"/>
    </font>
    <font>
      <sz val="11"/>
      <color theme="0"/>
      <name val="Calibri"/>
      <family val="2"/>
    </font>
    <font>
      <sz val="14"/>
      <color theme="1"/>
      <name val="Aptos Narrow"/>
      <family val="2"/>
      <scheme val="minor"/>
    </font>
    <font>
      <sz val="14"/>
      <color theme="1"/>
      <name val="Calibri"/>
      <family val="2"/>
    </font>
    <font>
      <sz val="10"/>
      <color rgb="FF000000"/>
      <name val="Aptos"/>
      <family val="2"/>
    </font>
    <font>
      <sz val="9"/>
      <color theme="1"/>
      <name val="Aptos Narrow"/>
      <family val="2"/>
    </font>
    <font>
      <sz val="9"/>
      <name val="Aptos Narrow"/>
      <family val="2"/>
    </font>
    <font>
      <sz val="9"/>
      <color rgb="FF27251E"/>
      <name val="Aptos"/>
      <family val="2"/>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rgb="FF000000"/>
      <name val="Aptos Narrow"/>
      <family val="2"/>
    </font>
    <font>
      <b/>
      <sz val="11"/>
      <color rgb="FFFF0000"/>
      <name val="Calibri"/>
      <family val="2"/>
    </font>
    <font>
      <sz val="10"/>
      <color theme="1"/>
      <name val="Aptos Narrow"/>
      <family val="2"/>
      <scheme val="minor"/>
    </font>
    <font>
      <b/>
      <sz val="10"/>
      <color rgb="FF000000"/>
      <name val="Aptos Narrow"/>
      <family val="2"/>
      <scheme val="minor"/>
    </font>
    <font>
      <b/>
      <sz val="11"/>
      <color rgb="FFFFFFFF"/>
      <name val="Aptos Narrow"/>
      <family val="2"/>
      <scheme val="minor"/>
    </font>
    <font>
      <sz val="11"/>
      <color theme="1"/>
      <name val="Aptos Narrow"/>
      <family val="2"/>
    </font>
    <font>
      <sz val="5"/>
      <color theme="1"/>
      <name val="Segoe UI"/>
      <family val="2"/>
    </font>
  </fonts>
  <fills count="36">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theme="3" tint="0.79998168889431442"/>
        <bgColor rgb="FF000000"/>
      </patternFill>
    </fill>
    <fill>
      <patternFill patternType="solid">
        <fgColor rgb="FFDDEBF7"/>
        <bgColor rgb="FF000000"/>
      </patternFill>
    </fill>
    <fill>
      <patternFill patternType="solid">
        <fgColor theme="5" tint="0.79998168889431442"/>
        <bgColor rgb="FF000000"/>
      </patternFill>
    </fill>
    <fill>
      <patternFill patternType="solid">
        <fgColor theme="9" tint="0.39997558519241921"/>
        <bgColor rgb="FF000000"/>
      </patternFill>
    </fill>
    <fill>
      <patternFill patternType="solid">
        <fgColor theme="9" tint="0.79998168889431442"/>
        <bgColor rgb="FF000000"/>
      </patternFill>
    </fill>
    <fill>
      <patternFill patternType="solid">
        <fgColor rgb="FFFFFFFF"/>
        <bgColor rgb="FF000000"/>
      </patternFill>
    </fill>
    <fill>
      <patternFill patternType="solid">
        <fgColor theme="3" tint="0.89999084444715716"/>
        <bgColor indexed="64"/>
      </patternFill>
    </fill>
    <fill>
      <patternFill patternType="solid">
        <fgColor rgb="FFD0D0D0"/>
        <bgColor rgb="FF000000"/>
      </patternFill>
    </fill>
    <fill>
      <patternFill patternType="solid">
        <fgColor rgb="FFD9D9D9"/>
        <bgColor rgb="FF000000"/>
      </patternFill>
    </fill>
    <fill>
      <patternFill patternType="solid">
        <fgColor theme="2" tint="-9.9978637043366805E-2"/>
        <bgColor indexed="64"/>
      </patternFill>
    </fill>
    <fill>
      <patternFill patternType="solid">
        <fgColor theme="2" tint="-9.9978637043366805E-2"/>
        <bgColor rgb="FF000000"/>
      </patternFill>
    </fill>
    <fill>
      <patternFill patternType="solid">
        <fgColor rgb="FF0E2841"/>
        <bgColor indexed="64"/>
      </patternFill>
    </fill>
    <fill>
      <patternFill patternType="solid">
        <fgColor rgb="FFE7E6E6"/>
        <bgColor indexed="64"/>
      </patternFill>
    </fill>
    <fill>
      <patternFill patternType="solid">
        <fgColor theme="0" tint="-0.14999847407452621"/>
        <bgColor indexed="64"/>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0" applyBorder="0"/>
    <xf numFmtId="43" fontId="56" fillId="0" borderId="0" applyFont="0" applyFill="0" applyBorder="0" applyAlignment="0" applyProtection="0"/>
    <xf numFmtId="44" fontId="56" fillId="0" borderId="0" applyFont="0" applyFill="0" applyBorder="0" applyAlignment="0" applyProtection="0"/>
    <xf numFmtId="9" fontId="56" fillId="0" borderId="0" applyFont="0" applyFill="0" applyBorder="0" applyAlignment="0" applyProtection="0"/>
  </cellStyleXfs>
  <cellXfs count="393">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3" fontId="26" fillId="0" borderId="3" xfId="0" applyNumberFormat="1" applyFont="1" applyBorder="1" applyAlignment="1">
      <alignment wrapText="1"/>
    </xf>
    <xf numFmtId="1" fontId="26" fillId="0" borderId="3" xfId="0" applyNumberFormat="1" applyFont="1" applyBorder="1"/>
    <xf numFmtId="1" fontId="26" fillId="0" borderId="6" xfId="0" applyNumberFormat="1" applyFont="1" applyBorder="1"/>
    <xf numFmtId="0" fontId="26" fillId="15" borderId="3" xfId="0" applyFont="1" applyFill="1" applyBorder="1"/>
    <xf numFmtId="3" fontId="26" fillId="0" borderId="3" xfId="0" applyNumberFormat="1" applyFont="1" applyBorder="1"/>
    <xf numFmtId="0" fontId="26" fillId="0" borderId="5" xfId="0" applyFont="1" applyBorder="1"/>
    <xf numFmtId="1" fontId="26" fillId="0" borderId="5" xfId="0" applyNumberFormat="1" applyFont="1" applyBorder="1"/>
    <xf numFmtId="1" fontId="26" fillId="0" borderId="18" xfId="0" applyNumberFormat="1" applyFont="1" applyBorder="1"/>
    <xf numFmtId="0" fontId="26" fillId="0" borderId="20" xfId="0" applyFont="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7" fillId="17" borderId="3" xfId="0" applyFont="1" applyFill="1" applyBorder="1" applyAlignment="1">
      <alignment wrapText="1"/>
    </xf>
    <xf numFmtId="0" fontId="21" fillId="14" borderId="3" xfId="0" applyFont="1" applyFill="1" applyBorder="1"/>
    <xf numFmtId="0" fontId="38" fillId="0" borderId="0" xfId="0" applyFont="1"/>
    <xf numFmtId="0" fontId="39" fillId="0" borderId="0" xfId="0" applyFont="1" applyAlignment="1">
      <alignment vertical="center"/>
    </xf>
    <xf numFmtId="0" fontId="0" fillId="0" borderId="0" xfId="1" applyFont="1" applyAlignment="1">
      <alignment horizontal="center"/>
    </xf>
    <xf numFmtId="0" fontId="15" fillId="0" borderId="0" xfId="1" applyFont="1" applyAlignment="1">
      <alignment horizontal="center"/>
    </xf>
    <xf numFmtId="0" fontId="17" fillId="0" borderId="0" xfId="0" applyFont="1" applyAlignment="1">
      <alignment horizontal="center"/>
    </xf>
    <xf numFmtId="0" fontId="2" fillId="0" borderId="0" xfId="0" applyFont="1" applyAlignment="1">
      <alignment horizontal="center"/>
    </xf>
    <xf numFmtId="0" fontId="17" fillId="18" borderId="9" xfId="0" applyFont="1" applyFill="1" applyBorder="1" applyAlignment="1">
      <alignment horizontal="center" vertical="center"/>
    </xf>
    <xf numFmtId="0" fontId="17" fillId="0" borderId="3" xfId="0" applyFont="1" applyBorder="1" applyAlignment="1">
      <alignment horizontal="center" vertical="center"/>
    </xf>
    <xf numFmtId="0" fontId="17" fillId="18" borderId="5" xfId="0" applyFont="1" applyFill="1" applyBorder="1" applyAlignment="1">
      <alignment horizontal="center" vertical="center"/>
    </xf>
    <xf numFmtId="0" fontId="17" fillId="18" borderId="3" xfId="0" applyFont="1" applyFill="1" applyBorder="1" applyAlignment="1">
      <alignment horizontal="center" vertical="center"/>
    </xf>
    <xf numFmtId="0" fontId="17" fillId="18" borderId="12" xfId="0" applyFont="1" applyFill="1" applyBorder="1" applyAlignment="1">
      <alignment horizontal="center" vertical="center"/>
    </xf>
    <xf numFmtId="0" fontId="17" fillId="19"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40" fillId="0" borderId="3" xfId="0" applyFont="1" applyBorder="1" applyAlignment="1">
      <alignment horizontal="left" vertical="top" readingOrder="1"/>
    </xf>
    <xf numFmtId="0" fontId="41" fillId="15" borderId="3" xfId="0" applyFont="1" applyFill="1" applyBorder="1"/>
    <xf numFmtId="0" fontId="42"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0" fontId="26" fillId="14" borderId="21" xfId="0" applyFont="1" applyFill="1" applyBorder="1"/>
    <xf numFmtId="1" fontId="26" fillId="14" borderId="21" xfId="0" applyNumberFormat="1" applyFont="1" applyFill="1" applyBorder="1"/>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3" fillId="7" borderId="3" xfId="0" applyFont="1" applyFill="1" applyBorder="1" applyAlignment="1">
      <alignment vertical="center" wrapText="1"/>
    </xf>
    <xf numFmtId="0" fontId="27" fillId="0" borderId="0" xfId="0" applyFont="1"/>
    <xf numFmtId="0" fontId="45" fillId="0" borderId="0" xfId="0" applyFont="1"/>
    <xf numFmtId="0" fontId="20" fillId="0" borderId="0" xfId="0" applyFont="1" applyAlignment="1">
      <alignment wrapText="1"/>
    </xf>
    <xf numFmtId="0" fontId="0" fillId="0" borderId="0" xfId="0" applyAlignment="1">
      <alignment wrapText="1"/>
    </xf>
    <xf numFmtId="0" fontId="26" fillId="14" borderId="4" xfId="0" applyFont="1" applyFill="1" applyBorder="1"/>
    <xf numFmtId="0" fontId="36" fillId="0" borderId="4" xfId="0" applyFont="1" applyBorder="1"/>
    <xf numFmtId="0" fontId="11" fillId="14" borderId="4" xfId="0" applyFont="1" applyFill="1" applyBorder="1" applyAlignment="1">
      <alignment horizontal="left" vertical="center" readingOrder="1"/>
    </xf>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0" fontId="22" fillId="2" borderId="3" xfId="0" applyFont="1" applyFill="1" applyBorder="1" applyAlignment="1">
      <alignment readingOrder="1"/>
    </xf>
    <xf numFmtId="3" fontId="23" fillId="14" borderId="0" xfId="0" applyNumberFormat="1" applyFont="1" applyFill="1" applyAlignment="1">
      <alignment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6" fillId="0" borderId="0" xfId="0" applyFont="1" applyAlignment="1">
      <alignment wrapText="1"/>
    </xf>
    <xf numFmtId="0" fontId="47" fillId="0" borderId="0" xfId="0" applyFont="1"/>
    <xf numFmtId="0" fontId="47" fillId="0" borderId="0" xfId="0" applyFont="1" applyAlignment="1">
      <alignment vertical="center"/>
    </xf>
    <xf numFmtId="0" fontId="17" fillId="0" borderId="29" xfId="0" applyFont="1" applyBorder="1" applyAlignment="1">
      <alignment vertical="center"/>
    </xf>
    <xf numFmtId="0" fontId="17" fillId="0" borderId="9" xfId="0" applyFont="1" applyBorder="1" applyAlignment="1">
      <alignment horizontal="center" vertical="center"/>
    </xf>
    <xf numFmtId="0" fontId="1" fillId="18" borderId="3" xfId="0" applyFont="1" applyFill="1" applyBorder="1" applyAlignment="1">
      <alignment horizontal="center" vertical="center"/>
    </xf>
    <xf numFmtId="0" fontId="17" fillId="0" borderId="12" xfId="0" applyFont="1" applyBorder="1" applyAlignment="1">
      <alignment horizontal="center" vertical="center"/>
    </xf>
    <xf numFmtId="0" fontId="49" fillId="0" borderId="0" xfId="0" applyFont="1"/>
    <xf numFmtId="0" fontId="50" fillId="0" borderId="0" xfId="0" applyFont="1"/>
    <xf numFmtId="0" fontId="50" fillId="0" borderId="0" xfId="0" applyFont="1" applyAlignment="1">
      <alignment horizontal="center"/>
    </xf>
    <xf numFmtId="166" fontId="23" fillId="0" borderId="3" xfId="0" applyNumberFormat="1" applyFont="1" applyBorder="1" applyAlignment="1">
      <alignment wrapText="1"/>
    </xf>
    <xf numFmtId="0" fontId="46" fillId="0" borderId="3" xfId="0" applyFont="1" applyBorder="1" applyAlignment="1">
      <alignment wrapText="1"/>
    </xf>
    <xf numFmtId="0" fontId="27" fillId="0" borderId="3" xfId="0" applyFont="1" applyBorder="1"/>
    <xf numFmtId="0" fontId="51" fillId="7" borderId="3" xfId="0" applyFont="1" applyFill="1" applyBorder="1" applyAlignment="1">
      <alignment vertical="center" wrapText="1"/>
    </xf>
    <xf numFmtId="0" fontId="25" fillId="6" borderId="6" xfId="0" applyFont="1" applyFill="1" applyBorder="1" applyAlignment="1">
      <alignment horizontal="center"/>
    </xf>
    <xf numFmtId="0" fontId="44" fillId="0" borderId="3" xfId="0" applyFont="1" applyBorder="1" applyAlignment="1">
      <alignment wrapText="1"/>
    </xf>
    <xf numFmtId="0" fontId="37" fillId="0" borderId="3" xfId="0" applyFont="1" applyBorder="1" applyAlignment="1">
      <alignment horizontal="left" vertical="center" readingOrder="1"/>
    </xf>
    <xf numFmtId="0" fontId="52" fillId="0" borderId="0" xfId="0" applyFont="1" applyAlignment="1">
      <alignment vertical="center" wrapText="1"/>
    </xf>
    <xf numFmtId="0" fontId="53" fillId="0" borderId="3" xfId="0" applyFont="1" applyBorder="1" applyAlignment="1">
      <alignment wrapText="1"/>
    </xf>
    <xf numFmtId="0" fontId="52" fillId="2" borderId="3" xfId="0" applyFont="1" applyFill="1" applyBorder="1" applyAlignment="1">
      <alignment horizontal="left" vertical="center" readingOrder="1"/>
    </xf>
    <xf numFmtId="0" fontId="52" fillId="0" borderId="3" xfId="0" applyFont="1" applyBorder="1"/>
    <xf numFmtId="0" fontId="53" fillId="4" borderId="3" xfId="0" applyFont="1" applyFill="1" applyBorder="1"/>
    <xf numFmtId="0" fontId="26" fillId="14" borderId="30" xfId="0" applyFont="1" applyFill="1" applyBorder="1"/>
    <xf numFmtId="0" fontId="26" fillId="14" borderId="2" xfId="0" applyFont="1" applyFill="1" applyBorder="1"/>
    <xf numFmtId="0" fontId="26" fillId="14" borderId="31" xfId="0" applyFont="1" applyFill="1" applyBorder="1"/>
    <xf numFmtId="0" fontId="20" fillId="0" borderId="21" xfId="0" applyFont="1" applyBorder="1"/>
    <xf numFmtId="0" fontId="0" fillId="5" borderId="3" xfId="0" applyFill="1" applyBorder="1" applyAlignment="1">
      <alignment horizontal="center" vertical="center"/>
    </xf>
    <xf numFmtId="0" fontId="17" fillId="0" borderId="0" xfId="0" applyFont="1" applyAlignment="1">
      <alignment vertical="center"/>
    </xf>
    <xf numFmtId="0" fontId="17" fillId="0" borderId="32" xfId="0" applyFont="1" applyBorder="1" applyAlignment="1">
      <alignment horizontal="center" vertical="center" textRotation="180"/>
    </xf>
    <xf numFmtId="0" fontId="17" fillId="0" borderId="33" xfId="0" applyFont="1" applyBorder="1" applyAlignment="1">
      <alignment horizontal="center" vertical="center" textRotation="180"/>
    </xf>
    <xf numFmtId="0" fontId="17" fillId="0" borderId="34" xfId="0" applyFont="1" applyBorder="1" applyAlignment="1">
      <alignment horizontal="center" vertical="center" textRotation="180"/>
    </xf>
    <xf numFmtId="0" fontId="17" fillId="22" borderId="5" xfId="0" applyFont="1" applyFill="1" applyBorder="1" applyAlignment="1">
      <alignment horizontal="center" vertical="center"/>
    </xf>
    <xf numFmtId="0" fontId="36" fillId="14" borderId="3" xfId="0" applyFont="1" applyFill="1" applyBorder="1"/>
    <xf numFmtId="0" fontId="54"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39" fillId="0" borderId="0" xfId="0" applyFont="1"/>
    <xf numFmtId="0" fontId="39" fillId="0" borderId="0" xfId="0" quotePrefix="1" applyFont="1"/>
    <xf numFmtId="0" fontId="1" fillId="18" borderId="8" xfId="0" applyFont="1" applyFill="1" applyBorder="1" applyAlignment="1">
      <alignment horizontal="center" vertical="center"/>
    </xf>
    <xf numFmtId="0" fontId="17" fillId="0" borderId="35" xfId="0" applyFont="1" applyBorder="1" applyAlignment="1">
      <alignment horizontal="center" vertical="center"/>
    </xf>
    <xf numFmtId="0" fontId="17" fillId="0" borderId="10" xfId="0" applyFont="1" applyBorder="1" applyAlignment="1">
      <alignment horizontal="center" vertical="center"/>
    </xf>
    <xf numFmtId="0" fontId="1" fillId="18" borderId="36" xfId="0" applyFont="1" applyFill="1" applyBorder="1" applyAlignment="1">
      <alignment horizontal="center" vertical="center"/>
    </xf>
    <xf numFmtId="0" fontId="17" fillId="0" borderId="37" xfId="0" applyFont="1" applyBorder="1" applyAlignment="1">
      <alignment horizontal="center" vertical="center"/>
    </xf>
    <xf numFmtId="0" fontId="0" fillId="0" borderId="37" xfId="0" applyBorder="1" applyAlignment="1">
      <alignment horizontal="center" vertical="center"/>
    </xf>
    <xf numFmtId="0" fontId="17" fillId="26" borderId="3" xfId="0" applyFont="1" applyFill="1" applyBorder="1" applyAlignment="1">
      <alignment horizontal="center" vertical="center"/>
    </xf>
    <xf numFmtId="0" fontId="17" fillId="26" borderId="37" xfId="0" applyFont="1" applyFill="1" applyBorder="1" applyAlignment="1">
      <alignment horizontal="center" vertical="center"/>
    </xf>
    <xf numFmtId="0" fontId="12" fillId="0" borderId="0" xfId="0" applyFont="1"/>
    <xf numFmtId="0" fontId="17" fillId="20" borderId="2" xfId="1" applyFont="1" applyFill="1" applyBorder="1" applyAlignment="1">
      <alignment horizontal="center"/>
    </xf>
    <xf numFmtId="0" fontId="17" fillId="20" borderId="40" xfId="1" applyFont="1" applyFill="1" applyBorder="1" applyAlignment="1">
      <alignment horizontal="center"/>
    </xf>
    <xf numFmtId="0" fontId="1" fillId="18" borderId="41" xfId="0" applyFont="1" applyFill="1" applyBorder="1" applyAlignment="1">
      <alignment horizontal="center" vertical="center"/>
    </xf>
    <xf numFmtId="0" fontId="48" fillId="21" borderId="1" xfId="1" applyFont="1" applyFill="1" applyBorder="1" applyAlignment="1">
      <alignment horizontal="center"/>
    </xf>
    <xf numFmtId="0" fontId="48" fillId="21" borderId="42" xfId="1" applyFont="1" applyFill="1" applyBorder="1" applyAlignment="1">
      <alignment horizontal="center"/>
    </xf>
    <xf numFmtId="0" fontId="17" fillId="22" borderId="39" xfId="0" applyFont="1" applyFill="1" applyBorder="1" applyAlignment="1">
      <alignment horizontal="center" vertical="center"/>
    </xf>
    <xf numFmtId="0" fontId="17" fillId="20" borderId="1" xfId="1" applyFont="1" applyFill="1" applyBorder="1" applyAlignment="1">
      <alignment horizontal="center"/>
    </xf>
    <xf numFmtId="0" fontId="17" fillId="20" borderId="42" xfId="1" applyFont="1" applyFill="1" applyBorder="1" applyAlignment="1">
      <alignment horizontal="center"/>
    </xf>
    <xf numFmtId="0" fontId="1" fillId="18" borderId="11" xfId="0" applyFont="1" applyFill="1" applyBorder="1" applyAlignment="1">
      <alignment horizontal="center" vertical="center"/>
    </xf>
    <xf numFmtId="0" fontId="49" fillId="5" borderId="0" xfId="0" applyFont="1" applyFill="1"/>
    <xf numFmtId="3" fontId="26" fillId="0" borderId="0" xfId="0" applyNumberFormat="1" applyFont="1" applyAlignment="1">
      <alignment wrapText="1"/>
    </xf>
    <xf numFmtId="0" fontId="17" fillId="0" borderId="43" xfId="0" applyFont="1" applyBorder="1" applyAlignment="1">
      <alignment horizontal="center" vertical="center" textRotation="180"/>
    </xf>
    <xf numFmtId="0" fontId="17" fillId="0" borderId="0" xfId="0" applyFont="1" applyAlignment="1">
      <alignment horizontal="center" vertical="center" textRotation="180"/>
    </xf>
    <xf numFmtId="0" fontId="17" fillId="0" borderId="29" xfId="0" applyFont="1" applyBorder="1" applyAlignment="1">
      <alignment horizontal="center" vertical="center" textRotation="180"/>
    </xf>
    <xf numFmtId="0" fontId="26" fillId="14" borderId="18" xfId="0" applyFont="1" applyFill="1" applyBorder="1"/>
    <xf numFmtId="0" fontId="26" fillId="14" borderId="19" xfId="0" applyFont="1" applyFill="1" applyBorder="1"/>
    <xf numFmtId="1" fontId="26" fillId="14" borderId="19" xfId="0" applyNumberFormat="1" applyFont="1" applyFill="1" applyBorder="1"/>
    <xf numFmtId="0" fontId="35" fillId="7" borderId="19" xfId="0" applyFont="1" applyFill="1" applyBorder="1" applyAlignment="1">
      <alignment horizontal="left" vertical="center" wrapText="1" indent="1"/>
    </xf>
    <xf numFmtId="0" fontId="35" fillId="7" borderId="20" xfId="0" applyFont="1" applyFill="1" applyBorder="1" applyAlignment="1">
      <alignment horizontal="left" vertical="center" wrapText="1" indent="1"/>
    </xf>
    <xf numFmtId="0" fontId="26" fillId="27" borderId="3" xfId="0" applyFont="1" applyFill="1" applyBorder="1"/>
    <xf numFmtId="0" fontId="43" fillId="27" borderId="3" xfId="0" applyFont="1" applyFill="1" applyBorder="1" applyAlignment="1">
      <alignment vertical="center" wrapText="1"/>
    </xf>
    <xf numFmtId="0" fontId="37" fillId="0" borderId="3" xfId="0" applyFont="1" applyBorder="1" applyAlignment="1">
      <alignment horizontal="left" wrapText="1"/>
    </xf>
    <xf numFmtId="1" fontId="27" fillId="14" borderId="3" xfId="0" applyNumberFormat="1" applyFont="1" applyFill="1" applyBorder="1"/>
    <xf numFmtId="0" fontId="55" fillId="0" borderId="3" xfId="0" applyFont="1" applyBorder="1"/>
    <xf numFmtId="0" fontId="55" fillId="0" borderId="0" xfId="0" applyFont="1"/>
    <xf numFmtId="0" fontId="23" fillId="0" borderId="20" xfId="0" applyFont="1" applyBorder="1"/>
    <xf numFmtId="0" fontId="23" fillId="0" borderId="3" xfId="0" applyFont="1" applyBorder="1" applyAlignment="1">
      <alignment horizontal="left"/>
    </xf>
    <xf numFmtId="0" fontId="12" fillId="28" borderId="0" xfId="0" applyFont="1" applyFill="1"/>
    <xf numFmtId="8" fontId="2" fillId="28" borderId="2" xfId="0" applyNumberFormat="1" applyFont="1" applyFill="1" applyBorder="1" applyAlignment="1">
      <alignment horizontal="center" vertical="center"/>
    </xf>
    <xf numFmtId="0" fontId="0" fillId="0" borderId="0" xfId="0" applyAlignment="1">
      <alignment vertical="center"/>
    </xf>
    <xf numFmtId="0" fontId="57" fillId="29" borderId="2" xfId="0" applyFont="1" applyFill="1" applyBorder="1" applyAlignment="1">
      <alignment vertical="center"/>
    </xf>
    <xf numFmtId="0" fontId="58" fillId="29" borderId="2" xfId="0" applyFont="1" applyFill="1" applyBorder="1" applyAlignment="1">
      <alignment vertical="center"/>
    </xf>
    <xf numFmtId="0" fontId="57" fillId="0" borderId="2" xfId="0" applyFont="1" applyBorder="1" applyAlignment="1">
      <alignment vertical="center"/>
    </xf>
    <xf numFmtId="0" fontId="57" fillId="0" borderId="2" xfId="0" applyFont="1" applyBorder="1" applyAlignment="1">
      <alignment horizontal="center" vertical="center"/>
    </xf>
    <xf numFmtId="0" fontId="58" fillId="0" borderId="1" xfId="0" applyFont="1" applyBorder="1" applyAlignment="1">
      <alignment horizontal="center" vertical="center"/>
    </xf>
    <xf numFmtId="0" fontId="1" fillId="0" borderId="1" xfId="0" applyFont="1" applyBorder="1" applyAlignment="1">
      <alignment vertical="center" wrapText="1"/>
    </xf>
    <xf numFmtId="8" fontId="1" fillId="0" borderId="1" xfId="0" applyNumberFormat="1" applyFont="1" applyBorder="1" applyAlignment="1">
      <alignment horizontal="center" vertical="center"/>
    </xf>
    <xf numFmtId="0" fontId="58" fillId="0" borderId="1" xfId="0" applyFont="1" applyBorder="1" applyAlignment="1">
      <alignment vertical="center"/>
    </xf>
    <xf numFmtId="8" fontId="58" fillId="2" borderId="1" xfId="0" applyNumberFormat="1" applyFont="1" applyFill="1" applyBorder="1" applyAlignment="1">
      <alignment vertical="center"/>
    </xf>
    <xf numFmtId="0" fontId="58" fillId="0" borderId="2" xfId="0" applyFont="1" applyBorder="1" applyAlignment="1">
      <alignment horizontal="center" vertical="center"/>
    </xf>
    <xf numFmtId="0" fontId="1" fillId="0" borderId="2" xfId="0" applyFont="1" applyBorder="1" applyAlignment="1">
      <alignment vertical="center" wrapText="1"/>
    </xf>
    <xf numFmtId="8" fontId="1" fillId="0" borderId="2" xfId="0" applyNumberFormat="1" applyFont="1" applyBorder="1" applyAlignment="1">
      <alignment horizontal="center" vertical="center"/>
    </xf>
    <xf numFmtId="0" fontId="58" fillId="0" borderId="2" xfId="0" applyFont="1" applyBorder="1" applyAlignment="1">
      <alignment vertical="center"/>
    </xf>
    <xf numFmtId="8" fontId="20" fillId="2" borderId="1" xfId="0" applyNumberFormat="1" applyFont="1" applyFill="1" applyBorder="1" applyAlignment="1">
      <alignment vertical="center"/>
    </xf>
    <xf numFmtId="0" fontId="16" fillId="0" borderId="2" xfId="0" applyFont="1" applyBorder="1" applyAlignment="1">
      <alignment vertical="center" wrapText="1"/>
    </xf>
    <xf numFmtId="8" fontId="16" fillId="0" borderId="2" xfId="0" applyNumberFormat="1" applyFont="1" applyBorder="1" applyAlignment="1">
      <alignment horizontal="center" vertical="center"/>
    </xf>
    <xf numFmtId="0" fontId="20" fillId="0" borderId="2" xfId="0" applyFont="1" applyBorder="1" applyAlignment="1">
      <alignment vertical="center"/>
    </xf>
    <xf numFmtId="0" fontId="16" fillId="0" borderId="1" xfId="0" applyFont="1" applyBorder="1" applyAlignment="1">
      <alignment vertical="center" wrapText="1"/>
    </xf>
    <xf numFmtId="8" fontId="16" fillId="0" borderId="1" xfId="0" applyNumberFormat="1" applyFont="1" applyBorder="1" applyAlignment="1">
      <alignment horizontal="center" vertical="center"/>
    </xf>
    <xf numFmtId="0" fontId="20" fillId="0" borderId="1" xfId="0" applyFont="1" applyBorder="1" applyAlignment="1">
      <alignment vertical="center"/>
    </xf>
    <xf numFmtId="0" fontId="0" fillId="0" borderId="44" xfId="0" applyBorder="1" applyAlignment="1">
      <alignment horizontal="center" vertical="center"/>
    </xf>
    <xf numFmtId="0" fontId="59" fillId="0" borderId="44" xfId="0" applyFont="1" applyBorder="1"/>
    <xf numFmtId="0" fontId="20" fillId="0" borderId="1" xfId="0" applyFont="1" applyBorder="1" applyAlignment="1">
      <alignment horizontal="left" vertical="center" wrapText="1"/>
    </xf>
    <xf numFmtId="0" fontId="20" fillId="0" borderId="1" xfId="0" applyFont="1" applyBorder="1" applyAlignment="1">
      <alignment vertical="center" wrapText="1"/>
    </xf>
    <xf numFmtId="0" fontId="58" fillId="0" borderId="0" xfId="0" applyFont="1" applyAlignment="1">
      <alignment horizontal="center" vertical="center"/>
    </xf>
    <xf numFmtId="0" fontId="2" fillId="27" borderId="0" xfId="0" applyFont="1" applyFill="1" applyAlignment="1">
      <alignment vertical="center" wrapText="1"/>
    </xf>
    <xf numFmtId="0" fontId="1" fillId="0" borderId="0" xfId="0" applyFont="1" applyAlignment="1">
      <alignment horizontal="center" vertical="center"/>
    </xf>
    <xf numFmtId="0" fontId="58" fillId="0" borderId="0" xfId="0" applyFont="1" applyAlignment="1">
      <alignment vertical="center"/>
    </xf>
    <xf numFmtId="8" fontId="57" fillId="26" borderId="0" xfId="0" applyNumberFormat="1" applyFont="1" applyFill="1" applyAlignment="1">
      <alignment vertical="center"/>
    </xf>
    <xf numFmtId="9" fontId="0" fillId="0" borderId="0" xfId="0" applyNumberFormat="1"/>
    <xf numFmtId="8" fontId="12" fillId="0" borderId="0" xfId="0" applyNumberFormat="1" applyFont="1"/>
    <xf numFmtId="0" fontId="60" fillId="27" borderId="0" xfId="0" applyFont="1" applyFill="1" applyAlignment="1">
      <alignment vertical="center" wrapText="1"/>
    </xf>
    <xf numFmtId="0" fontId="61" fillId="0" borderId="3" xfId="0" applyFont="1" applyBorder="1" applyAlignment="1">
      <alignment wrapText="1"/>
    </xf>
    <xf numFmtId="0" fontId="58" fillId="0" borderId="3" xfId="0" applyFont="1" applyBorder="1" applyAlignment="1">
      <alignment horizontal="center" vertical="center"/>
    </xf>
    <xf numFmtId="0" fontId="58" fillId="0" borderId="46" xfId="0" applyFont="1" applyBorder="1" applyAlignment="1">
      <alignment vertical="center"/>
    </xf>
    <xf numFmtId="8" fontId="58" fillId="26" borderId="2" xfId="0" applyNumberFormat="1" applyFont="1" applyFill="1" applyBorder="1" applyAlignment="1">
      <alignment vertical="center"/>
    </xf>
    <xf numFmtId="0" fontId="58" fillId="0" borderId="47" xfId="0" applyFont="1" applyBorder="1" applyAlignment="1">
      <alignment vertical="center"/>
    </xf>
    <xf numFmtId="0" fontId="58" fillId="0" borderId="30" xfId="0" applyFont="1" applyBorder="1" applyAlignment="1">
      <alignment vertical="center"/>
    </xf>
    <xf numFmtId="0" fontId="57" fillId="27" borderId="0" xfId="0" applyFont="1" applyFill="1" applyAlignment="1">
      <alignment horizontal="left" vertical="center"/>
    </xf>
    <xf numFmtId="8" fontId="57" fillId="26" borderId="2" xfId="0" applyNumberFormat="1" applyFont="1" applyFill="1" applyBorder="1" applyAlignment="1">
      <alignment vertical="center"/>
    </xf>
    <xf numFmtId="0" fontId="2" fillId="30" borderId="48" xfId="0" applyFont="1" applyFill="1" applyBorder="1" applyAlignment="1">
      <alignment horizontal="center" vertical="center" wrapText="1"/>
    </xf>
    <xf numFmtId="0" fontId="2" fillId="30" borderId="48" xfId="0" applyFont="1" applyFill="1" applyBorder="1" applyAlignment="1">
      <alignment vertical="center" wrapText="1"/>
    </xf>
    <xf numFmtId="0" fontId="58" fillId="0" borderId="22" xfId="0" applyFont="1" applyBorder="1" applyAlignment="1">
      <alignment horizontal="center" vertical="center"/>
    </xf>
    <xf numFmtId="0" fontId="1" fillId="27" borderId="3" xfId="0" applyFont="1" applyFill="1" applyBorder="1" applyAlignment="1">
      <alignment vertical="center" wrapText="1"/>
    </xf>
    <xf numFmtId="6" fontId="58" fillId="0" borderId="3" xfId="0" applyNumberFormat="1" applyFont="1" applyBorder="1" applyAlignment="1">
      <alignment horizontal="center" vertical="center"/>
    </xf>
    <xf numFmtId="6" fontId="58" fillId="2" borderId="1" xfId="0" applyNumberFormat="1" applyFont="1" applyFill="1" applyBorder="1" applyAlignment="1">
      <alignment vertical="center"/>
    </xf>
    <xf numFmtId="0" fontId="1" fillId="0" borderId="3" xfId="0" applyFont="1" applyBorder="1" applyAlignment="1">
      <alignment vertical="center" wrapText="1"/>
    </xf>
    <xf numFmtId="6" fontId="1" fillId="0" borderId="3" xfId="0" applyNumberFormat="1" applyFont="1" applyBorder="1" applyAlignment="1">
      <alignment horizontal="center" vertical="center"/>
    </xf>
    <xf numFmtId="0" fontId="0" fillId="0" borderId="0" xfId="1" applyFont="1" applyAlignment="1">
      <alignment wrapText="1"/>
    </xf>
    <xf numFmtId="0" fontId="58" fillId="0" borderId="22" xfId="0" applyFont="1" applyBorder="1" applyAlignment="1">
      <alignment vertical="center"/>
    </xf>
    <xf numFmtId="0" fontId="58" fillId="0" borderId="3" xfId="0" applyFont="1" applyBorder="1" applyAlignment="1">
      <alignment vertical="center"/>
    </xf>
    <xf numFmtId="0" fontId="57" fillId="0" borderId="0" xfId="0" applyFont="1" applyAlignment="1">
      <alignment vertical="center"/>
    </xf>
    <xf numFmtId="6" fontId="57" fillId="26" borderId="0" xfId="0" applyNumberFormat="1" applyFont="1" applyFill="1" applyAlignment="1">
      <alignment vertical="center"/>
    </xf>
    <xf numFmtId="6" fontId="0" fillId="0" borderId="0" xfId="0" applyNumberFormat="1"/>
    <xf numFmtId="44" fontId="0" fillId="0" borderId="0" xfId="3" applyFont="1" applyAlignment="1">
      <alignment vertical="center"/>
    </xf>
    <xf numFmtId="0" fontId="0" fillId="31" borderId="0" xfId="0" applyFill="1" applyAlignment="1">
      <alignment vertical="center"/>
    </xf>
    <xf numFmtId="0" fontId="62" fillId="32" borderId="2" xfId="0" applyFont="1" applyFill="1" applyBorder="1" applyAlignment="1">
      <alignment vertical="center" wrapText="1"/>
    </xf>
    <xf numFmtId="8" fontId="61" fillId="0" borderId="3" xfId="0" applyNumberFormat="1" applyFont="1" applyBorder="1" applyAlignment="1">
      <alignment wrapText="1"/>
    </xf>
    <xf numFmtId="44" fontId="58" fillId="2" borderId="3" xfId="3" applyFont="1" applyFill="1" applyBorder="1" applyAlignment="1">
      <alignment vertical="center"/>
    </xf>
    <xf numFmtId="44" fontId="12" fillId="0" borderId="0" xfId="0" applyNumberFormat="1" applyFont="1" applyAlignment="1">
      <alignment vertical="center"/>
    </xf>
    <xf numFmtId="0" fontId="0" fillId="28" borderId="0" xfId="0" applyFill="1"/>
    <xf numFmtId="0" fontId="2" fillId="0" borderId="3" xfId="0" applyFont="1" applyBorder="1"/>
    <xf numFmtId="0" fontId="1" fillId="0" borderId="3" xfId="0" applyFont="1" applyBorder="1"/>
    <xf numFmtId="0" fontId="1" fillId="0" borderId="3" xfId="0" applyFont="1" applyBorder="1" applyAlignment="1">
      <alignment wrapText="1"/>
    </xf>
    <xf numFmtId="4" fontId="1" fillId="0" borderId="0" xfId="0" applyNumberFormat="1" applyFont="1"/>
    <xf numFmtId="10" fontId="1" fillId="0" borderId="0" xfId="0" applyNumberFormat="1" applyFont="1"/>
    <xf numFmtId="0" fontId="63" fillId="33" borderId="50" xfId="0" applyFont="1" applyFill="1" applyBorder="1" applyAlignment="1">
      <alignment vertical="center"/>
    </xf>
    <xf numFmtId="0" fontId="63" fillId="33" borderId="51" xfId="0" applyFont="1" applyFill="1" applyBorder="1" applyAlignment="1">
      <alignment horizontal="center" vertical="center"/>
    </xf>
    <xf numFmtId="0" fontId="63" fillId="33" borderId="51" xfId="0" applyFont="1" applyFill="1" applyBorder="1" applyAlignment="1">
      <alignment horizontal="right" vertical="center"/>
    </xf>
    <xf numFmtId="0" fontId="57" fillId="13" borderId="52" xfId="0" applyFont="1" applyFill="1" applyBorder="1" applyAlignment="1">
      <alignment vertical="center"/>
    </xf>
    <xf numFmtId="0" fontId="57" fillId="13" borderId="53" xfId="0" applyFont="1" applyFill="1" applyBorder="1" applyAlignment="1">
      <alignment vertical="center"/>
    </xf>
    <xf numFmtId="0" fontId="57" fillId="13" borderId="53" xfId="0" applyFont="1" applyFill="1" applyBorder="1" applyAlignment="1">
      <alignment horizontal="right" vertical="center"/>
    </xf>
    <xf numFmtId="8" fontId="57" fillId="13" borderId="53" xfId="0" applyNumberFormat="1" applyFont="1" applyFill="1" applyBorder="1" applyAlignment="1">
      <alignment horizontal="right" vertical="center"/>
    </xf>
    <xf numFmtId="6" fontId="57" fillId="13" borderId="53" xfId="0" applyNumberFormat="1" applyFont="1" applyFill="1" applyBorder="1" applyAlignment="1">
      <alignment horizontal="right" vertical="center"/>
    </xf>
    <xf numFmtId="10" fontId="57" fillId="13" borderId="53" xfId="0" applyNumberFormat="1" applyFont="1" applyFill="1" applyBorder="1" applyAlignment="1">
      <alignment horizontal="right" vertical="center"/>
    </xf>
    <xf numFmtId="0" fontId="0" fillId="13" borderId="53" xfId="0" applyFill="1" applyBorder="1" applyAlignment="1">
      <alignment vertical="center" wrapText="1"/>
    </xf>
    <xf numFmtId="0" fontId="58" fillId="0" borderId="52" xfId="0" applyFont="1" applyBorder="1" applyAlignment="1">
      <alignment vertical="center"/>
    </xf>
    <xf numFmtId="0" fontId="58" fillId="0" borderId="53" xfId="0" applyFont="1" applyBorder="1" applyAlignment="1">
      <alignment vertical="center"/>
    </xf>
    <xf numFmtId="0" fontId="58" fillId="0" borderId="53" xfId="0" applyFont="1" applyBorder="1" applyAlignment="1">
      <alignment vertical="center" wrapText="1"/>
    </xf>
    <xf numFmtId="167" fontId="58" fillId="0" borderId="53" xfId="2" applyNumberFormat="1" applyFont="1" applyBorder="1" applyAlignment="1">
      <alignment horizontal="right" vertical="center"/>
    </xf>
    <xf numFmtId="8" fontId="58" fillId="0" borderId="53" xfId="0" applyNumberFormat="1" applyFont="1" applyBorder="1" applyAlignment="1">
      <alignment horizontal="right" vertical="center"/>
    </xf>
    <xf numFmtId="6" fontId="58" fillId="0" borderId="53" xfId="0" applyNumberFormat="1" applyFont="1" applyBorder="1" applyAlignment="1">
      <alignment horizontal="right" vertical="center"/>
    </xf>
    <xf numFmtId="9" fontId="58" fillId="0" borderId="53" xfId="0" applyNumberFormat="1" applyFont="1" applyBorder="1" applyAlignment="1">
      <alignment horizontal="right" vertical="center"/>
    </xf>
    <xf numFmtId="0" fontId="0" fillId="0" borderId="53" xfId="0" applyBorder="1" applyAlignment="1">
      <alignment vertical="center" wrapText="1"/>
    </xf>
    <xf numFmtId="0" fontId="58" fillId="0" borderId="53" xfId="0" applyFont="1" applyBorder="1" applyAlignment="1">
      <alignment horizontal="right" vertical="center"/>
    </xf>
    <xf numFmtId="10" fontId="58" fillId="0" borderId="53" xfId="0" applyNumberFormat="1" applyFont="1" applyBorder="1" applyAlignment="1">
      <alignment horizontal="right" vertical="center"/>
    </xf>
    <xf numFmtId="0" fontId="12" fillId="13" borderId="53" xfId="0" applyFont="1" applyFill="1" applyBorder="1" applyAlignment="1">
      <alignment vertical="center" wrapText="1"/>
    </xf>
    <xf numFmtId="43" fontId="58" fillId="0" borderId="53" xfId="2" applyFont="1" applyBorder="1" applyAlignment="1">
      <alignment vertical="center" wrapText="1"/>
    </xf>
    <xf numFmtId="0" fontId="58" fillId="13" borderId="53" xfId="0" applyFont="1" applyFill="1" applyBorder="1" applyAlignment="1">
      <alignment horizontal="right" vertical="center"/>
    </xf>
    <xf numFmtId="8" fontId="58" fillId="13" borderId="53" xfId="0" applyNumberFormat="1" applyFont="1" applyFill="1" applyBorder="1" applyAlignment="1">
      <alignment horizontal="right" vertical="center"/>
    </xf>
    <xf numFmtId="10" fontId="0" fillId="0" borderId="0" xfId="4" applyNumberFormat="1" applyFont="1"/>
    <xf numFmtId="8" fontId="0" fillId="0" borderId="0" xfId="0" applyNumberFormat="1"/>
    <xf numFmtId="165" fontId="64" fillId="0" borderId="3" xfId="2" applyNumberFormat="1" applyFont="1" applyBorder="1" applyAlignment="1">
      <alignment horizontal="center" vertical="center"/>
    </xf>
    <xf numFmtId="43" fontId="58" fillId="0" borderId="53" xfId="0" applyNumberFormat="1" applyFont="1" applyBorder="1" applyAlignment="1">
      <alignment horizontal="right" vertical="center"/>
    </xf>
    <xf numFmtId="0" fontId="57" fillId="34" borderId="3" xfId="0" applyFont="1" applyFill="1" applyBorder="1" applyAlignment="1">
      <alignment vertical="center"/>
    </xf>
    <xf numFmtId="0" fontId="57" fillId="34" borderId="3" xfId="0" applyFont="1" applyFill="1" applyBorder="1" applyAlignment="1">
      <alignment horizontal="right" vertical="center"/>
    </xf>
    <xf numFmtId="8" fontId="57" fillId="34" borderId="3" xfId="0" applyNumberFormat="1" applyFont="1" applyFill="1" applyBorder="1" applyAlignment="1">
      <alignment horizontal="right" vertical="center"/>
    </xf>
    <xf numFmtId="6" fontId="57" fillId="34" borderId="3" xfId="0" applyNumberFormat="1" applyFont="1" applyFill="1" applyBorder="1" applyAlignment="1">
      <alignment horizontal="right" vertical="center"/>
    </xf>
    <xf numFmtId="10" fontId="57" fillId="13" borderId="3" xfId="0" applyNumberFormat="1" applyFont="1" applyFill="1" applyBorder="1" applyAlignment="1">
      <alignment horizontal="right" vertical="center"/>
    </xf>
    <xf numFmtId="44" fontId="0" fillId="0" borderId="0" xfId="0" applyNumberFormat="1"/>
    <xf numFmtId="0" fontId="12" fillId="35" borderId="3" xfId="0" applyFont="1" applyFill="1" applyBorder="1" applyAlignment="1">
      <alignment horizontal="center"/>
    </xf>
    <xf numFmtId="6" fontId="12" fillId="35" borderId="3" xfId="0" applyNumberFormat="1" applyFont="1" applyFill="1" applyBorder="1" applyAlignment="1">
      <alignment horizontal="center"/>
    </xf>
    <xf numFmtId="6" fontId="0" fillId="0" borderId="3" xfId="0" applyNumberFormat="1" applyBorder="1"/>
    <xf numFmtId="10" fontId="57" fillId="0" borderId="3" xfId="0" applyNumberFormat="1" applyFont="1" applyBorder="1" applyAlignment="1">
      <alignment horizontal="right" vertical="center"/>
    </xf>
    <xf numFmtId="0" fontId="12" fillId="28" borderId="6" xfId="0" applyFont="1" applyFill="1" applyBorder="1"/>
    <xf numFmtId="0" fontId="12" fillId="28" borderId="7" xfId="0" applyFont="1" applyFill="1" applyBorder="1"/>
    <xf numFmtId="0" fontId="12" fillId="28" borderId="4" xfId="0" applyFont="1" applyFill="1" applyBorder="1"/>
    <xf numFmtId="6" fontId="12" fillId="28" borderId="3" xfId="0" applyNumberFormat="1" applyFont="1" applyFill="1" applyBorder="1"/>
    <xf numFmtId="10" fontId="57" fillId="28" borderId="3" xfId="0" applyNumberFormat="1" applyFont="1" applyFill="1" applyBorder="1" applyAlignment="1">
      <alignment horizontal="right" vertical="center"/>
    </xf>
    <xf numFmtId="0" fontId="65" fillId="0" borderId="0" xfId="0" applyFont="1" applyAlignment="1">
      <alignment vertical="center"/>
    </xf>
    <xf numFmtId="0" fontId="57" fillId="0" borderId="3" xfId="0" applyFont="1" applyBorder="1" applyAlignment="1">
      <alignment vertical="center"/>
    </xf>
    <xf numFmtId="0" fontId="12" fillId="0" borderId="3" xfId="0" applyFont="1" applyBorder="1"/>
    <xf numFmtId="6" fontId="12" fillId="0" borderId="3" xfId="0" applyNumberFormat="1" applyFont="1" applyBorder="1"/>
    <xf numFmtId="0" fontId="57" fillId="4" borderId="6" xfId="0" applyFont="1" applyFill="1" applyBorder="1" applyAlignment="1">
      <alignment vertical="center"/>
    </xf>
    <xf numFmtId="0" fontId="57" fillId="4" borderId="7" xfId="0" applyFont="1" applyFill="1" applyBorder="1" applyAlignment="1">
      <alignment vertical="center"/>
    </xf>
    <xf numFmtId="0" fontId="57" fillId="4" borderId="4" xfId="0" applyFont="1" applyFill="1" applyBorder="1" applyAlignment="1">
      <alignment vertical="center"/>
    </xf>
    <xf numFmtId="0" fontId="17" fillId="0" borderId="3" xfId="0" applyFont="1" applyBorder="1"/>
    <xf numFmtId="167" fontId="17" fillId="0" borderId="3" xfId="2" applyNumberFormat="1" applyFont="1" applyBorder="1"/>
    <xf numFmtId="0" fontId="18" fillId="0" borderId="3" xfId="0" applyFont="1" applyBorder="1"/>
    <xf numFmtId="0" fontId="17" fillId="4" borderId="3" xfId="0" applyFont="1" applyFill="1" applyBorder="1"/>
    <xf numFmtId="0" fontId="0" fillId="4" borderId="3" xfId="0" applyFill="1" applyBorder="1"/>
    <xf numFmtId="0" fontId="18" fillId="4" borderId="3" xfId="0" applyFont="1" applyFill="1" applyBorder="1"/>
    <xf numFmtId="0" fontId="65" fillId="0" borderId="0" xfId="0" applyFont="1"/>
    <xf numFmtId="0" fontId="0" fillId="0" borderId="1" xfId="0" applyBorder="1" applyAlignment="1">
      <alignment vertical="top" wrapText="1"/>
    </xf>
    <xf numFmtId="0" fontId="26" fillId="14" borderId="6" xfId="0" applyFont="1" applyFill="1" applyBorder="1"/>
    <xf numFmtId="0" fontId="21" fillId="14" borderId="5" xfId="0" applyFont="1" applyFill="1" applyBorder="1"/>
    <xf numFmtId="0" fontId="37" fillId="0" borderId="5" xfId="0" applyFont="1" applyBorder="1" applyAlignment="1">
      <alignment horizontal="left" vertical="center" readingOrder="1"/>
    </xf>
    <xf numFmtId="0" fontId="26" fillId="27" borderId="6" xfId="0" applyFont="1" applyFill="1" applyBorder="1"/>
    <xf numFmtId="0" fontId="26" fillId="27" borderId="21" xfId="0" applyFont="1" applyFill="1" applyBorder="1"/>
    <xf numFmtId="0" fontId="6" fillId="0" borderId="0" xfId="0" applyFont="1" applyAlignment="1">
      <alignment horizontal="right" vertical="center" indent="1" readingOrder="1"/>
    </xf>
    <xf numFmtId="0" fontId="6" fillId="0" borderId="0" xfId="0" applyFont="1" applyAlignment="1">
      <alignment horizontal="right" indent="1"/>
    </xf>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1" borderId="4"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5" borderId="6" xfId="0" applyFont="1" applyFill="1" applyBorder="1" applyAlignment="1">
      <alignment horizontal="center"/>
    </xf>
    <xf numFmtId="0" fontId="24" fillId="25" borderId="19" xfId="0" applyFont="1" applyFill="1" applyBorder="1" applyAlignment="1">
      <alignment horizontal="center"/>
    </xf>
    <xf numFmtId="0" fontId="24" fillId="25" borderId="4" xfId="0" applyFont="1" applyFill="1" applyBorder="1" applyAlignment="1">
      <alignment horizontal="center"/>
    </xf>
    <xf numFmtId="0" fontId="24"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3"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17" fillId="23" borderId="21" xfId="0" applyFont="1" applyFill="1" applyBorder="1" applyAlignment="1">
      <alignment horizontal="center" vertical="center"/>
    </xf>
    <xf numFmtId="0" fontId="17" fillId="23" borderId="5" xfId="0" applyFont="1" applyFill="1" applyBorder="1" applyAlignment="1">
      <alignment horizontal="center" vertical="center"/>
    </xf>
    <xf numFmtId="0" fontId="17" fillId="23" borderId="38" xfId="0" applyFont="1" applyFill="1" applyBorder="1" applyAlignment="1">
      <alignment horizontal="center" vertical="center"/>
    </xf>
    <xf numFmtId="0" fontId="17" fillId="23" borderId="39" xfId="0" applyFont="1" applyFill="1" applyBorder="1" applyAlignment="1">
      <alignment horizontal="center" vertical="center"/>
    </xf>
    <xf numFmtId="0" fontId="17" fillId="23" borderId="26" xfId="0" applyFont="1" applyFill="1" applyBorder="1" applyAlignment="1">
      <alignment horizontal="center" vertical="center"/>
    </xf>
    <xf numFmtId="0" fontId="17" fillId="0" borderId="23" xfId="0" applyFont="1" applyBorder="1" applyAlignment="1">
      <alignment horizontal="center" vertical="center" textRotation="180"/>
    </xf>
    <xf numFmtId="0" fontId="17" fillId="0" borderId="25" xfId="0" applyFont="1" applyBorder="1" applyAlignment="1">
      <alignment horizontal="center" vertical="center" textRotation="180"/>
    </xf>
    <xf numFmtId="0" fontId="17" fillId="0" borderId="27" xfId="0" applyFont="1" applyBorder="1" applyAlignment="1">
      <alignment horizontal="center" vertical="center" textRotation="180"/>
    </xf>
    <xf numFmtId="0" fontId="17" fillId="0" borderId="24" xfId="0" applyFont="1" applyBorder="1" applyAlignment="1">
      <alignment horizontal="center" vertical="center" textRotation="180"/>
    </xf>
    <xf numFmtId="0" fontId="17" fillId="0" borderId="26" xfId="0" applyFont="1" applyBorder="1" applyAlignment="1">
      <alignment horizontal="center" vertical="center" textRotation="180"/>
    </xf>
    <xf numFmtId="0" fontId="17" fillId="0" borderId="28" xfId="0" applyFont="1" applyBorder="1" applyAlignment="1">
      <alignment horizontal="center" vertical="center" textRotation="180"/>
    </xf>
    <xf numFmtId="0" fontId="1" fillId="24" borderId="21" xfId="0" applyFont="1" applyFill="1" applyBorder="1" applyAlignment="1">
      <alignment horizontal="center" vertical="center"/>
    </xf>
    <xf numFmtId="0" fontId="1" fillId="24" borderId="5" xfId="0" applyFont="1" applyFill="1" applyBorder="1" applyAlignment="1">
      <alignment horizontal="center" vertical="center"/>
    </xf>
    <xf numFmtId="0" fontId="0" fillId="0" borderId="0" xfId="0" applyAlignment="1">
      <alignment horizontal="center"/>
    </xf>
    <xf numFmtId="0" fontId="2" fillId="30" borderId="45" xfId="0" applyFont="1" applyFill="1" applyBorder="1" applyAlignment="1">
      <alignment horizontal="left" vertical="center" wrapText="1"/>
    </xf>
    <xf numFmtId="0" fontId="2" fillId="30" borderId="0" xfId="0" applyFont="1" applyFill="1" applyAlignment="1">
      <alignment horizontal="left" vertical="center" wrapText="1"/>
    </xf>
    <xf numFmtId="0" fontId="0" fillId="0" borderId="49" xfId="0" applyBorder="1" applyAlignment="1">
      <alignment horizontal="center" vertical="center"/>
    </xf>
    <xf numFmtId="0" fontId="0" fillId="0" borderId="0" xfId="0" applyAlignment="1">
      <alignment horizontal="center" vertical="center"/>
    </xf>
  </cellXfs>
  <cellStyles count="5">
    <cellStyle name="Comma" xfId="2" builtinId="3"/>
    <cellStyle name="Currency" xfId="3" builtinId="4"/>
    <cellStyle name="Normal" xfId="0" builtinId="0"/>
    <cellStyle name="Normal 2" xfId="1" xr:uid="{7EB298B3-B501-4096-B7D1-BD9F5733902D}"/>
    <cellStyle name="Percent" xfId="4" builtinId="5"/>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59</xdr:row>
      <xdr:rowOff>0</xdr:rowOff>
    </xdr:from>
    <xdr:to>
      <xdr:col>13</xdr:col>
      <xdr:colOff>304800</xdr:colOff>
      <xdr:row>60</xdr:row>
      <xdr:rowOff>114299</xdr:rowOff>
    </xdr:to>
    <xdr:sp macro="" textlink="">
      <xdr:nvSpPr>
        <xdr:cNvPr id="2" name="AutoShape 1" descr="Image">
          <a:extLst>
            <a:ext uri="{FF2B5EF4-FFF2-40B4-BE49-F238E27FC236}">
              <a16:creationId xmlns:a16="http://schemas.microsoft.com/office/drawing/2014/main" id="{6E30355F-62E8-4320-A2AE-4AC23B405470}"/>
            </a:ext>
          </a:extLst>
        </xdr:cNvPr>
        <xdr:cNvSpPr>
          <a:spLocks noChangeAspect="1" noChangeArrowheads="1"/>
        </xdr:cNvSpPr>
      </xdr:nvSpPr>
      <xdr:spPr bwMode="auto">
        <a:xfrm>
          <a:off x="14375130" y="10942320"/>
          <a:ext cx="304800" cy="3067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bankofamerica.com/Personal/Lotus123/Alternate%20Officing%20-%20Charlotte/Discovery%20File/Discovery%20Fil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ell-my.sharepoint.com/personal/paul_klinger_dell_com/Documents/SDSS/Customer/Coreweave/Coreweave_Gaines%201.5%20GB200_PS1%20CSP%20Pricing%20Model_v1.6_11262024.xlsx" TargetMode="External"/><Relationship Id="rId1" Type="http://schemas.openxmlformats.org/officeDocument/2006/relationships/externalLinkPath" Target="https://dell.sharepoint.com/personal/paul_klinger_dell_com/Documents/SDSS/Customer/Coreweave/Coreweave_Gaines%201.5%20GB200_PS1%20CSP%20Pricing%20Model_v1.6_1126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jardinetechh-my.sharepoint.com/Users/yuank1/Desktop/Common%20Use/SEA/SEA%20Quote%20Processor%20v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ell.sharepoint.com/sites/XCorporationRackIntegrationProject/Shared%20Documents/General/2%20-%20Project%20Management/02%20-%20Governance%20Plan/X%20Corp%20GenAI%20Program%20Workbook.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ell.sharepoint.com/personal/jennifer_wilder_dell_com/Documents/Cummins/EUC1%202023%20Schedule/Cummins%20EUC1%20Schedule%20-%2010-24-22%20-%20JW.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dell-my.sharepoint.com/personal/abdullah_abuzaid_dell_com/Documents/Desktop/IREN/P&amp;L%20-%20BOM%20-%20NETWORK%20-%202026-08-27-%20IREN%20-%2050MW%20252%20Racks%20-%20Sweetwater%20VR%20NVL72_SN6600-LD_CORE.xlsx" TargetMode="External"/><Relationship Id="rId1" Type="http://schemas.openxmlformats.org/officeDocument/2006/relationships/externalLinkPath" Target="P&amp;L%20-%20BOM%20-%20NETWORK%20-%202026-08-27-%20IREN%20-%2050MW%20252%20Racks%20-%20Sweetwater%20VR%20NVL72_SN6600-LD_CORE.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vamshidhar_doma_dell_com/Documents/AI-ML/Customer%20Opportunities/NScale/NScale%20WVA%20VR%20144k%204x36k%202026.8.20%20%20V3%20PnL.xlsx" TargetMode="External"/><Relationship Id="rId2" Type="http://schemas.openxmlformats.org/officeDocument/2006/relationships/externalLinkPath" Target="https://dell-my.sharepoint.com/personal/vamshidhar_doma_dell_com/Documents/AI-ML/Customer%20Opportunities/NScale/NScale%20WVA%20VR%20144k%204x36k%202026.8.20%20%20V3%20PnL.xlsx" TargetMode="External"/><Relationship Id="rId1" Type="http://schemas.openxmlformats.org/officeDocument/2006/relationships/externalLinkPath" Target="/personal/vamshidhar_doma_dell_com/Documents/AI-ML/Customer%20Opportunities/NScale/NScale%20WVA%20VR%20144k%204x36k%202026.8.20%20%20V3%20Pn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TARs"/>
      <sheetName val="Issues"/>
      <sheetName val="Key Decisions"/>
      <sheetName val="Risks"/>
      <sheetName val="Change Controls"/>
      <sheetName val="Contacts"/>
      <sheetName val="Data"/>
      <sheetName val="Base Summary"/>
      <sheetName val="Phases"/>
      <sheetName val="Milestones"/>
      <sheetName val="KeyTas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Model"/>
      <sheetName val="Sample Template"/>
      <sheetName val="Reference Data"/>
      <sheetName val="Cost"/>
      <sheetName val="LOIS Summary"/>
      <sheetName val="GB200 Parts"/>
      <sheetName val="XE9785L OLD"/>
      <sheetName val="XE9680L BOM"/>
      <sheetName val="XE9785L BOM"/>
      <sheetName val="XE9680L_SKU_BOM"/>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or"/>
      <sheetName val="Info"/>
      <sheetName val="Template"/>
      <sheetName val="IQR"/>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amp; Status"/>
      <sheetName val="Key Info"/>
      <sheetName val="Quotes and Orders"/>
      <sheetName val="Reports"/>
      <sheetName val="% Complete"/>
      <sheetName val="Status Trend"/>
      <sheetName val="Stakeholders"/>
      <sheetName val="Communication Plan"/>
      <sheetName val="Comms Plan (Meeting Cadence)"/>
      <sheetName val="Risks &amp; Issues"/>
      <sheetName val="RAID Dashboard"/>
      <sheetName val="Action Items"/>
      <sheetName val=" Decisions"/>
      <sheetName val="Interview Schedule"/>
      <sheetName val="Updated Dashboard"/>
      <sheetName val="Progress Dashboard"/>
      <sheetName val="ARB"/>
      <sheetName val="Open Action Log (AMD &amp; Nvidia)"/>
      <sheetName val="Actions &amp; Open Items"/>
      <sheetName val="Closed Action Log"/>
      <sheetName val="EBC Action Items and Notes"/>
      <sheetName val="Assumptions"/>
      <sheetName val="Dependencies"/>
      <sheetName val="Exit Criteria"/>
      <sheetName val="Changes"/>
      <sheetName val="Inventory List"/>
      <sheetName val="Email Text"/>
      <sheetName val="Data"/>
      <sheetName val="Tools"/>
      <sheetName val="Lessons Learned"/>
      <sheetName val="WBS"/>
      <sheetName val="US T-Minus"/>
      <sheetName val="Escalation P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UC1 Schedule"/>
      <sheetName val="Change Log"/>
      <sheetName val="EUC1 Home"/>
      <sheetName val="Order Schedule - JW"/>
      <sheetName val="Lead Times"/>
      <sheetName val="LookUp"/>
      <sheetName val="Site details V2"/>
      <sheetName val="Lead Time Detail"/>
      <sheetName val="EUC1_Schedule"/>
      <sheetName val="Change_Log"/>
      <sheetName val="EUC1_Home"/>
      <sheetName val="Order_Schedule_-_JW"/>
      <sheetName val="Lead_Times"/>
      <sheetName val="Site_details_V2"/>
      <sheetName val="Lead_Time_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GOAL Export"/>
      <sheetName val="Version"/>
      <sheetName val="L11 BOM Ntwk"/>
      <sheetName val="Rack Elevations"/>
      <sheetName val="Rack BOM"/>
      <sheetName val="PnL SN6600-LD"/>
      <sheetName val="Services Summary"/>
      <sheetName val="DW2000P_1"/>
      <sheetName val="Compute_Management"/>
    </sheetNames>
    <sheetDataSet>
      <sheetData sheetId="0" refreshError="1"/>
      <sheetData sheetId="1" refreshError="1"/>
      <sheetData sheetId="2" refreshError="1"/>
      <sheetData sheetId="3" refreshError="1"/>
      <sheetData sheetId="4" refreshError="1"/>
      <sheetData sheetId="5">
        <row r="2">
          <cell r="E2">
            <v>47480.51</v>
          </cell>
          <cell r="G2">
            <v>60269.480303030308</v>
          </cell>
        </row>
        <row r="44">
          <cell r="E44">
            <v>10882</v>
          </cell>
          <cell r="G44">
            <v>12365.90909090909</v>
          </cell>
        </row>
      </sheetData>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nL SN6600-LD"/>
      <sheetName val="PnL SN6810"/>
      <sheetName val="Rack BOM"/>
    </sheetNames>
    <sheetDataSet>
      <sheetData sheetId="0"/>
      <sheetData sheetId="1"/>
      <sheetData sheetId="2">
        <row r="42">
          <cell r="G42">
            <v>81513.166666666672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77734375" bestFit="1" customWidth="1"/>
    <col min="6" max="6" width="11.2187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09375" defaultRowHeight="13.8" x14ac:dyDescent="0.25"/>
  <cols>
    <col min="1" max="1" width="12.109375" style="5" customWidth="1"/>
    <col min="2" max="2" width="12" style="8" customWidth="1"/>
    <col min="3" max="3" width="12" style="5" customWidth="1"/>
    <col min="4" max="5" width="30.77734375" style="9" customWidth="1"/>
    <col min="6" max="6" width="193" style="5" customWidth="1"/>
    <col min="7" max="16384" width="9.109375" style="5"/>
  </cols>
  <sheetData>
    <row r="1" spans="1:6" s="11" customFormat="1" ht="17.399999999999999" x14ac:dyDescent="0.3">
      <c r="A1" s="345" t="s">
        <v>26</v>
      </c>
      <c r="B1" s="345"/>
      <c r="C1" s="345"/>
      <c r="D1" s="22" t="s">
        <v>27</v>
      </c>
      <c r="E1" s="20"/>
    </row>
    <row r="2" spans="1:6" s="11" customFormat="1" ht="17.399999999999999" x14ac:dyDescent="0.3">
      <c r="A2" s="15"/>
      <c r="B2" s="15"/>
      <c r="C2" s="15" t="s">
        <v>28</v>
      </c>
      <c r="D2" s="22"/>
      <c r="E2" s="20"/>
    </row>
    <row r="3" spans="1:6" s="11" customFormat="1" ht="17.399999999999999" x14ac:dyDescent="0.3">
      <c r="A3" s="345" t="s">
        <v>29</v>
      </c>
      <c r="B3" s="345"/>
      <c r="C3" s="345"/>
      <c r="D3" s="23" t="s">
        <v>30</v>
      </c>
      <c r="E3" s="20"/>
    </row>
    <row r="4" spans="1:6" s="11" customFormat="1" ht="17.399999999999999" x14ac:dyDescent="0.3">
      <c r="A4" s="15"/>
      <c r="B4" s="15"/>
      <c r="C4" s="15" t="s">
        <v>31</v>
      </c>
      <c r="D4" s="22" t="s">
        <v>32</v>
      </c>
      <c r="E4" s="20"/>
    </row>
    <row r="5" spans="1:6" s="11" customFormat="1" ht="17.399999999999999" x14ac:dyDescent="0.3">
      <c r="A5" s="346" t="s">
        <v>33</v>
      </c>
      <c r="B5" s="346"/>
      <c r="C5" s="346"/>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S216"/>
  <sheetViews>
    <sheetView zoomScale="145" zoomScaleNormal="145" workbookViewId="0">
      <selection activeCell="A5" sqref="A5"/>
    </sheetView>
  </sheetViews>
  <sheetFormatPr defaultRowHeight="14.4" x14ac:dyDescent="0.3"/>
  <cols>
    <col min="1" max="1" width="60.88671875" customWidth="1"/>
    <col min="4" max="4" width="9.44140625" bestFit="1" customWidth="1"/>
    <col min="5" max="5" width="41.44140625" bestFit="1" customWidth="1"/>
    <col min="6" max="6" width="95.88671875" customWidth="1"/>
    <col min="7" max="7" width="91.88671875" customWidth="1"/>
    <col min="11" max="11" width="15" customWidth="1"/>
  </cols>
  <sheetData>
    <row r="1" spans="1:19" x14ac:dyDescent="0.3">
      <c r="A1" s="360" t="s">
        <v>50</v>
      </c>
      <c r="B1" s="361"/>
      <c r="C1" s="361"/>
      <c r="D1" s="361"/>
      <c r="E1" s="361"/>
      <c r="F1" s="361"/>
      <c r="G1" s="362"/>
    </row>
    <row r="2" spans="1:19" s="25" customFormat="1" x14ac:dyDescent="0.3">
      <c r="A2" s="46" t="s">
        <v>0</v>
      </c>
      <c r="B2" s="46" t="s">
        <v>51</v>
      </c>
      <c r="C2" s="46" t="s">
        <v>52</v>
      </c>
      <c r="D2" s="47" t="s">
        <v>53</v>
      </c>
      <c r="E2" s="46" t="s">
        <v>54</v>
      </c>
      <c r="F2" s="46" t="s">
        <v>55</v>
      </c>
      <c r="G2" s="48" t="s">
        <v>56</v>
      </c>
      <c r="H2" s="24"/>
      <c r="I2" s="24"/>
      <c r="J2" s="24"/>
      <c r="K2" s="24"/>
      <c r="L2" s="24"/>
      <c r="M2" s="24"/>
      <c r="N2" s="24"/>
      <c r="O2" s="24"/>
    </row>
    <row r="3" spans="1:19" s="27" customFormat="1" ht="28.8" x14ac:dyDescent="0.3">
      <c r="A3" s="49" t="s">
        <v>57</v>
      </c>
      <c r="B3" s="49">
        <v>0</v>
      </c>
      <c r="C3" s="49">
        <v>0</v>
      </c>
      <c r="D3" s="340">
        <f>SUM(B3:C3)</f>
        <v>0</v>
      </c>
      <c r="E3" s="339" t="s">
        <v>58</v>
      </c>
      <c r="F3" s="339" t="s">
        <v>59</v>
      </c>
      <c r="G3" s="50"/>
      <c r="H3" s="26"/>
      <c r="I3" s="26"/>
      <c r="J3" s="26"/>
      <c r="K3" s="26"/>
      <c r="L3" s="26"/>
      <c r="M3" s="26"/>
      <c r="N3" s="26"/>
      <c r="O3" s="26"/>
    </row>
    <row r="4" spans="1:19" s="27" customFormat="1" ht="28.8" x14ac:dyDescent="0.3">
      <c r="A4" s="49" t="s">
        <v>60</v>
      </c>
      <c r="B4" s="49">
        <v>0</v>
      </c>
      <c r="C4" s="49">
        <v>0</v>
      </c>
      <c r="D4" s="340">
        <f t="shared" ref="D4:D5" si="0">SUM(B4:C4)</f>
        <v>0</v>
      </c>
      <c r="E4" s="339" t="s">
        <v>58</v>
      </c>
      <c r="F4" s="339" t="s">
        <v>59</v>
      </c>
      <c r="G4" s="50"/>
      <c r="H4" s="26"/>
      <c r="I4" s="26"/>
      <c r="J4" s="26"/>
      <c r="K4" s="26"/>
      <c r="L4" s="26"/>
      <c r="M4" s="26"/>
      <c r="N4" s="26"/>
      <c r="O4" s="26"/>
    </row>
    <row r="5" spans="1:19" s="27" customFormat="1" x14ac:dyDescent="0.3">
      <c r="A5" s="49" t="s">
        <v>61</v>
      </c>
      <c r="B5" s="49">
        <v>0</v>
      </c>
      <c r="C5" s="49">
        <v>0</v>
      </c>
      <c r="D5" s="49">
        <f t="shared" si="0"/>
        <v>0</v>
      </c>
      <c r="E5" s="341"/>
      <c r="F5" s="342" t="s">
        <v>62</v>
      </c>
      <c r="G5" s="54"/>
      <c r="H5" s="26"/>
      <c r="I5" s="26"/>
      <c r="J5" s="26"/>
      <c r="K5" s="26"/>
      <c r="L5" s="26"/>
      <c r="M5" s="26"/>
      <c r="N5" s="26"/>
      <c r="O5" s="26"/>
    </row>
    <row r="7" spans="1:19" s="27" customFormat="1" x14ac:dyDescent="0.3">
      <c r="A7" s="52"/>
      <c r="B7" s="52"/>
      <c r="C7" s="52"/>
      <c r="D7" s="52"/>
      <c r="E7" s="45"/>
      <c r="F7" s="52"/>
      <c r="G7" s="52"/>
      <c r="H7" s="26"/>
      <c r="I7" s="26"/>
      <c r="J7" s="26"/>
      <c r="K7" s="26"/>
      <c r="L7" s="26"/>
      <c r="M7" s="26"/>
      <c r="N7" s="26"/>
      <c r="O7" s="26"/>
    </row>
    <row r="8" spans="1:19" s="27" customFormat="1" x14ac:dyDescent="0.3">
      <c r="A8" s="363" t="s">
        <v>63</v>
      </c>
      <c r="B8" s="363"/>
      <c r="C8" s="363"/>
      <c r="D8" s="363"/>
      <c r="E8" s="363"/>
      <c r="F8" s="363"/>
      <c r="G8" s="363"/>
      <c r="H8" s="26"/>
      <c r="I8" s="26"/>
      <c r="J8" s="26"/>
      <c r="K8" s="26"/>
      <c r="L8" s="26"/>
      <c r="M8" s="26"/>
      <c r="N8" s="26"/>
      <c r="O8" s="26"/>
    </row>
    <row r="9" spans="1:19" s="27" customFormat="1" x14ac:dyDescent="0.3">
      <c r="A9" s="46" t="s">
        <v>0</v>
      </c>
      <c r="B9" s="46" t="s">
        <v>51</v>
      </c>
      <c r="C9" s="46" t="s">
        <v>52</v>
      </c>
      <c r="D9" s="53" t="s">
        <v>53</v>
      </c>
      <c r="E9" s="46" t="s">
        <v>54</v>
      </c>
      <c r="F9" s="46" t="s">
        <v>55</v>
      </c>
      <c r="G9" s="48" t="s">
        <v>56</v>
      </c>
      <c r="H9" s="26"/>
      <c r="I9" s="26"/>
      <c r="J9" s="26"/>
      <c r="K9" s="26"/>
      <c r="L9" s="26"/>
      <c r="M9" s="26"/>
      <c r="N9" s="26"/>
      <c r="O9" s="26"/>
    </row>
    <row r="10" spans="1:19" s="27" customFormat="1" x14ac:dyDescent="0.3">
      <c r="A10" s="54" t="s">
        <v>64</v>
      </c>
      <c r="B10" s="54">
        <v>0</v>
      </c>
      <c r="C10" s="54">
        <v>0</v>
      </c>
      <c r="D10" s="54">
        <f t="shared" ref="D10:D77" si="1">B10+C10</f>
        <v>0</v>
      </c>
      <c r="E10" s="108" t="s">
        <v>65</v>
      </c>
      <c r="F10" s="108" t="s">
        <v>66</v>
      </c>
      <c r="G10" s="50"/>
      <c r="H10" s="26"/>
      <c r="I10" s="26"/>
      <c r="J10" s="26"/>
      <c r="K10" s="26"/>
      <c r="L10" s="26"/>
      <c r="M10" s="26"/>
      <c r="N10" s="26"/>
      <c r="O10" s="26"/>
    </row>
    <row r="11" spans="1:19" s="27" customFormat="1" x14ac:dyDescent="0.3">
      <c r="A11" s="54" t="s">
        <v>67</v>
      </c>
      <c r="B11" s="54">
        <v>0</v>
      </c>
      <c r="C11" s="54">
        <v>0</v>
      </c>
      <c r="D11" s="54">
        <f t="shared" si="1"/>
        <v>0</v>
      </c>
      <c r="E11" s="108" t="s">
        <v>65</v>
      </c>
      <c r="F11" s="108" t="s">
        <v>66</v>
      </c>
      <c r="G11" s="50"/>
      <c r="H11" s="26"/>
      <c r="I11" s="26" t="s">
        <v>62</v>
      </c>
      <c r="J11" s="26"/>
      <c r="K11" s="26" t="s">
        <v>62</v>
      </c>
      <c r="L11" s="26"/>
      <c r="M11" s="26"/>
      <c r="N11" s="26"/>
      <c r="O11" s="26"/>
      <c r="S11" s="26"/>
    </row>
    <row r="12" spans="1:19" s="27" customFormat="1" x14ac:dyDescent="0.3">
      <c r="A12" s="54" t="s">
        <v>68</v>
      </c>
      <c r="B12" s="54">
        <v>8</v>
      </c>
      <c r="C12" s="54">
        <v>0</v>
      </c>
      <c r="D12" s="54">
        <f t="shared" si="1"/>
        <v>8</v>
      </c>
      <c r="E12" s="108" t="s">
        <v>65</v>
      </c>
      <c r="F12" s="108" t="s">
        <v>66</v>
      </c>
      <c r="G12" s="50"/>
      <c r="H12" s="26"/>
      <c r="I12" s="26"/>
      <c r="J12" s="26"/>
      <c r="K12" s="26"/>
      <c r="L12" s="26"/>
      <c r="M12" s="26"/>
      <c r="N12" s="26"/>
      <c r="O12" s="26"/>
      <c r="S12" s="26"/>
    </row>
    <row r="13" spans="1:19" s="27" customFormat="1" x14ac:dyDescent="0.3">
      <c r="A13" s="54" t="s">
        <v>69</v>
      </c>
      <c r="B13" s="54">
        <v>8</v>
      </c>
      <c r="C13" s="54">
        <v>0</v>
      </c>
      <c r="D13" s="54">
        <f t="shared" si="1"/>
        <v>8</v>
      </c>
      <c r="E13" s="108" t="s">
        <v>65</v>
      </c>
      <c r="F13" s="108" t="s">
        <v>66</v>
      </c>
      <c r="G13" s="50"/>
      <c r="H13" s="26"/>
      <c r="I13" s="26"/>
      <c r="J13" s="26"/>
      <c r="K13" s="26"/>
      <c r="L13" s="26"/>
      <c r="M13" s="26"/>
      <c r="N13" s="26"/>
      <c r="O13" s="26"/>
      <c r="S13" s="26"/>
    </row>
    <row r="14" spans="1:19" s="27" customFormat="1" x14ac:dyDescent="0.3">
      <c r="A14" s="54" t="s">
        <v>70</v>
      </c>
      <c r="B14" s="54">
        <v>0</v>
      </c>
      <c r="C14" s="54">
        <v>0</v>
      </c>
      <c r="D14" s="54">
        <f t="shared" si="1"/>
        <v>0</v>
      </c>
      <c r="E14" s="108" t="s">
        <v>65</v>
      </c>
      <c r="F14" s="108" t="s">
        <v>66</v>
      </c>
      <c r="G14" s="50"/>
      <c r="H14" s="26"/>
      <c r="I14" s="26"/>
      <c r="J14" s="26"/>
      <c r="K14" s="26"/>
      <c r="L14" s="26"/>
      <c r="M14" s="26"/>
      <c r="N14" s="26"/>
      <c r="O14" s="26"/>
      <c r="S14" s="26"/>
    </row>
    <row r="15" spans="1:19" s="27" customFormat="1" x14ac:dyDescent="0.3">
      <c r="A15" s="54" t="s">
        <v>71</v>
      </c>
      <c r="B15" s="54">
        <v>0</v>
      </c>
      <c r="C15" s="54">
        <v>0</v>
      </c>
      <c r="D15" s="54">
        <f t="shared" si="1"/>
        <v>0</v>
      </c>
      <c r="E15" s="108" t="s">
        <v>65</v>
      </c>
      <c r="F15" s="108" t="s">
        <v>66</v>
      </c>
      <c r="G15" s="50"/>
      <c r="H15" s="26"/>
      <c r="I15" s="26"/>
      <c r="J15" s="26"/>
      <c r="K15" s="26"/>
      <c r="L15" s="26"/>
      <c r="M15" s="26"/>
      <c r="N15" s="26"/>
      <c r="O15" s="26"/>
      <c r="S15" s="26"/>
    </row>
    <row r="16" spans="1:19" s="27" customFormat="1" x14ac:dyDescent="0.3">
      <c r="A16" s="54" t="s">
        <v>72</v>
      </c>
      <c r="B16" s="54">
        <v>48</v>
      </c>
      <c r="C16" s="54">
        <v>0</v>
      </c>
      <c r="D16" s="54">
        <f t="shared" si="1"/>
        <v>48</v>
      </c>
      <c r="E16" s="108" t="s">
        <v>65</v>
      </c>
      <c r="F16" s="108" t="s">
        <v>66</v>
      </c>
      <c r="G16" s="50"/>
      <c r="H16" s="26"/>
      <c r="I16" s="26"/>
      <c r="J16" s="26"/>
      <c r="K16" s="26"/>
      <c r="L16" s="26"/>
      <c r="M16" s="26"/>
      <c r="N16" s="26"/>
      <c r="O16" s="26"/>
      <c r="S16" s="26"/>
    </row>
    <row r="17" spans="1:19" s="27" customFormat="1" x14ac:dyDescent="0.3">
      <c r="A17" s="54" t="s">
        <v>73</v>
      </c>
      <c r="B17" s="54">
        <v>0</v>
      </c>
      <c r="C17" s="54">
        <v>0</v>
      </c>
      <c r="D17" s="54">
        <f t="shared" si="1"/>
        <v>0</v>
      </c>
      <c r="E17" s="108" t="s">
        <v>65</v>
      </c>
      <c r="F17" s="108" t="s">
        <v>66</v>
      </c>
      <c r="G17" s="50"/>
      <c r="H17" s="26"/>
      <c r="I17" s="26"/>
      <c r="J17" s="26"/>
      <c r="K17" s="26"/>
      <c r="L17" s="26"/>
      <c r="M17" s="26"/>
      <c r="N17" s="26"/>
      <c r="O17" s="26"/>
      <c r="S17" s="26"/>
    </row>
    <row r="18" spans="1:19" s="27" customFormat="1" x14ac:dyDescent="0.3">
      <c r="A18" s="54" t="s">
        <v>74</v>
      </c>
      <c r="B18" s="54">
        <v>2</v>
      </c>
      <c r="C18" s="54">
        <v>0</v>
      </c>
      <c r="D18" s="54">
        <f t="shared" si="1"/>
        <v>2</v>
      </c>
      <c r="E18" s="108" t="s">
        <v>65</v>
      </c>
      <c r="F18" s="108" t="s">
        <v>66</v>
      </c>
      <c r="G18" s="50"/>
      <c r="H18" s="26"/>
      <c r="I18" s="26"/>
      <c r="J18" s="26"/>
      <c r="K18" s="26"/>
      <c r="L18" s="26"/>
      <c r="M18" s="26"/>
      <c r="N18" s="26"/>
      <c r="O18" s="26"/>
      <c r="S18" s="26"/>
    </row>
    <row r="19" spans="1:19" s="26" customFormat="1" x14ac:dyDescent="0.3">
      <c r="A19" s="367" t="s">
        <v>75</v>
      </c>
      <c r="B19" s="368"/>
      <c r="C19" s="368"/>
      <c r="D19" s="368"/>
      <c r="E19" s="368"/>
      <c r="F19" s="368"/>
      <c r="G19" s="362"/>
      <c r="P19" s="27"/>
      <c r="Q19" s="27"/>
      <c r="R19" s="27"/>
      <c r="S19" s="27"/>
    </row>
    <row r="20" spans="1:19" s="26" customFormat="1" x14ac:dyDescent="0.3">
      <c r="A20" s="48" t="s">
        <v>0</v>
      </c>
      <c r="B20" s="48" t="s">
        <v>51</v>
      </c>
      <c r="C20" s="48" t="s">
        <v>52</v>
      </c>
      <c r="D20" s="56" t="s">
        <v>53</v>
      </c>
      <c r="E20" s="48" t="s">
        <v>54</v>
      </c>
      <c r="F20" s="48" t="s">
        <v>55</v>
      </c>
      <c r="G20" s="48" t="s">
        <v>56</v>
      </c>
      <c r="P20" s="27"/>
      <c r="Q20" s="27"/>
      <c r="R20" s="27"/>
      <c r="S20" s="27"/>
    </row>
    <row r="21" spans="1:19" s="27" customFormat="1" x14ac:dyDescent="0.3">
      <c r="A21" s="54" t="s">
        <v>76</v>
      </c>
      <c r="B21" s="54">
        <v>12</v>
      </c>
      <c r="C21" s="54">
        <v>0</v>
      </c>
      <c r="D21" s="54">
        <f>C21+B21</f>
        <v>12</v>
      </c>
      <c r="E21" s="156" t="s">
        <v>77</v>
      </c>
      <c r="F21" s="157" t="s">
        <v>78</v>
      </c>
      <c r="G21" s="82" t="s">
        <v>79</v>
      </c>
    </row>
    <row r="22" spans="1:19" s="27" customFormat="1" x14ac:dyDescent="0.3">
      <c r="A22" s="54" t="s">
        <v>80</v>
      </c>
      <c r="B22" s="54">
        <v>2</v>
      </c>
      <c r="C22" s="54">
        <v>0</v>
      </c>
      <c r="D22" s="54">
        <f t="shared" ref="D22:D25" si="2">C22+B22</f>
        <v>2</v>
      </c>
      <c r="E22" s="108" t="s">
        <v>65</v>
      </c>
      <c r="F22" s="108" t="s">
        <v>66</v>
      </c>
      <c r="G22" s="109" t="s">
        <v>81</v>
      </c>
    </row>
    <row r="23" spans="1:19" s="27" customFormat="1" x14ac:dyDescent="0.3">
      <c r="A23" s="54" t="s">
        <v>82</v>
      </c>
      <c r="B23" s="54">
        <v>2</v>
      </c>
      <c r="C23" s="54">
        <v>0</v>
      </c>
      <c r="D23" s="54">
        <f t="shared" si="2"/>
        <v>2</v>
      </c>
      <c r="E23" s="108" t="s">
        <v>65</v>
      </c>
      <c r="F23" s="108" t="s">
        <v>66</v>
      </c>
      <c r="G23" s="109" t="s">
        <v>81</v>
      </c>
    </row>
    <row r="24" spans="1:19" s="27" customFormat="1" x14ac:dyDescent="0.3">
      <c r="A24" s="58" t="s">
        <v>83</v>
      </c>
      <c r="B24" s="54">
        <v>0</v>
      </c>
      <c r="C24" s="54">
        <v>0</v>
      </c>
      <c r="D24" s="54">
        <f t="shared" si="2"/>
        <v>0</v>
      </c>
      <c r="E24" s="158" t="s">
        <v>84</v>
      </c>
      <c r="F24" s="159"/>
      <c r="G24" s="50"/>
    </row>
    <row r="25" spans="1:19" s="28" customFormat="1" ht="13.95" customHeight="1" x14ac:dyDescent="0.3">
      <c r="A25" s="54" t="s">
        <v>62</v>
      </c>
      <c r="B25" s="59">
        <v>0</v>
      </c>
      <c r="C25" s="59">
        <v>0</v>
      </c>
      <c r="D25" s="54">
        <f t="shared" si="2"/>
        <v>0</v>
      </c>
      <c r="E25" s="160" t="s">
        <v>62</v>
      </c>
      <c r="F25" s="157" t="s">
        <v>62</v>
      </c>
      <c r="G25" s="52"/>
      <c r="S25" s="27"/>
    </row>
    <row r="26" spans="1:19" s="28" customFormat="1" ht="13.95" customHeight="1" x14ac:dyDescent="0.3">
      <c r="A26" s="54"/>
      <c r="B26" s="59"/>
      <c r="C26" s="59"/>
      <c r="D26" s="54"/>
      <c r="E26" s="54"/>
      <c r="F26" s="110" t="s">
        <v>62</v>
      </c>
      <c r="G26" s="52"/>
      <c r="S26" s="27"/>
    </row>
    <row r="27" spans="1:19" s="28" customFormat="1" ht="13.95" customHeight="1" x14ac:dyDescent="0.3">
      <c r="A27" s="359" t="s">
        <v>85</v>
      </c>
      <c r="B27" s="359"/>
      <c r="C27" s="359"/>
      <c r="D27" s="359"/>
      <c r="E27" s="359"/>
      <c r="F27" s="359"/>
      <c r="G27" s="359"/>
      <c r="S27" s="27"/>
    </row>
    <row r="28" spans="1:19" s="28" customFormat="1" ht="13.95" customHeight="1" x14ac:dyDescent="0.3">
      <c r="A28" s="48" t="s">
        <v>0</v>
      </c>
      <c r="B28" s="48" t="s">
        <v>51</v>
      </c>
      <c r="C28" s="48" t="s">
        <v>52</v>
      </c>
      <c r="D28" s="53" t="s">
        <v>53</v>
      </c>
      <c r="E28" s="48" t="s">
        <v>54</v>
      </c>
      <c r="F28" s="48" t="s">
        <v>55</v>
      </c>
      <c r="G28" s="48" t="s">
        <v>56</v>
      </c>
      <c r="S28" s="27"/>
    </row>
    <row r="29" spans="1:19" s="27" customFormat="1" x14ac:dyDescent="0.3">
      <c r="A29" s="49" t="s">
        <v>86</v>
      </c>
      <c r="B29" s="49">
        <v>0</v>
      </c>
      <c r="C29" s="49">
        <v>0</v>
      </c>
      <c r="D29" s="49">
        <f>SUM(B29:C29)</f>
        <v>0</v>
      </c>
      <c r="E29" s="93" t="s">
        <v>87</v>
      </c>
      <c r="F29" s="155" t="s">
        <v>88</v>
      </c>
      <c r="G29" s="54"/>
      <c r="H29" s="26"/>
      <c r="I29" s="26"/>
      <c r="J29" s="26"/>
      <c r="K29" s="26"/>
      <c r="L29" s="26"/>
      <c r="M29" s="26"/>
      <c r="N29" s="26"/>
      <c r="O29" s="26"/>
    </row>
    <row r="30" spans="1:19" s="28" customFormat="1" ht="13.95" customHeight="1" x14ac:dyDescent="0.3">
      <c r="A30" s="57" t="s">
        <v>89</v>
      </c>
      <c r="B30" s="57">
        <f>B3/8</f>
        <v>0</v>
      </c>
      <c r="C30" s="57">
        <v>0</v>
      </c>
      <c r="D30" s="58">
        <f t="shared" si="1"/>
        <v>0</v>
      </c>
      <c r="E30" s="58" t="s">
        <v>62</v>
      </c>
      <c r="F30" s="57" t="s">
        <v>90</v>
      </c>
      <c r="G30" s="59"/>
      <c r="H30" s="41"/>
      <c r="I30" s="41"/>
      <c r="J30" s="41"/>
      <c r="K30" s="41"/>
      <c r="L30" s="41"/>
      <c r="M30" s="41"/>
      <c r="N30" s="41"/>
      <c r="O30" s="41"/>
      <c r="P30" s="41"/>
      <c r="Q30" s="41"/>
      <c r="R30" s="41"/>
      <c r="S30" s="27"/>
    </row>
    <row r="31" spans="1:19" s="28" customFormat="1" ht="13.95" customHeight="1" x14ac:dyDescent="0.3">
      <c r="A31" s="57" t="s">
        <v>91</v>
      </c>
      <c r="B31" s="149">
        <v>0</v>
      </c>
      <c r="C31" s="57">
        <v>0</v>
      </c>
      <c r="D31" s="58">
        <f t="shared" si="1"/>
        <v>0</v>
      </c>
      <c r="E31" s="58" t="s">
        <v>62</v>
      </c>
      <c r="F31" s="57" t="s">
        <v>90</v>
      </c>
      <c r="G31" s="29" t="s">
        <v>92</v>
      </c>
      <c r="H31" s="41"/>
      <c r="I31" s="41"/>
      <c r="J31" s="41"/>
      <c r="K31" s="41"/>
      <c r="L31" s="41"/>
      <c r="M31" s="41"/>
      <c r="N31" s="41"/>
      <c r="O31" s="41"/>
      <c r="P31" s="41"/>
      <c r="Q31" s="41"/>
      <c r="R31" s="41"/>
      <c r="S31" s="27"/>
    </row>
    <row r="32" spans="1:19" s="28" customFormat="1" ht="13.95" customHeight="1" x14ac:dyDescent="0.3">
      <c r="A32" s="57" t="s">
        <v>93</v>
      </c>
      <c r="B32" s="57">
        <v>0</v>
      </c>
      <c r="C32" s="57">
        <v>0</v>
      </c>
      <c r="D32" s="58">
        <f t="shared" si="1"/>
        <v>0</v>
      </c>
      <c r="E32" s="58"/>
      <c r="F32" s="57" t="s">
        <v>90</v>
      </c>
      <c r="G32" s="59"/>
      <c r="H32" s="41"/>
      <c r="I32" s="41"/>
      <c r="J32" s="41"/>
      <c r="K32" s="41"/>
      <c r="L32" s="41"/>
      <c r="M32" s="41"/>
      <c r="N32" s="41"/>
      <c r="O32" s="41"/>
      <c r="P32" s="41"/>
      <c r="Q32" s="41"/>
      <c r="R32" s="41"/>
      <c r="S32" s="27"/>
    </row>
    <row r="33" spans="1:19" s="28" customFormat="1" ht="13.95" customHeight="1" x14ac:dyDescent="0.3">
      <c r="A33" s="57" t="s">
        <v>94</v>
      </c>
      <c r="B33" s="57">
        <v>0</v>
      </c>
      <c r="C33" s="57">
        <v>0</v>
      </c>
      <c r="D33" s="58">
        <v>0</v>
      </c>
      <c r="E33" s="58"/>
      <c r="F33" s="57" t="s">
        <v>90</v>
      </c>
      <c r="G33" s="59"/>
      <c r="H33" s="41"/>
      <c r="I33" s="41"/>
      <c r="J33" s="41"/>
      <c r="K33" s="41"/>
      <c r="L33" s="41"/>
      <c r="M33" s="41"/>
      <c r="N33" s="41"/>
      <c r="O33" s="41"/>
      <c r="P33" s="41"/>
      <c r="Q33" s="41"/>
      <c r="R33" s="41"/>
      <c r="S33" s="27"/>
    </row>
    <row r="34" spans="1:19" s="28" customFormat="1" ht="13.95" customHeight="1" x14ac:dyDescent="0.3">
      <c r="A34" s="57" t="s">
        <v>95</v>
      </c>
      <c r="B34" s="57">
        <v>8</v>
      </c>
      <c r="C34" s="57">
        <v>0</v>
      </c>
      <c r="D34" s="58">
        <f t="shared" si="1"/>
        <v>8</v>
      </c>
      <c r="E34" s="212">
        <v>9048</v>
      </c>
      <c r="F34" s="57" t="s">
        <v>90</v>
      </c>
      <c r="G34" s="54"/>
      <c r="H34" s="41"/>
      <c r="I34" s="41"/>
      <c r="J34" s="41"/>
      <c r="K34" s="41"/>
      <c r="L34" s="41"/>
      <c r="M34" s="41"/>
      <c r="N34" s="41"/>
      <c r="O34" s="41"/>
      <c r="P34" s="41"/>
      <c r="Q34" s="41"/>
      <c r="R34" s="41"/>
      <c r="S34" s="27"/>
    </row>
    <row r="35" spans="1:19" s="28" customFormat="1" ht="13.95" customHeight="1" x14ac:dyDescent="0.3">
      <c r="A35" s="57" t="s">
        <v>96</v>
      </c>
      <c r="B35" s="57">
        <f>(B12+B13)/8</f>
        <v>2</v>
      </c>
      <c r="C35" s="57">
        <v>0</v>
      </c>
      <c r="D35" s="58">
        <f t="shared" si="1"/>
        <v>2</v>
      </c>
      <c r="E35" s="212">
        <v>9048</v>
      </c>
      <c r="F35" s="57" t="s">
        <v>90</v>
      </c>
      <c r="G35" s="54"/>
      <c r="H35" s="41"/>
      <c r="I35" s="41"/>
      <c r="J35" s="41"/>
      <c r="K35" s="41"/>
      <c r="L35" s="41"/>
      <c r="M35" s="41"/>
      <c r="N35" s="41"/>
      <c r="O35" s="41"/>
      <c r="P35" s="41"/>
      <c r="Q35" s="41"/>
      <c r="R35" s="41"/>
      <c r="S35" s="27"/>
    </row>
    <row r="36" spans="1:19" s="28" customFormat="1" ht="13.95" customHeight="1" x14ac:dyDescent="0.3">
      <c r="A36" s="57" t="s">
        <v>97</v>
      </c>
      <c r="B36" s="57">
        <v>0</v>
      </c>
      <c r="C36" s="57">
        <v>0</v>
      </c>
      <c r="D36" s="58">
        <f t="shared" si="1"/>
        <v>0</v>
      </c>
      <c r="E36" s="58"/>
      <c r="F36" s="57" t="s">
        <v>90</v>
      </c>
      <c r="G36" s="54"/>
      <c r="H36" s="41"/>
      <c r="I36" s="41"/>
      <c r="J36" s="41"/>
      <c r="K36" s="41"/>
      <c r="L36" s="41"/>
      <c r="M36" s="41"/>
      <c r="N36" s="41"/>
      <c r="O36" s="41"/>
      <c r="P36" s="41"/>
      <c r="Q36" s="41"/>
      <c r="R36" s="41"/>
      <c r="S36" s="27"/>
    </row>
    <row r="37" spans="1:19" s="28" customFormat="1" ht="13.95" customHeight="1" x14ac:dyDescent="0.3">
      <c r="A37" s="57" t="s">
        <v>98</v>
      </c>
      <c r="B37" s="57">
        <v>1</v>
      </c>
      <c r="C37" s="57">
        <v>0</v>
      </c>
      <c r="D37" s="58">
        <f t="shared" si="1"/>
        <v>1</v>
      </c>
      <c r="E37" s="58" t="s">
        <v>99</v>
      </c>
      <c r="F37" s="57" t="s">
        <v>100</v>
      </c>
      <c r="G37" s="54"/>
      <c r="H37" s="41"/>
      <c r="I37" s="41"/>
      <c r="J37" s="41"/>
      <c r="K37" s="41"/>
      <c r="L37" s="41"/>
      <c r="M37" s="41"/>
      <c r="N37" s="41"/>
      <c r="O37" s="41"/>
      <c r="P37" s="41"/>
      <c r="Q37" s="41"/>
      <c r="R37" s="41"/>
      <c r="S37" s="27"/>
    </row>
    <row r="38" spans="1:19" s="28" customFormat="1" ht="13.95" customHeight="1" x14ac:dyDescent="0.3">
      <c r="A38" s="57" t="s">
        <v>101</v>
      </c>
      <c r="B38" s="60">
        <v>0</v>
      </c>
      <c r="C38" s="57">
        <v>0</v>
      </c>
      <c r="D38" s="58">
        <f t="shared" si="1"/>
        <v>0</v>
      </c>
      <c r="E38" s="58"/>
      <c r="F38" s="57" t="s">
        <v>90</v>
      </c>
      <c r="G38" s="54"/>
      <c r="H38" s="41"/>
      <c r="I38" s="41"/>
      <c r="J38" s="41"/>
      <c r="K38" s="41"/>
      <c r="L38" s="41"/>
      <c r="M38" s="41"/>
      <c r="N38" s="41"/>
      <c r="O38" s="41"/>
      <c r="P38" s="41"/>
      <c r="Q38" s="41"/>
      <c r="R38" s="41"/>
      <c r="S38" s="27"/>
    </row>
    <row r="39" spans="1:19" s="28" customFormat="1" ht="13.95" customHeight="1" x14ac:dyDescent="0.3">
      <c r="A39" s="92" t="s">
        <v>102</v>
      </c>
      <c r="B39" s="57">
        <v>0</v>
      </c>
      <c r="C39" s="57">
        <v>0</v>
      </c>
      <c r="D39" s="58">
        <f t="shared" si="1"/>
        <v>0</v>
      </c>
      <c r="E39" s="58"/>
      <c r="F39" t="s">
        <v>103</v>
      </c>
      <c r="G39" s="54"/>
      <c r="H39" s="41"/>
      <c r="I39" s="41"/>
      <c r="J39" s="41"/>
      <c r="K39" s="41"/>
      <c r="L39" s="41"/>
      <c r="M39" s="41"/>
      <c r="N39" s="41"/>
      <c r="O39" s="41"/>
      <c r="P39" s="41"/>
      <c r="Q39" s="41"/>
      <c r="R39" s="41"/>
      <c r="S39" s="27"/>
    </row>
    <row r="40" spans="1:19" s="28" customFormat="1" ht="13.95" customHeight="1" x14ac:dyDescent="0.3">
      <c r="A40" s="57" t="s">
        <v>104</v>
      </c>
      <c r="B40" s="57">
        <v>0</v>
      </c>
      <c r="C40" s="57">
        <v>0</v>
      </c>
      <c r="D40" s="58">
        <f t="shared" si="1"/>
        <v>0</v>
      </c>
      <c r="E40" s="58"/>
      <c r="F40" s="57"/>
      <c r="G40" s="54"/>
      <c r="H40" s="41"/>
      <c r="I40" s="41"/>
      <c r="J40" s="41"/>
      <c r="K40" s="41"/>
      <c r="L40" s="41"/>
      <c r="M40" s="41"/>
      <c r="N40" s="41"/>
      <c r="O40" s="41"/>
      <c r="P40" s="41"/>
      <c r="Q40" s="41"/>
      <c r="R40" s="41"/>
      <c r="S40" s="27"/>
    </row>
    <row r="41" spans="1:19" s="26" customFormat="1" x14ac:dyDescent="0.3">
      <c r="A41" s="52"/>
      <c r="B41" s="52"/>
      <c r="C41" s="52"/>
      <c r="D41" s="52"/>
      <c r="E41" s="52"/>
      <c r="F41" s="52"/>
      <c r="G41" s="52"/>
      <c r="H41" s="29"/>
      <c r="I41" s="41"/>
      <c r="J41" s="41"/>
      <c r="K41" s="41"/>
      <c r="L41" s="41"/>
      <c r="M41" s="41"/>
      <c r="N41" s="41"/>
      <c r="O41" s="41"/>
      <c r="P41" s="41"/>
      <c r="Q41" s="41"/>
      <c r="R41" s="41"/>
      <c r="S41" s="27"/>
    </row>
    <row r="42" spans="1:19" s="26" customFormat="1" x14ac:dyDescent="0.3">
      <c r="A42" s="55"/>
      <c r="B42" s="55"/>
      <c r="C42" s="55"/>
      <c r="D42" s="52"/>
      <c r="E42" s="52"/>
      <c r="F42" s="52"/>
      <c r="G42" s="55"/>
      <c r="H42" s="28"/>
      <c r="I42" s="28"/>
      <c r="J42" s="28"/>
      <c r="K42" s="28"/>
      <c r="L42" s="28"/>
      <c r="M42" s="28"/>
      <c r="N42" s="28"/>
      <c r="O42" s="28"/>
      <c r="P42" s="28"/>
      <c r="Q42" s="28"/>
      <c r="R42" s="28"/>
      <c r="S42" s="27"/>
    </row>
    <row r="43" spans="1:19" s="26" customFormat="1" x14ac:dyDescent="0.3">
      <c r="A43" s="359" t="s">
        <v>105</v>
      </c>
      <c r="B43" s="359"/>
      <c r="C43" s="359"/>
      <c r="D43" s="359"/>
      <c r="E43" s="359"/>
      <c r="F43" s="359"/>
      <c r="G43" s="359"/>
      <c r="H43" s="28"/>
      <c r="I43" s="28"/>
      <c r="J43" s="28"/>
      <c r="K43" s="28"/>
      <c r="L43" s="28"/>
      <c r="M43" s="28"/>
      <c r="N43" s="28"/>
      <c r="O43" s="28"/>
      <c r="P43" s="28"/>
      <c r="Q43" s="28"/>
      <c r="R43" s="28"/>
      <c r="S43" s="27"/>
    </row>
    <row r="44" spans="1:19" s="26" customFormat="1" x14ac:dyDescent="0.3">
      <c r="A44" s="48" t="s">
        <v>0</v>
      </c>
      <c r="B44" s="48" t="s">
        <v>51</v>
      </c>
      <c r="C44" s="48" t="s">
        <v>52</v>
      </c>
      <c r="D44" s="53" t="s">
        <v>53</v>
      </c>
      <c r="E44" s="48" t="s">
        <v>54</v>
      </c>
      <c r="F44" s="48" t="s">
        <v>55</v>
      </c>
      <c r="G44" s="48" t="s">
        <v>56</v>
      </c>
      <c r="S44" s="27"/>
    </row>
    <row r="45" spans="1:19" s="28" customFormat="1" ht="13.95" customHeight="1" x14ac:dyDescent="0.3">
      <c r="A45" s="54" t="s">
        <v>106</v>
      </c>
      <c r="B45" s="59">
        <v>0</v>
      </c>
      <c r="C45" s="59">
        <v>0</v>
      </c>
      <c r="D45" s="54">
        <f t="shared" si="1"/>
        <v>0</v>
      </c>
      <c r="E45" s="54" t="s">
        <v>107</v>
      </c>
      <c r="F45" s="54"/>
      <c r="G45" s="54"/>
      <c r="S45" s="27"/>
    </row>
    <row r="46" spans="1:19" s="28" customFormat="1" ht="13.95" customHeight="1" x14ac:dyDescent="0.3">
      <c r="A46" s="54" t="s">
        <v>108</v>
      </c>
      <c r="B46" s="59">
        <v>0</v>
      </c>
      <c r="C46" s="59">
        <v>0</v>
      </c>
      <c r="D46" s="54">
        <f t="shared" si="1"/>
        <v>0</v>
      </c>
      <c r="E46" s="54" t="s">
        <v>109</v>
      </c>
      <c r="F46" s="54"/>
      <c r="G46" s="54"/>
      <c r="S46" s="27"/>
    </row>
    <row r="47" spans="1:19" s="28" customFormat="1" ht="13.95" customHeight="1" x14ac:dyDescent="0.3">
      <c r="A47" s="54" t="s">
        <v>110</v>
      </c>
      <c r="B47" s="59">
        <v>0</v>
      </c>
      <c r="C47" s="59">
        <v>0</v>
      </c>
      <c r="D47" s="54">
        <f t="shared" si="1"/>
        <v>0</v>
      </c>
      <c r="E47" s="54"/>
      <c r="F47" s="54"/>
      <c r="G47" s="54"/>
      <c r="S47" s="27"/>
    </row>
    <row r="48" spans="1:19" s="28" customFormat="1" ht="13.95" customHeight="1" x14ac:dyDescent="0.3">
      <c r="A48" s="54" t="s">
        <v>111</v>
      </c>
      <c r="B48" s="61">
        <v>0</v>
      </c>
      <c r="C48" s="59">
        <v>0</v>
      </c>
      <c r="D48" s="54">
        <f t="shared" si="1"/>
        <v>0</v>
      </c>
      <c r="E48" s="54"/>
      <c r="F48" s="54"/>
      <c r="G48" s="54"/>
      <c r="S48" s="27"/>
    </row>
    <row r="49" spans="1:19" s="28" customFormat="1" ht="13.95" customHeight="1" x14ac:dyDescent="0.3">
      <c r="A49" s="54" t="s">
        <v>112</v>
      </c>
      <c r="B49" s="61">
        <v>0</v>
      </c>
      <c r="C49" s="59">
        <v>0</v>
      </c>
      <c r="D49" s="54">
        <f t="shared" si="1"/>
        <v>0</v>
      </c>
      <c r="E49" s="54"/>
      <c r="F49" s="54" t="s">
        <v>62</v>
      </c>
      <c r="G49" s="54"/>
      <c r="S49" s="27"/>
    </row>
    <row r="50" spans="1:19" s="28" customFormat="1" ht="13.95" customHeight="1" x14ac:dyDescent="0.3">
      <c r="A50" s="54" t="s">
        <v>113</v>
      </c>
      <c r="B50" s="59">
        <v>0</v>
      </c>
      <c r="C50" s="59">
        <v>0</v>
      </c>
      <c r="D50" s="54">
        <f t="shared" si="1"/>
        <v>0</v>
      </c>
      <c r="E50" s="54"/>
      <c r="F50" s="54" t="s">
        <v>62</v>
      </c>
      <c r="G50" s="54"/>
      <c r="S50" s="27"/>
    </row>
    <row r="51" spans="1:19" s="28" customFormat="1" ht="13.95" customHeight="1" x14ac:dyDescent="0.3">
      <c r="A51" s="52" t="s">
        <v>114</v>
      </c>
      <c r="B51" s="196">
        <v>0</v>
      </c>
      <c r="C51" s="55"/>
      <c r="D51" s="54">
        <f t="shared" si="1"/>
        <v>0</v>
      </c>
      <c r="E51" s="52"/>
      <c r="F51" s="52"/>
      <c r="G51" s="52"/>
      <c r="S51" s="27"/>
    </row>
    <row r="52" spans="1:19" s="28" customFormat="1" ht="13.95" customHeight="1" x14ac:dyDescent="0.3">
      <c r="A52" s="52" t="s">
        <v>115</v>
      </c>
      <c r="B52" s="196">
        <v>0</v>
      </c>
      <c r="C52" s="55"/>
      <c r="D52" s="54">
        <f t="shared" si="1"/>
        <v>0</v>
      </c>
      <c r="E52" s="52"/>
      <c r="F52" s="52"/>
      <c r="G52" s="52"/>
      <c r="S52" s="27"/>
    </row>
    <row r="53" spans="1:19" s="26" customFormat="1" x14ac:dyDescent="0.3">
      <c r="A53" s="366" t="s">
        <v>116</v>
      </c>
      <c r="B53" s="366"/>
      <c r="C53" s="366"/>
      <c r="D53" s="366"/>
      <c r="E53" s="366"/>
      <c r="F53" s="366"/>
      <c r="G53" s="366"/>
      <c r="S53" s="27"/>
    </row>
    <row r="54" spans="1:19" s="26" customFormat="1" x14ac:dyDescent="0.3">
      <c r="A54" s="48" t="s">
        <v>0</v>
      </c>
      <c r="B54" s="48" t="s">
        <v>51</v>
      </c>
      <c r="C54" s="48" t="s">
        <v>52</v>
      </c>
      <c r="D54" s="53" t="s">
        <v>53</v>
      </c>
      <c r="E54" s="46" t="s">
        <v>54</v>
      </c>
      <c r="F54" s="46" t="s">
        <v>55</v>
      </c>
      <c r="G54" s="48" t="s">
        <v>56</v>
      </c>
      <c r="S54" s="27"/>
    </row>
    <row r="55" spans="1:19" s="112" customFormat="1" ht="28.8" x14ac:dyDescent="0.3">
      <c r="A55" s="51" t="s">
        <v>117</v>
      </c>
      <c r="B55" s="133">
        <f>B29*72</f>
        <v>0</v>
      </c>
      <c r="C55" s="129">
        <v>0</v>
      </c>
      <c r="D55" s="130">
        <f t="shared" si="1"/>
        <v>0</v>
      </c>
      <c r="E55" s="174" t="s">
        <v>118</v>
      </c>
      <c r="F55" s="174" t="s">
        <v>119</v>
      </c>
      <c r="G55" s="111" t="s">
        <v>62</v>
      </c>
    </row>
    <row r="56" spans="1:19" s="27" customFormat="1" x14ac:dyDescent="0.3">
      <c r="A56" s="54" t="s">
        <v>120</v>
      </c>
      <c r="B56" s="65">
        <f>B55*2</f>
        <v>0</v>
      </c>
      <c r="C56" s="62">
        <v>0</v>
      </c>
      <c r="D56" s="63">
        <f t="shared" si="1"/>
        <v>0</v>
      </c>
      <c r="E56" s="118" t="s">
        <v>121</v>
      </c>
      <c r="F56" s="118" t="s">
        <v>122</v>
      </c>
      <c r="G56" s="64" t="s">
        <v>62</v>
      </c>
      <c r="H56" s="26"/>
      <c r="I56" s="26"/>
      <c r="J56" s="26"/>
      <c r="K56" s="26"/>
      <c r="L56" s="26"/>
      <c r="M56" s="26"/>
      <c r="N56" s="26"/>
      <c r="O56" s="26"/>
    </row>
    <row r="57" spans="1:19" s="26" customFormat="1" ht="28.8" x14ac:dyDescent="0.3">
      <c r="A57" s="54" t="s">
        <v>123</v>
      </c>
      <c r="B57" s="54">
        <f>B3*64/2</f>
        <v>0</v>
      </c>
      <c r="C57" s="62">
        <v>0</v>
      </c>
      <c r="D57" s="130">
        <v>0</v>
      </c>
      <c r="E57" s="174" t="s">
        <v>118</v>
      </c>
      <c r="F57" s="174" t="s">
        <v>119</v>
      </c>
      <c r="G57" s="54" t="s">
        <v>62</v>
      </c>
      <c r="S57" s="27"/>
    </row>
    <row r="58" spans="1:19" s="26" customFormat="1" x14ac:dyDescent="0.3">
      <c r="A58" s="52"/>
      <c r="B58" s="52"/>
      <c r="C58" s="52"/>
      <c r="D58" s="52"/>
      <c r="E58" s="174" t="s">
        <v>62</v>
      </c>
      <c r="F58" s="52"/>
      <c r="G58" s="52"/>
    </row>
    <row r="59" spans="1:19" s="26" customFormat="1" x14ac:dyDescent="0.3">
      <c r="A59" s="52"/>
      <c r="B59" s="52"/>
      <c r="C59" s="52"/>
      <c r="D59" s="52"/>
      <c r="E59" s="52"/>
      <c r="F59" s="52"/>
      <c r="G59" s="52"/>
    </row>
    <row r="60" spans="1:19" s="26" customFormat="1" x14ac:dyDescent="0.3">
      <c r="A60" s="351" t="s">
        <v>124</v>
      </c>
      <c r="B60" s="352"/>
      <c r="C60" s="352"/>
      <c r="D60" s="352"/>
      <c r="E60" s="352"/>
      <c r="F60" s="352"/>
      <c r="G60" s="350"/>
    </row>
    <row r="61" spans="1:19" s="26" customFormat="1" x14ac:dyDescent="0.3">
      <c r="A61" s="48" t="s">
        <v>0</v>
      </c>
      <c r="B61" s="48" t="s">
        <v>51</v>
      </c>
      <c r="C61" s="48" t="s">
        <v>52</v>
      </c>
      <c r="D61" s="56" t="s">
        <v>53</v>
      </c>
      <c r="E61" s="46" t="s">
        <v>54</v>
      </c>
      <c r="F61" s="46" t="s">
        <v>55</v>
      </c>
      <c r="G61" s="46" t="s">
        <v>56</v>
      </c>
    </row>
    <row r="62" spans="1:19" s="27" customFormat="1" ht="28.8" x14ac:dyDescent="0.3">
      <c r="A62" s="66" t="s">
        <v>125</v>
      </c>
      <c r="B62" s="54">
        <v>0</v>
      </c>
      <c r="C62" s="62">
        <v>0</v>
      </c>
      <c r="D62" s="130">
        <v>0</v>
      </c>
      <c r="E62" s="174" t="s">
        <v>118</v>
      </c>
      <c r="F62" s="174" t="s">
        <v>119</v>
      </c>
      <c r="G62" s="54">
        <v>0</v>
      </c>
      <c r="H62" s="26"/>
      <c r="I62" s="26"/>
      <c r="J62" s="26"/>
      <c r="K62" s="26"/>
      <c r="L62" s="26"/>
      <c r="M62" s="26"/>
      <c r="N62" s="26"/>
      <c r="O62" s="26"/>
    </row>
    <row r="63" spans="1:19" s="27" customFormat="1" x14ac:dyDescent="0.3">
      <c r="A63" s="54" t="s">
        <v>126</v>
      </c>
      <c r="B63" s="65">
        <f>B62*2</f>
        <v>0</v>
      </c>
      <c r="C63" s="67">
        <v>0</v>
      </c>
      <c r="D63" s="68">
        <f t="shared" ref="D63:D64" si="3">SUM(B63:C63)</f>
        <v>0</v>
      </c>
      <c r="E63" s="118" t="s">
        <v>121</v>
      </c>
      <c r="F63" s="118" t="s">
        <v>122</v>
      </c>
      <c r="G63" s="54" t="s">
        <v>127</v>
      </c>
      <c r="H63" s="26"/>
      <c r="I63" s="26"/>
      <c r="J63" s="26"/>
      <c r="K63" s="26"/>
      <c r="L63" s="26"/>
      <c r="M63" s="26"/>
      <c r="N63" s="26"/>
      <c r="O63" s="26"/>
    </row>
    <row r="64" spans="1:19" s="27" customFormat="1" ht="28.8" x14ac:dyDescent="0.3">
      <c r="A64" s="54" t="s">
        <v>128</v>
      </c>
      <c r="B64" s="54">
        <v>0</v>
      </c>
      <c r="C64" s="62">
        <v>0</v>
      </c>
      <c r="D64" s="68">
        <f t="shared" si="3"/>
        <v>0</v>
      </c>
      <c r="E64" s="174" t="s">
        <v>118</v>
      </c>
      <c r="F64" s="174" t="s">
        <v>119</v>
      </c>
      <c r="G64" s="64" t="s">
        <v>129</v>
      </c>
      <c r="H64" s="26"/>
      <c r="I64" s="26"/>
      <c r="J64" s="26"/>
      <c r="K64" s="26"/>
      <c r="L64" s="26"/>
      <c r="M64" s="26"/>
      <c r="N64" s="26"/>
      <c r="O64" s="26"/>
    </row>
    <row r="65" spans="1:19" s="27" customFormat="1" x14ac:dyDescent="0.3">
      <c r="A65" s="52"/>
      <c r="B65" s="52"/>
      <c r="C65" s="52"/>
      <c r="D65" s="52"/>
      <c r="E65" s="52"/>
      <c r="F65" s="52"/>
      <c r="G65" s="52"/>
      <c r="H65" s="26"/>
      <c r="I65" s="26"/>
      <c r="J65" s="26"/>
      <c r="K65" s="26"/>
      <c r="L65" s="26"/>
      <c r="M65" s="26"/>
      <c r="N65" s="26"/>
      <c r="O65" s="26"/>
    </row>
    <row r="66" spans="1:19" s="27" customFormat="1" x14ac:dyDescent="0.3">
      <c r="A66" s="351" t="s">
        <v>130</v>
      </c>
      <c r="B66" s="352"/>
      <c r="C66" s="352"/>
      <c r="D66" s="352"/>
      <c r="E66" s="352"/>
      <c r="F66" s="352"/>
      <c r="G66" s="350"/>
      <c r="H66" s="26"/>
      <c r="I66" s="26"/>
      <c r="J66" s="26"/>
      <c r="K66" s="26"/>
      <c r="L66" s="26"/>
      <c r="M66" s="26"/>
      <c r="N66" s="26"/>
      <c r="O66" s="26"/>
    </row>
    <row r="67" spans="1:19" s="27" customFormat="1" x14ac:dyDescent="0.3">
      <c r="A67" s="46" t="s">
        <v>0</v>
      </c>
      <c r="B67" s="46" t="s">
        <v>51</v>
      </c>
      <c r="C67" s="46" t="s">
        <v>52</v>
      </c>
      <c r="D67" s="47" t="s">
        <v>53</v>
      </c>
      <c r="E67" s="46" t="s">
        <v>54</v>
      </c>
      <c r="F67" s="46" t="s">
        <v>55</v>
      </c>
      <c r="G67" s="48" t="s">
        <v>56</v>
      </c>
      <c r="H67" s="26"/>
      <c r="I67" s="26"/>
      <c r="J67" s="26"/>
      <c r="K67" s="26"/>
      <c r="L67" s="26"/>
      <c r="M67" s="26"/>
      <c r="N67" s="26"/>
      <c r="O67" s="26"/>
    </row>
    <row r="68" spans="1:19" s="26" customFormat="1" x14ac:dyDescent="0.3">
      <c r="A68" s="54" t="s">
        <v>131</v>
      </c>
      <c r="B68" s="54">
        <f>B29*18*2</f>
        <v>0</v>
      </c>
      <c r="C68" s="62">
        <v>0</v>
      </c>
      <c r="D68" s="62">
        <f>SUM(B68:C68)</f>
        <v>0</v>
      </c>
      <c r="E68" s="118" t="s">
        <v>132</v>
      </c>
      <c r="F68" s="118" t="s">
        <v>133</v>
      </c>
      <c r="G68" s="69"/>
      <c r="P68" s="27"/>
      <c r="Q68" s="27"/>
      <c r="R68" s="27"/>
      <c r="S68" s="27"/>
    </row>
    <row r="69" spans="1:19" s="26" customFormat="1" x14ac:dyDescent="0.3">
      <c r="A69" s="54" t="s">
        <v>134</v>
      </c>
      <c r="B69" s="54">
        <f>B10*36</f>
        <v>0</v>
      </c>
      <c r="C69" s="62">
        <v>0</v>
      </c>
      <c r="D69" s="62">
        <f t="shared" ref="D69:D71" si="4">SUM(B69:C69)</f>
        <v>0</v>
      </c>
      <c r="E69" s="118" t="s">
        <v>135</v>
      </c>
      <c r="F69" s="118" t="s">
        <v>136</v>
      </c>
      <c r="G69" s="54"/>
      <c r="P69" s="27"/>
      <c r="Q69" s="27"/>
      <c r="R69" s="27"/>
      <c r="S69" s="27"/>
    </row>
    <row r="70" spans="1:19" s="26" customFormat="1" x14ac:dyDescent="0.3">
      <c r="A70" s="54" t="s">
        <v>137</v>
      </c>
      <c r="B70" s="54">
        <f>B69*2</f>
        <v>0</v>
      </c>
      <c r="C70" s="62">
        <v>0</v>
      </c>
      <c r="D70" s="62">
        <f t="shared" si="4"/>
        <v>0</v>
      </c>
      <c r="E70" s="118" t="s">
        <v>121</v>
      </c>
      <c r="F70" s="118" t="s">
        <v>122</v>
      </c>
      <c r="G70" s="89" t="s">
        <v>62</v>
      </c>
      <c r="P70" s="27"/>
      <c r="Q70" s="27"/>
      <c r="R70" s="27"/>
      <c r="S70" s="27"/>
    </row>
    <row r="71" spans="1:19" s="26" customFormat="1" x14ac:dyDescent="0.3">
      <c r="A71" s="54"/>
      <c r="B71" s="54">
        <v>0</v>
      </c>
      <c r="C71" s="62">
        <f t="shared" ref="C71" si="5">B71*0.01</f>
        <v>0</v>
      </c>
      <c r="D71" s="62">
        <f t="shared" si="4"/>
        <v>0</v>
      </c>
      <c r="E71" s="54"/>
      <c r="F71" s="54"/>
      <c r="G71" s="54"/>
      <c r="P71" s="27"/>
      <c r="Q71" s="27"/>
      <c r="R71" s="27"/>
      <c r="S71" s="27"/>
    </row>
    <row r="72" spans="1:19" s="26" customFormat="1" x14ac:dyDescent="0.3">
      <c r="A72" s="54"/>
      <c r="B72" s="54" t="s">
        <v>62</v>
      </c>
      <c r="C72" s="54"/>
      <c r="D72" s="54"/>
      <c r="E72" s="117" t="s">
        <v>62</v>
      </c>
      <c r="F72" s="117" t="s">
        <v>62</v>
      </c>
      <c r="G72" s="117" t="s">
        <v>62</v>
      </c>
      <c r="P72" s="27"/>
      <c r="Q72" s="27"/>
      <c r="R72" s="27"/>
      <c r="S72" s="27"/>
    </row>
    <row r="73" spans="1:19" s="26" customFormat="1" x14ac:dyDescent="0.3">
      <c r="A73" s="347" t="s">
        <v>138</v>
      </c>
      <c r="B73" s="348"/>
      <c r="C73" s="348"/>
      <c r="D73" s="348"/>
      <c r="E73" s="348"/>
      <c r="F73" s="348"/>
      <c r="G73" s="349"/>
      <c r="P73" s="27"/>
      <c r="Q73" s="27"/>
      <c r="R73" s="27"/>
      <c r="S73" s="27"/>
    </row>
    <row r="74" spans="1:19" s="26" customFormat="1" x14ac:dyDescent="0.3">
      <c r="A74" s="48" t="s">
        <v>0</v>
      </c>
      <c r="B74" s="48" t="s">
        <v>51</v>
      </c>
      <c r="C74" s="48" t="s">
        <v>52</v>
      </c>
      <c r="D74" s="56" t="s">
        <v>53</v>
      </c>
      <c r="E74" s="46" t="s">
        <v>54</v>
      </c>
      <c r="F74" s="46" t="s">
        <v>55</v>
      </c>
      <c r="G74" s="48" t="s">
        <v>56</v>
      </c>
      <c r="P74" s="27"/>
      <c r="Q74" s="27"/>
      <c r="R74" s="27"/>
      <c r="S74" s="27"/>
    </row>
    <row r="75" spans="1:19" s="26" customFormat="1" ht="24.9" customHeight="1" x14ac:dyDescent="0.3">
      <c r="A75" s="49" t="s">
        <v>139</v>
      </c>
      <c r="B75" s="49">
        <f>B10*16/2</f>
        <v>0</v>
      </c>
      <c r="C75" s="81">
        <v>0</v>
      </c>
      <c r="D75" s="81">
        <f t="shared" si="1"/>
        <v>0</v>
      </c>
      <c r="E75" s="118" t="s">
        <v>135</v>
      </c>
      <c r="F75" s="118" t="s">
        <v>136</v>
      </c>
      <c r="G75" s="50" t="s">
        <v>140</v>
      </c>
      <c r="P75" s="27"/>
      <c r="Q75" s="27"/>
      <c r="R75" s="27"/>
      <c r="S75" s="27"/>
    </row>
    <row r="76" spans="1:19" s="26" customFormat="1" x14ac:dyDescent="0.3">
      <c r="A76" s="49" t="s">
        <v>141</v>
      </c>
      <c r="B76" s="49">
        <f>B75*2</f>
        <v>0</v>
      </c>
      <c r="C76" s="81">
        <v>0</v>
      </c>
      <c r="D76" s="81">
        <f t="shared" si="1"/>
        <v>0</v>
      </c>
      <c r="E76" s="118" t="s">
        <v>121</v>
      </c>
      <c r="F76" s="118" t="s">
        <v>122</v>
      </c>
      <c r="G76" s="50" t="s">
        <v>127</v>
      </c>
      <c r="P76" s="27"/>
      <c r="Q76" s="27"/>
      <c r="R76" s="27"/>
      <c r="S76" s="27"/>
    </row>
    <row r="77" spans="1:19" s="26" customFormat="1" ht="24.9" customHeight="1" x14ac:dyDescent="0.3">
      <c r="A77" s="49" t="s">
        <v>142</v>
      </c>
      <c r="B77" s="49">
        <f>B75</f>
        <v>0</v>
      </c>
      <c r="C77" s="81">
        <v>0</v>
      </c>
      <c r="D77" s="81">
        <f t="shared" si="1"/>
        <v>0</v>
      </c>
      <c r="E77" s="118" t="s">
        <v>135</v>
      </c>
      <c r="F77" s="118" t="s">
        <v>136</v>
      </c>
      <c r="G77" s="80" t="s">
        <v>129</v>
      </c>
      <c r="P77" s="27"/>
      <c r="Q77" s="27"/>
      <c r="R77" s="27"/>
      <c r="S77" s="27"/>
    </row>
    <row r="78" spans="1:19" s="26" customFormat="1" ht="24.9" customHeight="1" x14ac:dyDescent="0.3">
      <c r="A78" s="49"/>
      <c r="B78" s="49"/>
      <c r="C78" s="81"/>
      <c r="D78" s="81"/>
      <c r="E78" s="113"/>
      <c r="F78" s="114"/>
      <c r="G78" s="83"/>
      <c r="P78" s="27"/>
      <c r="Q78" s="27"/>
      <c r="R78" s="27"/>
      <c r="S78" s="27"/>
    </row>
    <row r="79" spans="1:19" s="26" customFormat="1" ht="24.9" customHeight="1" x14ac:dyDescent="0.3">
      <c r="A79" s="351" t="s">
        <v>143</v>
      </c>
      <c r="B79" s="352"/>
      <c r="C79" s="352"/>
      <c r="D79" s="352"/>
      <c r="E79" s="352"/>
      <c r="F79" s="352"/>
      <c r="G79" s="350"/>
      <c r="P79" s="27"/>
      <c r="Q79" s="27"/>
      <c r="R79" s="27"/>
      <c r="S79" s="27"/>
    </row>
    <row r="80" spans="1:19" s="26" customFormat="1" ht="24.9" customHeight="1" x14ac:dyDescent="0.3">
      <c r="A80" s="46" t="s">
        <v>0</v>
      </c>
      <c r="B80" s="46" t="s">
        <v>51</v>
      </c>
      <c r="C80" s="46" t="s">
        <v>52</v>
      </c>
      <c r="D80" s="47" t="s">
        <v>53</v>
      </c>
      <c r="E80" s="46" t="s">
        <v>54</v>
      </c>
      <c r="F80" s="46" t="s">
        <v>55</v>
      </c>
      <c r="G80" s="48" t="s">
        <v>56</v>
      </c>
      <c r="P80" s="27"/>
      <c r="Q80" s="27"/>
      <c r="R80" s="27"/>
      <c r="S80" s="27"/>
    </row>
    <row r="81" spans="1:19" s="27" customFormat="1" ht="24.9" customHeight="1" x14ac:dyDescent="0.3">
      <c r="A81" s="51" t="s">
        <v>144</v>
      </c>
      <c r="B81" s="51">
        <v>0</v>
      </c>
      <c r="C81" s="129">
        <v>0</v>
      </c>
      <c r="D81" s="129">
        <f>SUM(B81:C81)</f>
        <v>0</v>
      </c>
      <c r="E81" s="108" t="s">
        <v>132</v>
      </c>
      <c r="F81" s="108" t="s">
        <v>133</v>
      </c>
      <c r="G81" s="211"/>
    </row>
    <row r="82" spans="1:19" s="26" customFormat="1" ht="24.9" customHeight="1" x14ac:dyDescent="0.3">
      <c r="A82" s="49" t="s">
        <v>145</v>
      </c>
      <c r="B82" s="49">
        <f>B17*32</f>
        <v>0</v>
      </c>
      <c r="C82" s="81">
        <v>0</v>
      </c>
      <c r="D82" s="81">
        <f t="shared" ref="D82:D83" si="6">SUM(B82:C82)</f>
        <v>0</v>
      </c>
      <c r="E82" s="118" t="s">
        <v>135</v>
      </c>
      <c r="F82" s="118" t="s">
        <v>136</v>
      </c>
      <c r="G82" s="50"/>
      <c r="P82" s="27"/>
      <c r="Q82" s="27"/>
      <c r="R82" s="27"/>
      <c r="S82" s="27"/>
    </row>
    <row r="83" spans="1:19" s="26" customFormat="1" ht="24.9" customHeight="1" x14ac:dyDescent="0.3">
      <c r="A83" s="49" t="s">
        <v>146</v>
      </c>
      <c r="B83" s="49">
        <f>B82*2</f>
        <v>0</v>
      </c>
      <c r="C83" s="81">
        <v>0</v>
      </c>
      <c r="D83" s="81">
        <f t="shared" si="6"/>
        <v>0</v>
      </c>
      <c r="E83" s="118" t="s">
        <v>121</v>
      </c>
      <c r="F83" s="118" t="s">
        <v>122</v>
      </c>
      <c r="G83" s="88" t="s">
        <v>62</v>
      </c>
      <c r="P83" s="27"/>
      <c r="Q83" s="27"/>
      <c r="R83" s="27"/>
      <c r="S83" s="27"/>
    </row>
    <row r="84" spans="1:19" s="26" customFormat="1" ht="24.9" customHeight="1" x14ac:dyDescent="0.3">
      <c r="A84" s="49"/>
      <c r="B84" s="49"/>
      <c r="C84" s="81"/>
      <c r="D84" s="81"/>
      <c r="E84" s="134"/>
      <c r="F84" s="135"/>
      <c r="G84" s="83"/>
      <c r="P84" s="27"/>
      <c r="Q84" s="27"/>
      <c r="R84" s="27"/>
      <c r="S84" s="27"/>
    </row>
    <row r="85" spans="1:19" s="26" customFormat="1" ht="24.9" customHeight="1" x14ac:dyDescent="0.3">
      <c r="A85" s="351" t="s">
        <v>147</v>
      </c>
      <c r="B85" s="352"/>
      <c r="C85" s="352"/>
      <c r="D85" s="352"/>
      <c r="E85" s="352"/>
      <c r="F85" s="352"/>
      <c r="G85" s="350"/>
      <c r="P85" s="27"/>
      <c r="Q85" s="27"/>
      <c r="R85" s="27"/>
      <c r="S85" s="27"/>
    </row>
    <row r="86" spans="1:19" s="26" customFormat="1" ht="24.9" customHeight="1" x14ac:dyDescent="0.3">
      <c r="A86" s="48" t="s">
        <v>0</v>
      </c>
      <c r="B86" s="48" t="s">
        <v>51</v>
      </c>
      <c r="C86" s="48" t="s">
        <v>52</v>
      </c>
      <c r="D86" s="56" t="s">
        <v>53</v>
      </c>
      <c r="E86" s="46" t="s">
        <v>54</v>
      </c>
      <c r="F86" s="46" t="s">
        <v>55</v>
      </c>
      <c r="G86" s="48" t="s">
        <v>56</v>
      </c>
      <c r="P86" s="27"/>
      <c r="Q86" s="27"/>
      <c r="R86" s="27"/>
      <c r="S86" s="27"/>
    </row>
    <row r="87" spans="1:19" s="26" customFormat="1" ht="24.9" customHeight="1" x14ac:dyDescent="0.3">
      <c r="A87" s="49" t="s">
        <v>148</v>
      </c>
      <c r="B87" s="49">
        <f>B17*64/2</f>
        <v>0</v>
      </c>
      <c r="C87" s="81">
        <v>0</v>
      </c>
      <c r="D87" s="81">
        <f t="shared" ref="D87:D89" si="7">B87+C87</f>
        <v>0</v>
      </c>
      <c r="E87" s="118" t="s">
        <v>135</v>
      </c>
      <c r="F87" s="118" t="s">
        <v>136</v>
      </c>
      <c r="G87" s="50" t="s">
        <v>140</v>
      </c>
      <c r="P87" s="27"/>
      <c r="Q87" s="27"/>
      <c r="R87" s="27"/>
      <c r="S87" s="27"/>
    </row>
    <row r="88" spans="1:19" s="26" customFormat="1" ht="24.9" customHeight="1" x14ac:dyDescent="0.3">
      <c r="A88" s="49" t="s">
        <v>149</v>
      </c>
      <c r="B88" s="49">
        <f>B87*2</f>
        <v>0</v>
      </c>
      <c r="C88" s="81">
        <v>0</v>
      </c>
      <c r="D88" s="81">
        <f t="shared" si="7"/>
        <v>0</v>
      </c>
      <c r="E88" s="118" t="s">
        <v>121</v>
      </c>
      <c r="F88" s="118" t="s">
        <v>122</v>
      </c>
      <c r="G88" s="50" t="s">
        <v>127</v>
      </c>
      <c r="P88" s="27"/>
      <c r="Q88" s="27"/>
      <c r="R88" s="27"/>
      <c r="S88" s="27"/>
    </row>
    <row r="89" spans="1:19" s="26" customFormat="1" ht="24.9" customHeight="1" x14ac:dyDescent="0.3">
      <c r="A89" s="49" t="s">
        <v>150</v>
      </c>
      <c r="B89" s="49">
        <f>B87</f>
        <v>0</v>
      </c>
      <c r="C89" s="81">
        <v>0</v>
      </c>
      <c r="D89" s="81">
        <f t="shared" si="7"/>
        <v>0</v>
      </c>
      <c r="E89" s="118" t="s">
        <v>135</v>
      </c>
      <c r="F89" s="118" t="s">
        <v>136</v>
      </c>
      <c r="G89" s="80" t="s">
        <v>129</v>
      </c>
      <c r="P89" s="27"/>
      <c r="Q89" s="27"/>
      <c r="R89" s="27"/>
      <c r="S89" s="27"/>
    </row>
    <row r="90" spans="1:19" s="26" customFormat="1" ht="24.9" customHeight="1" x14ac:dyDescent="0.3">
      <c r="A90" s="351" t="s">
        <v>151</v>
      </c>
      <c r="B90" s="352"/>
      <c r="C90" s="352"/>
      <c r="D90" s="352"/>
      <c r="E90" s="352"/>
      <c r="F90" s="352"/>
      <c r="G90" s="350"/>
      <c r="P90" s="27"/>
      <c r="Q90" s="27"/>
      <c r="R90" s="27"/>
      <c r="S90" s="27"/>
    </row>
    <row r="91" spans="1:19" s="26" customFormat="1" ht="24.9" customHeight="1" x14ac:dyDescent="0.3">
      <c r="A91" s="46" t="s">
        <v>0</v>
      </c>
      <c r="B91" s="46" t="s">
        <v>51</v>
      </c>
      <c r="C91" s="46" t="s">
        <v>52</v>
      </c>
      <c r="D91" s="47" t="s">
        <v>53</v>
      </c>
      <c r="E91" s="46" t="s">
        <v>54</v>
      </c>
      <c r="F91" s="46" t="s">
        <v>55</v>
      </c>
      <c r="G91" s="46" t="s">
        <v>56</v>
      </c>
      <c r="P91" s="27"/>
      <c r="Q91" s="27"/>
      <c r="R91" s="27"/>
      <c r="S91" s="27"/>
    </row>
    <row r="92" spans="1:19" s="26" customFormat="1" ht="24.9" customHeight="1" x14ac:dyDescent="0.3">
      <c r="A92" s="49" t="s">
        <v>152</v>
      </c>
      <c r="B92" s="49">
        <f>(24/2)*B11</f>
        <v>0</v>
      </c>
      <c r="C92" s="81">
        <v>0</v>
      </c>
      <c r="D92" s="81">
        <f t="shared" ref="D92:D94" si="8">B92+C92</f>
        <v>0</v>
      </c>
      <c r="E92" s="121" t="s">
        <v>135</v>
      </c>
      <c r="F92" s="152" t="s">
        <v>136</v>
      </c>
      <c r="G92" s="121" t="s">
        <v>140</v>
      </c>
      <c r="P92" s="27"/>
      <c r="Q92" s="27"/>
      <c r="R92" s="27"/>
      <c r="S92" s="27"/>
    </row>
    <row r="93" spans="1:19" s="26" customFormat="1" ht="24.9" customHeight="1" x14ac:dyDescent="0.3">
      <c r="A93" s="49" t="s">
        <v>153</v>
      </c>
      <c r="B93" s="49">
        <f>B92*2</f>
        <v>0</v>
      </c>
      <c r="C93" s="81">
        <v>0</v>
      </c>
      <c r="D93" s="81">
        <f t="shared" si="8"/>
        <v>0</v>
      </c>
      <c r="E93" s="121" t="s">
        <v>121</v>
      </c>
      <c r="F93" s="121" t="s">
        <v>122</v>
      </c>
      <c r="G93" s="121" t="s">
        <v>127</v>
      </c>
      <c r="P93" s="27"/>
      <c r="Q93" s="27"/>
      <c r="R93" s="27"/>
      <c r="S93" s="27"/>
    </row>
    <row r="94" spans="1:19" s="26" customFormat="1" ht="24.9" customHeight="1" x14ac:dyDescent="0.3">
      <c r="A94" s="49" t="s">
        <v>154</v>
      </c>
      <c r="B94" s="49">
        <v>864</v>
      </c>
      <c r="C94" s="81">
        <v>0</v>
      </c>
      <c r="D94" s="81">
        <f t="shared" si="8"/>
        <v>864</v>
      </c>
      <c r="E94" s="121" t="s">
        <v>135</v>
      </c>
      <c r="F94" s="121" t="s">
        <v>136</v>
      </c>
      <c r="G94" s="121" t="s">
        <v>129</v>
      </c>
      <c r="P94" s="27"/>
      <c r="Q94" s="27"/>
      <c r="R94" s="27"/>
      <c r="S94" s="27"/>
    </row>
    <row r="95" spans="1:19" s="26" customFormat="1" x14ac:dyDescent="0.3">
      <c r="A95" s="49"/>
      <c r="B95" s="49"/>
      <c r="C95" s="81"/>
      <c r="D95" s="81"/>
      <c r="E95" s="49"/>
      <c r="F95" s="49"/>
      <c r="G95" s="54"/>
      <c r="P95" s="27"/>
      <c r="Q95" s="27"/>
      <c r="R95" s="27"/>
      <c r="S95" s="27"/>
    </row>
    <row r="96" spans="1:19" s="26" customFormat="1" x14ac:dyDescent="0.3">
      <c r="A96" s="351" t="s">
        <v>155</v>
      </c>
      <c r="B96" s="352"/>
      <c r="C96" s="352"/>
      <c r="D96" s="352"/>
      <c r="E96" s="352"/>
      <c r="F96" s="352"/>
      <c r="G96" s="350"/>
      <c r="P96" s="27"/>
      <c r="Q96" s="27"/>
      <c r="R96" s="27"/>
      <c r="S96" s="27"/>
    </row>
    <row r="97" spans="1:19" s="26" customFormat="1" x14ac:dyDescent="0.3">
      <c r="A97" s="48" t="s">
        <v>0</v>
      </c>
      <c r="B97" s="48" t="s">
        <v>51</v>
      </c>
      <c r="C97" s="48" t="s">
        <v>52</v>
      </c>
      <c r="D97" s="153" t="s">
        <v>53</v>
      </c>
      <c r="E97" s="48" t="s">
        <v>54</v>
      </c>
      <c r="F97" s="48" t="s">
        <v>55</v>
      </c>
      <c r="G97" s="48" t="s">
        <v>56</v>
      </c>
      <c r="P97" s="27"/>
      <c r="Q97" s="27"/>
      <c r="R97" s="27"/>
      <c r="S97" s="27"/>
    </row>
    <row r="98" spans="1:19" s="26" customFormat="1" x14ac:dyDescent="0.3">
      <c r="A98" s="49" t="s">
        <v>156</v>
      </c>
      <c r="B98" s="49">
        <f>B12*64/2</f>
        <v>256</v>
      </c>
      <c r="C98" s="81">
        <v>0</v>
      </c>
      <c r="D98" s="119">
        <f>B98</f>
        <v>256</v>
      </c>
      <c r="E98" s="121" t="s">
        <v>135</v>
      </c>
      <c r="F98" s="121" t="s">
        <v>136</v>
      </c>
      <c r="G98" s="54" t="s">
        <v>62</v>
      </c>
      <c r="P98" s="27"/>
      <c r="Q98" s="27"/>
      <c r="R98" s="27"/>
      <c r="S98" s="27"/>
    </row>
    <row r="99" spans="1:19" s="26" customFormat="1" x14ac:dyDescent="0.3">
      <c r="A99" s="49" t="s">
        <v>157</v>
      </c>
      <c r="B99" s="49">
        <f>B98*2</f>
        <v>512</v>
      </c>
      <c r="C99" s="81">
        <v>0</v>
      </c>
      <c r="D99" s="119">
        <f t="shared" ref="D99:D106" si="9">B99</f>
        <v>512</v>
      </c>
      <c r="E99" s="118" t="s">
        <v>121</v>
      </c>
      <c r="F99" s="118" t="s">
        <v>122</v>
      </c>
      <c r="G99" s="54" t="s">
        <v>62</v>
      </c>
      <c r="P99" s="27"/>
      <c r="Q99" s="27"/>
      <c r="R99" s="27"/>
      <c r="S99" s="27"/>
    </row>
    <row r="100" spans="1:19" s="26" customFormat="1" x14ac:dyDescent="0.3">
      <c r="A100" s="49" t="s">
        <v>158</v>
      </c>
      <c r="B100" s="49">
        <f>B98</f>
        <v>256</v>
      </c>
      <c r="C100" s="81">
        <v>0</v>
      </c>
      <c r="D100" s="119">
        <f t="shared" si="9"/>
        <v>256</v>
      </c>
      <c r="E100" s="121" t="s">
        <v>135</v>
      </c>
      <c r="F100" s="121" t="s">
        <v>136</v>
      </c>
      <c r="G100" s="64" t="s">
        <v>62</v>
      </c>
      <c r="P100" s="27"/>
      <c r="Q100" s="27"/>
      <c r="R100" s="27"/>
      <c r="S100" s="27"/>
    </row>
    <row r="101" spans="1:19" s="26" customFormat="1" x14ac:dyDescent="0.3">
      <c r="A101" s="49" t="s">
        <v>159</v>
      </c>
      <c r="B101" s="49">
        <f>B12*64/2</f>
        <v>256</v>
      </c>
      <c r="C101" s="81">
        <v>0</v>
      </c>
      <c r="D101" s="119">
        <f t="shared" si="9"/>
        <v>256</v>
      </c>
      <c r="E101" s="121" t="s">
        <v>135</v>
      </c>
      <c r="F101" s="121" t="s">
        <v>136</v>
      </c>
      <c r="G101" s="64"/>
      <c r="P101" s="27"/>
      <c r="Q101" s="27"/>
      <c r="R101" s="27"/>
      <c r="S101" s="27"/>
    </row>
    <row r="102" spans="1:19" s="26" customFormat="1" x14ac:dyDescent="0.3">
      <c r="A102" s="49" t="s">
        <v>160</v>
      </c>
      <c r="B102" s="49">
        <f>B103</f>
        <v>496</v>
      </c>
      <c r="C102" s="81">
        <v>0</v>
      </c>
      <c r="D102" s="119">
        <f t="shared" si="9"/>
        <v>496</v>
      </c>
      <c r="E102" s="118" t="s">
        <v>121</v>
      </c>
      <c r="F102" s="118" t="s">
        <v>122</v>
      </c>
      <c r="G102" s="64"/>
      <c r="P102" s="27"/>
      <c r="Q102" s="27"/>
      <c r="R102" s="27"/>
      <c r="S102" s="27"/>
    </row>
    <row r="103" spans="1:19" s="26" customFormat="1" x14ac:dyDescent="0.3">
      <c r="A103" s="49" t="s">
        <v>161</v>
      </c>
      <c r="B103" s="115">
        <f>248*2</f>
        <v>496</v>
      </c>
      <c r="C103" s="116">
        <v>0</v>
      </c>
      <c r="D103" s="119">
        <f t="shared" si="9"/>
        <v>496</v>
      </c>
      <c r="E103" s="120" t="s">
        <v>132</v>
      </c>
      <c r="F103" s="154" t="s">
        <v>133</v>
      </c>
      <c r="G103" s="64"/>
      <c r="P103" s="27"/>
      <c r="Q103" s="27"/>
      <c r="R103" s="27"/>
      <c r="S103" s="27"/>
    </row>
    <row r="104" spans="1:19" s="26" customFormat="1" x14ac:dyDescent="0.3">
      <c r="A104" s="49" t="s">
        <v>162</v>
      </c>
      <c r="B104" s="49">
        <f>B13*(72/2)</f>
        <v>288</v>
      </c>
      <c r="C104" s="81">
        <v>0</v>
      </c>
      <c r="D104" s="81">
        <f t="shared" si="9"/>
        <v>288</v>
      </c>
      <c r="E104" s="121" t="s">
        <v>135</v>
      </c>
      <c r="F104" s="121" t="s">
        <v>136</v>
      </c>
      <c r="G104" s="54"/>
      <c r="P104" s="27"/>
      <c r="Q104" s="27"/>
      <c r="R104" s="27"/>
      <c r="S104" s="27"/>
    </row>
    <row r="105" spans="1:19" s="26" customFormat="1" x14ac:dyDescent="0.3">
      <c r="A105" s="49" t="s">
        <v>163</v>
      </c>
      <c r="B105" s="49">
        <f>B104*2</f>
        <v>576</v>
      </c>
      <c r="C105" s="81">
        <v>0</v>
      </c>
      <c r="D105" s="81">
        <f t="shared" si="9"/>
        <v>576</v>
      </c>
      <c r="E105" s="118" t="s">
        <v>121</v>
      </c>
      <c r="F105" s="118" t="s">
        <v>122</v>
      </c>
      <c r="G105" s="54"/>
      <c r="P105" s="27"/>
      <c r="Q105" s="27"/>
      <c r="R105" s="27"/>
      <c r="S105" s="27"/>
    </row>
    <row r="106" spans="1:19" s="26" customFormat="1" x14ac:dyDescent="0.3">
      <c r="A106" s="49" t="s">
        <v>162</v>
      </c>
      <c r="B106" s="49">
        <f>B16*(12/2)</f>
        <v>288</v>
      </c>
      <c r="C106" s="81">
        <v>0</v>
      </c>
      <c r="D106" s="81">
        <f t="shared" si="9"/>
        <v>288</v>
      </c>
      <c r="E106" s="121" t="s">
        <v>135</v>
      </c>
      <c r="F106" s="121" t="s">
        <v>136</v>
      </c>
      <c r="G106" s="54"/>
      <c r="P106" s="27"/>
      <c r="Q106" s="27"/>
      <c r="R106" s="27"/>
      <c r="S106" s="27"/>
    </row>
    <row r="107" spans="1:19" s="26" customFormat="1" x14ac:dyDescent="0.3">
      <c r="A107" s="205" t="s">
        <v>164</v>
      </c>
      <c r="B107" s="205">
        <v>248</v>
      </c>
      <c r="C107" s="205">
        <v>0</v>
      </c>
      <c r="D107" s="343">
        <v>248</v>
      </c>
      <c r="E107" s="206" t="s">
        <v>135</v>
      </c>
      <c r="F107" s="206" t="s">
        <v>136</v>
      </c>
      <c r="G107" s="54"/>
      <c r="P107" s="27"/>
      <c r="Q107" s="27"/>
      <c r="R107" s="27"/>
      <c r="S107" s="27"/>
    </row>
    <row r="108" spans="1:19" s="26" customFormat="1" x14ac:dyDescent="0.3">
      <c r="A108" s="205" t="s">
        <v>165</v>
      </c>
      <c r="B108" s="205">
        <v>496</v>
      </c>
      <c r="C108" s="205">
        <v>0</v>
      </c>
      <c r="D108" s="343">
        <v>496</v>
      </c>
      <c r="E108" s="118" t="s">
        <v>121</v>
      </c>
      <c r="F108" s="118" t="s">
        <v>122</v>
      </c>
      <c r="G108" s="54"/>
      <c r="P108" s="27"/>
      <c r="Q108" s="27"/>
      <c r="R108" s="27"/>
      <c r="S108" s="27"/>
    </row>
    <row r="109" spans="1:19" s="26" customFormat="1" x14ac:dyDescent="0.3">
      <c r="A109" s="205" t="s">
        <v>166</v>
      </c>
      <c r="B109" s="344">
        <v>496</v>
      </c>
      <c r="C109" s="344">
        <v>0</v>
      </c>
      <c r="D109" s="343">
        <v>496</v>
      </c>
      <c r="E109" s="207" t="s">
        <v>132</v>
      </c>
      <c r="F109" s="154" t="s">
        <v>133</v>
      </c>
      <c r="G109" s="54"/>
      <c r="P109" s="27"/>
      <c r="Q109" s="27"/>
      <c r="R109" s="27"/>
      <c r="S109" s="27"/>
    </row>
    <row r="110" spans="1:19" s="26" customFormat="1" x14ac:dyDescent="0.3">
      <c r="A110" s="200"/>
      <c r="B110" s="201"/>
      <c r="C110" s="202"/>
      <c r="D110" s="202"/>
      <c r="E110" s="203"/>
      <c r="F110" s="203"/>
      <c r="G110" s="204"/>
      <c r="P110" s="27"/>
      <c r="Q110" s="27"/>
      <c r="R110" s="27"/>
      <c r="S110" s="27"/>
    </row>
    <row r="111" spans="1:19" s="26" customFormat="1" x14ac:dyDescent="0.3">
      <c r="A111" s="200"/>
      <c r="B111" s="201"/>
      <c r="C111" s="202"/>
      <c r="D111" s="202"/>
      <c r="E111" s="203"/>
      <c r="F111" s="203"/>
      <c r="G111" s="204"/>
      <c r="P111" s="27"/>
      <c r="Q111" s="27"/>
      <c r="R111" s="27"/>
      <c r="S111" s="27"/>
    </row>
    <row r="112" spans="1:19" s="26" customFormat="1" x14ac:dyDescent="0.3">
      <c r="A112" s="347" t="s">
        <v>167</v>
      </c>
      <c r="B112" s="348"/>
      <c r="C112" s="348"/>
      <c r="D112" s="348"/>
      <c r="E112" s="348"/>
      <c r="F112" s="348"/>
      <c r="G112" s="349"/>
      <c r="P112" s="27"/>
      <c r="Q112" s="27"/>
      <c r="R112" s="27"/>
      <c r="S112" s="27"/>
    </row>
    <row r="113" spans="1:19" s="26" customFormat="1" x14ac:dyDescent="0.3">
      <c r="A113" s="48" t="s">
        <v>0</v>
      </c>
      <c r="B113" s="48" t="s">
        <v>51</v>
      </c>
      <c r="C113" s="48" t="s">
        <v>52</v>
      </c>
      <c r="D113" s="56" t="s">
        <v>53</v>
      </c>
      <c r="E113" s="46" t="s">
        <v>54</v>
      </c>
      <c r="F113" s="46" t="s">
        <v>55</v>
      </c>
      <c r="G113" s="48" t="s">
        <v>56</v>
      </c>
      <c r="P113" s="27"/>
      <c r="Q113" s="27"/>
      <c r="R113" s="27"/>
      <c r="S113" s="27"/>
    </row>
    <row r="114" spans="1:19" s="26" customFormat="1" x14ac:dyDescent="0.3">
      <c r="A114" s="49" t="s">
        <v>168</v>
      </c>
      <c r="B114" s="49">
        <f>B14*2</f>
        <v>0</v>
      </c>
      <c r="C114" s="81">
        <v>0</v>
      </c>
      <c r="D114" s="119">
        <f t="shared" ref="D114:D122" si="10">B114+C114</f>
        <v>0</v>
      </c>
      <c r="E114" s="121" t="s">
        <v>135</v>
      </c>
      <c r="F114" s="121" t="s">
        <v>136</v>
      </c>
      <c r="G114" s="50" t="s">
        <v>140</v>
      </c>
      <c r="P114" s="27"/>
      <c r="Q114" s="27"/>
      <c r="R114" s="27"/>
      <c r="S114" s="27"/>
    </row>
    <row r="115" spans="1:19" s="26" customFormat="1" x14ac:dyDescent="0.3">
      <c r="A115" s="49" t="s">
        <v>169</v>
      </c>
      <c r="B115" s="49">
        <f>B114*2</f>
        <v>0</v>
      </c>
      <c r="C115" s="81">
        <v>0</v>
      </c>
      <c r="D115" s="119">
        <f t="shared" si="10"/>
        <v>0</v>
      </c>
      <c r="E115" s="118" t="s">
        <v>121</v>
      </c>
      <c r="F115" s="118" t="s">
        <v>122</v>
      </c>
      <c r="G115" s="50" t="s">
        <v>127</v>
      </c>
      <c r="P115" s="27"/>
      <c r="Q115" s="27"/>
      <c r="R115" s="27"/>
      <c r="S115" s="27"/>
    </row>
    <row r="116" spans="1:19" s="26" customFormat="1" x14ac:dyDescent="0.3">
      <c r="A116" s="49" t="s">
        <v>170</v>
      </c>
      <c r="B116" s="49">
        <f>B114</f>
        <v>0</v>
      </c>
      <c r="C116" s="81">
        <v>0</v>
      </c>
      <c r="D116" s="81">
        <f t="shared" si="10"/>
        <v>0</v>
      </c>
      <c r="E116" s="121" t="s">
        <v>135</v>
      </c>
      <c r="F116" s="121" t="s">
        <v>136</v>
      </c>
      <c r="G116" s="64" t="s">
        <v>129</v>
      </c>
      <c r="P116" s="27"/>
      <c r="Q116" s="27"/>
      <c r="R116" s="27"/>
      <c r="S116" s="27"/>
    </row>
    <row r="117" spans="1:19" s="26" customFormat="1" x14ac:dyDescent="0.3">
      <c r="A117" s="49" t="s">
        <v>171</v>
      </c>
      <c r="B117" s="49">
        <f t="shared" ref="B117:B122" si="11">B115</f>
        <v>0</v>
      </c>
      <c r="C117" s="81">
        <v>0</v>
      </c>
      <c r="D117" s="81">
        <f t="shared" si="10"/>
        <v>0</v>
      </c>
      <c r="E117" s="121" t="s">
        <v>135</v>
      </c>
      <c r="F117" s="121" t="s">
        <v>136</v>
      </c>
      <c r="G117" s="64"/>
      <c r="P117" s="27"/>
      <c r="Q117" s="27"/>
      <c r="R117" s="27"/>
      <c r="S117" s="27"/>
    </row>
    <row r="118" spans="1:19" s="26" customFormat="1" x14ac:dyDescent="0.3">
      <c r="A118" s="49" t="s">
        <v>172</v>
      </c>
      <c r="B118" s="49">
        <f t="shared" si="11"/>
        <v>0</v>
      </c>
      <c r="C118" s="81">
        <v>0</v>
      </c>
      <c r="D118" s="81">
        <f t="shared" si="10"/>
        <v>0</v>
      </c>
      <c r="E118" s="171" t="s">
        <v>173</v>
      </c>
      <c r="F118" s="172" t="s">
        <v>174</v>
      </c>
      <c r="G118" s="54"/>
      <c r="P118" s="27"/>
      <c r="Q118" s="27"/>
      <c r="R118" s="27"/>
      <c r="S118" s="27"/>
    </row>
    <row r="119" spans="1:19" s="123" customFormat="1" x14ac:dyDescent="0.3">
      <c r="A119" s="51" t="s">
        <v>175</v>
      </c>
      <c r="B119" s="49">
        <f t="shared" si="11"/>
        <v>0</v>
      </c>
      <c r="C119" s="129">
        <v>0</v>
      </c>
      <c r="D119" s="129">
        <f t="shared" si="10"/>
        <v>0</v>
      </c>
      <c r="E119" s="120" t="s">
        <v>132</v>
      </c>
      <c r="F119" s="150" t="s">
        <v>133</v>
      </c>
      <c r="G119" s="151" t="s">
        <v>176</v>
      </c>
    </row>
    <row r="120" spans="1:19" s="26" customFormat="1" x14ac:dyDescent="0.3">
      <c r="A120" s="49" t="s">
        <v>177</v>
      </c>
      <c r="B120" s="49">
        <f t="shared" si="11"/>
        <v>0</v>
      </c>
      <c r="C120" s="81"/>
      <c r="D120" s="81">
        <f t="shared" si="10"/>
        <v>0</v>
      </c>
      <c r="E120" s="121" t="s">
        <v>135</v>
      </c>
      <c r="F120" s="121" t="s">
        <v>136</v>
      </c>
      <c r="G120" s="54"/>
      <c r="P120" s="27"/>
      <c r="Q120" s="27"/>
      <c r="R120" s="27"/>
      <c r="S120" s="27"/>
    </row>
    <row r="121" spans="1:19" s="26" customFormat="1" x14ac:dyDescent="0.3">
      <c r="A121" s="49" t="s">
        <v>178</v>
      </c>
      <c r="B121" s="49">
        <f t="shared" si="11"/>
        <v>0</v>
      </c>
      <c r="C121" s="81"/>
      <c r="D121" s="81">
        <f t="shared" si="10"/>
        <v>0</v>
      </c>
      <c r="E121" s="118" t="s">
        <v>121</v>
      </c>
      <c r="F121" s="118" t="s">
        <v>122</v>
      </c>
      <c r="G121" s="54"/>
      <c r="P121" s="27"/>
      <c r="Q121" s="27"/>
      <c r="R121" s="27"/>
      <c r="S121" s="27"/>
    </row>
    <row r="122" spans="1:19" s="26" customFormat="1" x14ac:dyDescent="0.3">
      <c r="A122" s="49" t="s">
        <v>177</v>
      </c>
      <c r="B122" s="49">
        <f t="shared" si="11"/>
        <v>0</v>
      </c>
      <c r="C122" s="81"/>
      <c r="D122" s="81">
        <f t="shared" si="10"/>
        <v>0</v>
      </c>
      <c r="E122" s="121" t="s">
        <v>135</v>
      </c>
      <c r="F122" s="121" t="s">
        <v>136</v>
      </c>
      <c r="G122" s="54"/>
      <c r="P122" s="27"/>
      <c r="Q122" s="27"/>
      <c r="R122" s="27"/>
      <c r="S122" s="27"/>
    </row>
    <row r="123" spans="1:19" s="27" customFormat="1" x14ac:dyDescent="0.3">
      <c r="A123" s="347" t="s">
        <v>179</v>
      </c>
      <c r="B123" s="348"/>
      <c r="C123" s="348"/>
      <c r="D123" s="348"/>
      <c r="E123" s="348"/>
      <c r="F123" s="348"/>
      <c r="G123" s="350"/>
    </row>
    <row r="124" spans="1:19" s="26" customFormat="1" x14ac:dyDescent="0.3">
      <c r="A124" s="46" t="s">
        <v>0</v>
      </c>
      <c r="B124" s="46" t="s">
        <v>51</v>
      </c>
      <c r="C124" s="46" t="s">
        <v>52</v>
      </c>
      <c r="D124" s="47" t="s">
        <v>53</v>
      </c>
      <c r="E124" s="46" t="s">
        <v>54</v>
      </c>
      <c r="F124" s="46" t="s">
        <v>55</v>
      </c>
      <c r="G124" s="46" t="s">
        <v>56</v>
      </c>
      <c r="P124" s="27"/>
      <c r="Q124" s="27"/>
      <c r="R124" s="27"/>
      <c r="S124" s="27"/>
    </row>
    <row r="125" spans="1:19" s="27" customFormat="1" x14ac:dyDescent="0.3">
      <c r="A125" s="49" t="s">
        <v>180</v>
      </c>
      <c r="B125" s="84">
        <f>(B21)*44</f>
        <v>528</v>
      </c>
      <c r="C125" s="81">
        <v>0</v>
      </c>
      <c r="D125" s="81">
        <f>SUM(B125:C125)</f>
        <v>528</v>
      </c>
      <c r="E125" s="51" t="s">
        <v>181</v>
      </c>
      <c r="F125" s="126" t="s">
        <v>182</v>
      </c>
      <c r="G125" s="49"/>
    </row>
    <row r="126" spans="1:19" s="27" customFormat="1" x14ac:dyDescent="0.3">
      <c r="A126" s="49" t="s">
        <v>183</v>
      </c>
      <c r="B126" s="49">
        <f>B21*2</f>
        <v>24</v>
      </c>
      <c r="C126" s="81">
        <v>0</v>
      </c>
      <c r="D126" s="81">
        <f t="shared" ref="D126:D136" si="12">SUM(B126:C126)</f>
        <v>24</v>
      </c>
      <c r="E126" s="107" t="s">
        <v>184</v>
      </c>
      <c r="F126" t="s">
        <v>185</v>
      </c>
      <c r="G126" s="89" t="s">
        <v>62</v>
      </c>
    </row>
    <row r="127" spans="1:19" s="27" customFormat="1" x14ac:dyDescent="0.3">
      <c r="A127" s="49" t="s">
        <v>186</v>
      </c>
      <c r="B127" s="49">
        <v>16</v>
      </c>
      <c r="C127" s="81">
        <v>0</v>
      </c>
      <c r="D127" s="81">
        <f t="shared" si="12"/>
        <v>16</v>
      </c>
      <c r="E127" s="107" t="s">
        <v>187</v>
      </c>
      <c r="F127" s="125" t="s">
        <v>188</v>
      </c>
      <c r="G127" s="89"/>
    </row>
    <row r="128" spans="1:19" s="27" customFormat="1" x14ac:dyDescent="0.3">
      <c r="A128" s="49" t="s">
        <v>189</v>
      </c>
      <c r="B128" s="49">
        <v>16</v>
      </c>
      <c r="C128" s="81">
        <v>0</v>
      </c>
      <c r="D128" s="81">
        <f t="shared" si="12"/>
        <v>16</v>
      </c>
      <c r="E128" s="91" t="s">
        <v>190</v>
      </c>
      <c r="F128" s="124" t="s">
        <v>191</v>
      </c>
      <c r="G128" s="49" t="s">
        <v>192</v>
      </c>
    </row>
    <row r="129" spans="1:15" s="27" customFormat="1" x14ac:dyDescent="0.3">
      <c r="A129" s="49" t="s">
        <v>193</v>
      </c>
      <c r="B129" s="49">
        <v>32</v>
      </c>
      <c r="C129" s="81">
        <v>0</v>
      </c>
      <c r="D129" s="81">
        <f t="shared" si="12"/>
        <v>32</v>
      </c>
      <c r="E129" s="121" t="s">
        <v>135</v>
      </c>
      <c r="F129" s="121" t="s">
        <v>136</v>
      </c>
      <c r="G129" s="49"/>
    </row>
    <row r="130" spans="1:15" s="27" customFormat="1" x14ac:dyDescent="0.3">
      <c r="A130" s="49" t="s">
        <v>194</v>
      </c>
      <c r="B130" s="49">
        <v>8</v>
      </c>
      <c r="C130" s="81">
        <f t="shared" ref="C130:C133" si="13">B130*0.02</f>
        <v>0.16</v>
      </c>
      <c r="D130" s="81">
        <f t="shared" si="12"/>
        <v>8.16</v>
      </c>
      <c r="E130" s="121" t="s">
        <v>135</v>
      </c>
      <c r="F130" s="121" t="s">
        <v>136</v>
      </c>
      <c r="G130" s="49"/>
    </row>
    <row r="131" spans="1:15" s="123" customFormat="1" x14ac:dyDescent="0.3">
      <c r="A131" s="173" t="s">
        <v>195</v>
      </c>
      <c r="B131" s="173">
        <v>8</v>
      </c>
      <c r="C131" s="208">
        <v>0</v>
      </c>
      <c r="D131" s="208">
        <v>8</v>
      </c>
      <c r="E131" s="209" t="s">
        <v>196</v>
      </c>
      <c r="F131" s="210" t="s">
        <v>197</v>
      </c>
      <c r="G131" s="173"/>
    </row>
    <row r="132" spans="1:15" s="27" customFormat="1" x14ac:dyDescent="0.3">
      <c r="A132" s="49" t="s">
        <v>198</v>
      </c>
      <c r="B132" s="49">
        <v>8</v>
      </c>
      <c r="C132" s="81">
        <f t="shared" si="13"/>
        <v>0.16</v>
      </c>
      <c r="D132" s="81">
        <f t="shared" si="12"/>
        <v>8.16</v>
      </c>
      <c r="E132" s="118" t="s">
        <v>121</v>
      </c>
      <c r="F132" s="127" t="s">
        <v>122</v>
      </c>
      <c r="G132" s="49"/>
    </row>
    <row r="133" spans="1:15" s="27" customFormat="1" x14ac:dyDescent="0.3">
      <c r="A133" s="49" t="s">
        <v>199</v>
      </c>
      <c r="B133" s="49">
        <v>8</v>
      </c>
      <c r="C133" s="81">
        <f t="shared" si="13"/>
        <v>0.16</v>
      </c>
      <c r="D133" s="81">
        <f t="shared" si="12"/>
        <v>8.16</v>
      </c>
      <c r="E133" s="132" t="s">
        <v>200</v>
      </c>
      <c r="F133" s="128" t="s">
        <v>201</v>
      </c>
      <c r="G133" s="49"/>
      <c r="H133" s="26"/>
      <c r="I133" s="26"/>
      <c r="J133" s="26"/>
      <c r="K133" s="26"/>
      <c r="L133" s="26"/>
      <c r="M133" s="26"/>
      <c r="N133" s="26"/>
      <c r="O133" s="26"/>
    </row>
    <row r="134" spans="1:15" s="27" customFormat="1" x14ac:dyDescent="0.3">
      <c r="A134" s="49" t="s">
        <v>202</v>
      </c>
      <c r="B134" s="49">
        <v>8</v>
      </c>
      <c r="C134" s="81">
        <v>0</v>
      </c>
      <c r="D134" s="81">
        <f t="shared" si="12"/>
        <v>8</v>
      </c>
      <c r="E134" s="121" t="s">
        <v>135</v>
      </c>
      <c r="F134" s="121" t="s">
        <v>136</v>
      </c>
      <c r="G134" s="49"/>
      <c r="H134" s="26"/>
      <c r="I134" s="26"/>
      <c r="J134" s="26"/>
      <c r="K134" s="26"/>
      <c r="L134" s="26"/>
      <c r="M134" s="26"/>
      <c r="N134" s="26"/>
      <c r="O134" s="26"/>
    </row>
    <row r="135" spans="1:15" s="27" customFormat="1" x14ac:dyDescent="0.3">
      <c r="A135" s="49" t="s">
        <v>203</v>
      </c>
      <c r="B135" s="49">
        <v>8</v>
      </c>
      <c r="C135" s="81">
        <v>0</v>
      </c>
      <c r="D135" s="81">
        <f t="shared" si="12"/>
        <v>8</v>
      </c>
      <c r="E135" s="118" t="s">
        <v>121</v>
      </c>
      <c r="F135" s="127" t="s">
        <v>122</v>
      </c>
      <c r="G135" s="49"/>
      <c r="H135" s="26"/>
      <c r="I135" s="26"/>
      <c r="J135" s="26"/>
      <c r="K135" s="26"/>
      <c r="L135" s="26"/>
      <c r="M135" s="26"/>
      <c r="N135" s="26"/>
      <c r="O135" s="26"/>
    </row>
    <row r="136" spans="1:15" s="27" customFormat="1" x14ac:dyDescent="0.3">
      <c r="A136" s="49" t="s">
        <v>204</v>
      </c>
      <c r="B136" s="49">
        <v>8</v>
      </c>
      <c r="C136" s="81">
        <v>0</v>
      </c>
      <c r="D136" s="81">
        <f t="shared" si="12"/>
        <v>8</v>
      </c>
      <c r="E136" s="121" t="s">
        <v>135</v>
      </c>
      <c r="F136" s="121" t="s">
        <v>136</v>
      </c>
      <c r="G136" s="49"/>
      <c r="H136" s="26"/>
      <c r="I136" s="26"/>
      <c r="J136" s="26"/>
      <c r="K136" s="26"/>
      <c r="L136" s="26"/>
      <c r="M136" s="26"/>
      <c r="N136" s="26"/>
      <c r="O136" s="26"/>
    </row>
    <row r="137" spans="1:15" s="27" customFormat="1" x14ac:dyDescent="0.3">
      <c r="A137" s="366" t="s">
        <v>205</v>
      </c>
      <c r="B137" s="366"/>
      <c r="C137" s="366"/>
      <c r="D137" s="366"/>
      <c r="E137" s="366"/>
      <c r="F137" s="366"/>
      <c r="G137" s="366"/>
      <c r="H137" s="26"/>
      <c r="I137" s="26"/>
      <c r="J137" s="26"/>
      <c r="K137" s="26"/>
      <c r="L137" s="26"/>
      <c r="M137" s="26"/>
      <c r="N137" s="26"/>
      <c r="O137" s="26"/>
    </row>
    <row r="138" spans="1:15" s="27" customFormat="1" x14ac:dyDescent="0.3">
      <c r="A138" s="46" t="s">
        <v>0</v>
      </c>
      <c r="B138" s="46" t="s">
        <v>51</v>
      </c>
      <c r="C138" s="46" t="s">
        <v>52</v>
      </c>
      <c r="D138" s="47" t="s">
        <v>53</v>
      </c>
      <c r="E138" s="46" t="s">
        <v>54</v>
      </c>
      <c r="F138" s="46" t="s">
        <v>55</v>
      </c>
      <c r="G138" s="86" t="s">
        <v>56</v>
      </c>
      <c r="H138" s="26"/>
      <c r="I138" s="26"/>
      <c r="J138" s="26"/>
      <c r="K138" s="26"/>
      <c r="L138" s="26"/>
      <c r="M138" s="26"/>
      <c r="N138" s="26"/>
      <c r="O138" s="26"/>
    </row>
    <row r="139" spans="1:15" s="27" customFormat="1" x14ac:dyDescent="0.3">
      <c r="A139" s="85" t="s">
        <v>206</v>
      </c>
      <c r="B139" s="85">
        <v>8</v>
      </c>
      <c r="C139" s="85">
        <v>0</v>
      </c>
      <c r="D139" s="87">
        <f>SUM(B139:C139)</f>
        <v>8</v>
      </c>
      <c r="E139" s="131" t="s">
        <v>84</v>
      </c>
      <c r="F139" s="90" t="s">
        <v>207</v>
      </c>
      <c r="G139" s="85"/>
      <c r="H139" s="26"/>
      <c r="I139" s="26"/>
      <c r="J139" s="26"/>
      <c r="K139" s="26"/>
      <c r="L139" s="26"/>
      <c r="M139" s="26"/>
      <c r="N139" s="26"/>
      <c r="O139" s="26"/>
    </row>
    <row r="140" spans="1:15" s="27" customFormat="1" x14ac:dyDescent="0.3">
      <c r="A140" s="162" t="s">
        <v>208</v>
      </c>
      <c r="B140" s="162">
        <v>8</v>
      </c>
      <c r="C140" s="162">
        <v>0</v>
      </c>
      <c r="D140" s="163">
        <f t="shared" ref="D140:D141" si="14">SUM(B140:C140)</f>
        <v>8</v>
      </c>
      <c r="E140" s="164" t="s">
        <v>121</v>
      </c>
      <c r="F140" s="164" t="s">
        <v>122</v>
      </c>
      <c r="G140" s="85"/>
      <c r="H140" s="26"/>
      <c r="I140" s="26"/>
      <c r="J140" s="26"/>
      <c r="K140" s="26"/>
      <c r="L140" s="26"/>
      <c r="M140" s="26"/>
      <c r="N140" s="26"/>
      <c r="O140" s="26"/>
    </row>
    <row r="141" spans="1:15" s="27" customFormat="1" x14ac:dyDescent="0.3">
      <c r="A141" s="49" t="s">
        <v>209</v>
      </c>
      <c r="B141" s="49">
        <v>8</v>
      </c>
      <c r="C141" s="49">
        <v>0</v>
      </c>
      <c r="D141" s="49">
        <f t="shared" si="14"/>
        <v>8</v>
      </c>
      <c r="E141" s="121" t="s">
        <v>135</v>
      </c>
      <c r="F141" s="121" t="s">
        <v>136</v>
      </c>
      <c r="G141" s="161"/>
      <c r="H141" s="26"/>
      <c r="I141" s="26"/>
      <c r="J141" s="26"/>
      <c r="K141" s="26"/>
      <c r="L141" s="26"/>
      <c r="M141" s="26"/>
      <c r="N141" s="26"/>
      <c r="O141" s="26"/>
    </row>
    <row r="142" spans="1:15" s="27" customFormat="1" x14ac:dyDescent="0.3">
      <c r="A142" s="54"/>
      <c r="B142" s="54"/>
      <c r="C142" s="54"/>
      <c r="D142" s="54"/>
      <c r="E142" s="54"/>
      <c r="F142" s="54"/>
      <c r="G142" s="52"/>
      <c r="H142" s="26"/>
      <c r="I142" s="26"/>
      <c r="J142" s="26"/>
      <c r="K142" s="26"/>
      <c r="L142" s="26"/>
      <c r="M142" s="26"/>
      <c r="N142" s="26"/>
      <c r="O142" s="26"/>
    </row>
    <row r="143" spans="1:15" s="27" customFormat="1" x14ac:dyDescent="0.3">
      <c r="A143" s="347" t="s">
        <v>210</v>
      </c>
      <c r="B143" s="348"/>
      <c r="C143" s="348"/>
      <c r="D143" s="348"/>
      <c r="E143" s="348"/>
      <c r="F143" s="348"/>
      <c r="G143" s="350"/>
      <c r="H143" s="26"/>
      <c r="I143" s="26"/>
      <c r="J143" s="26"/>
      <c r="K143" s="26"/>
      <c r="L143" s="26"/>
      <c r="M143" s="26"/>
      <c r="N143" s="26"/>
      <c r="O143" s="26"/>
    </row>
    <row r="144" spans="1:15" s="27" customFormat="1" x14ac:dyDescent="0.3">
      <c r="A144" s="48" t="s">
        <v>0</v>
      </c>
      <c r="B144" s="48" t="s">
        <v>51</v>
      </c>
      <c r="C144" s="48" t="s">
        <v>52</v>
      </c>
      <c r="D144" s="56" t="s">
        <v>53</v>
      </c>
      <c r="E144" s="46" t="s">
        <v>54</v>
      </c>
      <c r="F144" s="46" t="s">
        <v>55</v>
      </c>
      <c r="G144" s="48" t="s">
        <v>56</v>
      </c>
      <c r="H144" s="26"/>
      <c r="I144" s="26"/>
      <c r="J144" s="26"/>
      <c r="K144" s="26"/>
      <c r="L144" s="26"/>
      <c r="M144" s="26"/>
      <c r="N144" s="26"/>
      <c r="O144" s="26"/>
    </row>
    <row r="145" spans="1:15" s="27" customFormat="1" x14ac:dyDescent="0.3">
      <c r="A145" s="49" t="s">
        <v>211</v>
      </c>
      <c r="B145" s="49">
        <v>32</v>
      </c>
      <c r="C145" s="81">
        <v>0</v>
      </c>
      <c r="D145" s="119">
        <f t="shared" ref="D145:D150" si="15">B145+C145</f>
        <v>32</v>
      </c>
      <c r="E145" s="121" t="s">
        <v>135</v>
      </c>
      <c r="F145" s="121" t="s">
        <v>136</v>
      </c>
      <c r="G145" s="50" t="s">
        <v>140</v>
      </c>
      <c r="H145" s="26"/>
      <c r="I145" s="26"/>
      <c r="J145" s="26"/>
      <c r="K145" s="26"/>
      <c r="L145" s="26"/>
      <c r="M145" s="26"/>
      <c r="N145" s="26"/>
      <c r="O145" s="26"/>
    </row>
    <row r="146" spans="1:15" s="27" customFormat="1" x14ac:dyDescent="0.3">
      <c r="A146" s="49" t="s">
        <v>212</v>
      </c>
      <c r="B146" s="49">
        <f>B145*2</f>
        <v>64</v>
      </c>
      <c r="C146" s="81">
        <v>0</v>
      </c>
      <c r="D146" s="81">
        <f t="shared" si="15"/>
        <v>64</v>
      </c>
      <c r="E146" s="118" t="s">
        <v>121</v>
      </c>
      <c r="F146" s="118" t="s">
        <v>122</v>
      </c>
      <c r="G146" s="54" t="s">
        <v>127</v>
      </c>
      <c r="H146" s="26"/>
      <c r="I146" s="26"/>
      <c r="J146" s="26"/>
      <c r="K146" s="26"/>
      <c r="L146" s="26"/>
      <c r="M146" s="26"/>
      <c r="N146" s="26"/>
      <c r="O146" s="26"/>
    </row>
    <row r="147" spans="1:15" s="27" customFormat="1" x14ac:dyDescent="0.3">
      <c r="A147" s="49" t="s">
        <v>213</v>
      </c>
      <c r="B147" s="49">
        <v>32</v>
      </c>
      <c r="C147" s="81">
        <v>0</v>
      </c>
      <c r="D147" s="81">
        <f t="shared" si="15"/>
        <v>32</v>
      </c>
      <c r="E147" s="121" t="s">
        <v>135</v>
      </c>
      <c r="F147" s="121" t="s">
        <v>136</v>
      </c>
      <c r="G147" s="64" t="s">
        <v>129</v>
      </c>
      <c r="H147" s="26"/>
      <c r="I147" s="26"/>
      <c r="J147" s="26"/>
      <c r="K147" s="26"/>
      <c r="L147" s="26"/>
      <c r="M147" s="26"/>
      <c r="N147" s="26"/>
      <c r="O147" s="26"/>
    </row>
    <row r="148" spans="1:15" s="27" customFormat="1" x14ac:dyDescent="0.3">
      <c r="A148" s="49" t="s">
        <v>171</v>
      </c>
      <c r="B148" s="49">
        <v>32</v>
      </c>
      <c r="C148" s="81">
        <v>0</v>
      </c>
      <c r="D148" s="81">
        <f t="shared" si="15"/>
        <v>32</v>
      </c>
      <c r="E148" s="121" t="s">
        <v>135</v>
      </c>
      <c r="F148" s="121" t="s">
        <v>136</v>
      </c>
      <c r="G148" s="64"/>
      <c r="H148" s="26"/>
      <c r="I148" s="26"/>
      <c r="J148" s="26"/>
      <c r="K148" s="26"/>
      <c r="L148" s="26"/>
      <c r="M148" s="26"/>
      <c r="N148" s="26"/>
      <c r="O148" s="26"/>
    </row>
    <row r="149" spans="1:15" s="27" customFormat="1" x14ac:dyDescent="0.3">
      <c r="A149" s="49" t="s">
        <v>172</v>
      </c>
      <c r="B149" s="49">
        <f>B148*2</f>
        <v>64</v>
      </c>
      <c r="C149" s="81">
        <v>0</v>
      </c>
      <c r="D149" s="81">
        <f t="shared" si="15"/>
        <v>64</v>
      </c>
      <c r="E149" s="118" t="s">
        <v>121</v>
      </c>
      <c r="F149" s="118" t="s">
        <v>122</v>
      </c>
      <c r="G149" s="54"/>
      <c r="H149" s="26"/>
      <c r="I149" s="26"/>
      <c r="J149" s="26"/>
      <c r="K149" s="26"/>
      <c r="L149" s="26"/>
      <c r="M149" s="26"/>
      <c r="N149" s="26"/>
      <c r="O149" s="26"/>
    </row>
    <row r="150" spans="1:15" s="27" customFormat="1" x14ac:dyDescent="0.3">
      <c r="A150" s="51" t="s">
        <v>175</v>
      </c>
      <c r="B150" s="51">
        <v>64</v>
      </c>
      <c r="C150" s="129">
        <v>0</v>
      </c>
      <c r="D150" s="129">
        <f t="shared" si="15"/>
        <v>64</v>
      </c>
      <c r="E150" s="120" t="s">
        <v>132</v>
      </c>
      <c r="F150" s="150" t="s">
        <v>133</v>
      </c>
      <c r="G150" s="151" t="s">
        <v>176</v>
      </c>
      <c r="H150" s="26"/>
      <c r="I150" s="26"/>
      <c r="J150" s="26"/>
      <c r="K150" s="26"/>
      <c r="L150" s="26"/>
      <c r="M150" s="26"/>
      <c r="N150" s="26"/>
      <c r="O150" s="26"/>
    </row>
    <row r="151" spans="1:15" s="27" customFormat="1" x14ac:dyDescent="0.3">
      <c r="A151" s="136"/>
      <c r="B151" s="136"/>
      <c r="C151" s="137"/>
      <c r="D151" s="137"/>
      <c r="E151" s="138"/>
      <c r="F151" s="139"/>
      <c r="G151" s="122"/>
      <c r="H151" s="26"/>
      <c r="I151" s="26"/>
      <c r="J151" s="26"/>
      <c r="K151" s="26"/>
      <c r="L151" s="26"/>
      <c r="M151" s="26"/>
      <c r="N151" s="26"/>
      <c r="O151" s="26"/>
    </row>
    <row r="152" spans="1:15" s="27" customFormat="1" x14ac:dyDescent="0.3">
      <c r="A152" s="356" t="s">
        <v>214</v>
      </c>
      <c r="B152" s="357"/>
      <c r="C152" s="357"/>
      <c r="D152" s="357"/>
      <c r="E152" s="357"/>
      <c r="F152" s="357"/>
      <c r="G152" s="358"/>
      <c r="H152" s="26"/>
      <c r="I152" s="26"/>
      <c r="J152" s="26"/>
      <c r="K152" s="26"/>
      <c r="L152" s="26"/>
      <c r="M152" s="26"/>
      <c r="N152" s="26"/>
      <c r="O152" s="26"/>
    </row>
    <row r="153" spans="1:15" s="27" customFormat="1" x14ac:dyDescent="0.3">
      <c r="A153" s="48" t="s">
        <v>0</v>
      </c>
      <c r="B153" s="48" t="s">
        <v>51</v>
      </c>
      <c r="C153" s="48" t="s">
        <v>52</v>
      </c>
      <c r="D153" s="56" t="s">
        <v>53</v>
      </c>
      <c r="E153" s="48" t="s">
        <v>54</v>
      </c>
      <c r="F153" s="48" t="s">
        <v>55</v>
      </c>
      <c r="G153" s="48" t="s">
        <v>56</v>
      </c>
      <c r="H153" s="26"/>
      <c r="I153" s="26"/>
      <c r="J153" s="26"/>
      <c r="K153" s="26"/>
      <c r="L153" s="26"/>
      <c r="M153" s="26"/>
      <c r="N153" s="26"/>
      <c r="O153" s="26"/>
    </row>
    <row r="154" spans="1:15" s="27" customFormat="1" x14ac:dyDescent="0.3">
      <c r="A154" s="54" t="s">
        <v>76</v>
      </c>
      <c r="B154" s="54">
        <v>0</v>
      </c>
      <c r="C154" s="54">
        <v>0</v>
      </c>
      <c r="D154" s="54">
        <f>C154+B154</f>
        <v>0</v>
      </c>
      <c r="E154" s="152" t="s">
        <v>215</v>
      </c>
      <c r="F154" s="152" t="s">
        <v>216</v>
      </c>
      <c r="G154" s="50"/>
      <c r="H154" s="26"/>
      <c r="I154" s="26"/>
      <c r="J154" s="26"/>
      <c r="K154" s="26"/>
      <c r="L154" s="26"/>
      <c r="M154" s="26"/>
      <c r="N154" s="26"/>
      <c r="O154" s="26"/>
    </row>
    <row r="155" spans="1:15" s="27" customFormat="1" x14ac:dyDescent="0.3">
      <c r="A155" s="49" t="s">
        <v>183</v>
      </c>
      <c r="B155" s="49">
        <v>0</v>
      </c>
      <c r="C155" s="54">
        <v>0</v>
      </c>
      <c r="D155" s="54">
        <f>C155+B155</f>
        <v>0</v>
      </c>
      <c r="E155" s="152" t="s">
        <v>217</v>
      </c>
      <c r="F155" s="152" t="s">
        <v>185</v>
      </c>
      <c r="G155" s="54" t="s">
        <v>218</v>
      </c>
      <c r="H155" s="26"/>
      <c r="I155" s="26"/>
      <c r="J155" s="26"/>
      <c r="K155" s="26"/>
      <c r="L155" s="26"/>
      <c r="M155" s="26"/>
      <c r="N155" s="26"/>
      <c r="O155" s="26"/>
    </row>
    <row r="156" spans="1:15" s="27" customFormat="1" x14ac:dyDescent="0.3">
      <c r="A156" s="49" t="s">
        <v>180</v>
      </c>
      <c r="B156" s="84">
        <v>0</v>
      </c>
      <c r="C156" s="81">
        <v>0</v>
      </c>
      <c r="D156" s="81">
        <f>SUM(B156:C156)</f>
        <v>0</v>
      </c>
      <c r="E156" s="152" t="s">
        <v>219</v>
      </c>
      <c r="F156" s="152" t="s">
        <v>182</v>
      </c>
      <c r="G156" s="49"/>
    </row>
    <row r="157" spans="1:15" s="27" customFormat="1" x14ac:dyDescent="0.3">
      <c r="A157" s="49" t="s">
        <v>186</v>
      </c>
      <c r="B157" s="84">
        <v>0</v>
      </c>
      <c r="C157" s="81">
        <v>0</v>
      </c>
      <c r="D157" s="119">
        <v>0</v>
      </c>
      <c r="E157" s="107" t="s">
        <v>220</v>
      </c>
      <c r="F157" s="125" t="s">
        <v>188</v>
      </c>
      <c r="G157" s="49"/>
    </row>
    <row r="158" spans="1:15" s="27" customFormat="1" x14ac:dyDescent="0.3">
      <c r="A158" s="51"/>
      <c r="B158" s="51"/>
      <c r="C158" s="129"/>
      <c r="D158" s="130"/>
      <c r="E158" s="120"/>
      <c r="F158" s="150"/>
      <c r="G158" s="151"/>
      <c r="H158" s="26"/>
      <c r="I158" s="26"/>
      <c r="J158" s="26"/>
      <c r="K158" s="26"/>
      <c r="L158" s="26"/>
      <c r="M158" s="26"/>
      <c r="N158" s="26"/>
      <c r="O158" s="26"/>
    </row>
    <row r="159" spans="1:15" ht="15" thickBot="1" x14ac:dyDescent="0.35">
      <c r="A159" s="70"/>
      <c r="B159" s="70"/>
      <c r="C159" s="70"/>
      <c r="D159" s="70"/>
      <c r="E159" s="70"/>
      <c r="F159" t="s">
        <v>62</v>
      </c>
      <c r="G159" t="s">
        <v>62</v>
      </c>
    </row>
    <row r="160" spans="1:15" ht="27.6" x14ac:dyDescent="0.3">
      <c r="A160" s="71" t="s">
        <v>221</v>
      </c>
      <c r="B160" s="369" t="s">
        <v>222</v>
      </c>
      <c r="C160" s="370"/>
      <c r="D160" s="371"/>
      <c r="E160" s="72" t="s">
        <v>223</v>
      </c>
      <c r="F160" t="s">
        <v>62</v>
      </c>
      <c r="G160" t="s">
        <v>62</v>
      </c>
      <c r="H160" s="44"/>
      <c r="I160" s="44"/>
    </row>
    <row r="161" spans="1:13" ht="15" thickBot="1" x14ac:dyDescent="0.35">
      <c r="A161" s="73" t="s">
        <v>224</v>
      </c>
      <c r="B161" s="372" t="s">
        <v>225</v>
      </c>
      <c r="C161" s="373"/>
      <c r="D161" s="374"/>
      <c r="E161" s="74" t="s">
        <v>226</v>
      </c>
      <c r="F161" s="45"/>
      <c r="G161" s="70"/>
      <c r="H161" s="40"/>
      <c r="I161" s="40"/>
    </row>
    <row r="162" spans="1:13" x14ac:dyDescent="0.3">
      <c r="A162" s="75"/>
      <c r="B162" s="70"/>
      <c r="C162" s="70"/>
      <c r="D162" s="70"/>
      <c r="E162" s="70"/>
      <c r="F162" s="70"/>
      <c r="G162" s="70"/>
    </row>
    <row r="163" spans="1:13" ht="75.75" customHeight="1" x14ac:dyDescent="0.3">
      <c r="A163" s="364" t="s">
        <v>227</v>
      </c>
      <c r="B163" s="365"/>
      <c r="C163" s="365"/>
      <c r="D163" s="365"/>
      <c r="E163" s="365"/>
      <c r="F163" s="365"/>
      <c r="G163" s="365"/>
    </row>
    <row r="164" spans="1:13" ht="15" thickBot="1" x14ac:dyDescent="0.35">
      <c r="A164" s="70"/>
      <c r="B164" s="70"/>
      <c r="C164" s="52"/>
      <c r="D164" s="70"/>
      <c r="E164" s="70"/>
      <c r="F164" s="70"/>
      <c r="G164" s="70"/>
    </row>
    <row r="165" spans="1:13" x14ac:dyDescent="0.3">
      <c r="A165" s="55"/>
      <c r="B165" s="353" t="s">
        <v>228</v>
      </c>
      <c r="C165" s="354"/>
      <c r="D165" s="354"/>
      <c r="E165" s="354"/>
      <c r="F165" s="354"/>
      <c r="G165" s="355"/>
      <c r="H165" s="42"/>
      <c r="I165" s="42"/>
      <c r="J165" s="42"/>
      <c r="K165" s="42"/>
      <c r="L165" s="42"/>
      <c r="M165" s="42"/>
    </row>
    <row r="166" spans="1:13" x14ac:dyDescent="0.3">
      <c r="A166" s="52"/>
      <c r="B166" s="76" t="s">
        <v>229</v>
      </c>
      <c r="C166" s="76" t="s">
        <v>230</v>
      </c>
      <c r="D166" s="77" t="s">
        <v>51</v>
      </c>
      <c r="E166" s="78" t="s">
        <v>231</v>
      </c>
      <c r="F166" s="78" t="s">
        <v>55</v>
      </c>
      <c r="G166" s="79" t="s">
        <v>56</v>
      </c>
      <c r="H166" s="42"/>
      <c r="I166" s="42"/>
      <c r="J166" s="42"/>
      <c r="K166" s="42"/>
      <c r="L166" s="42"/>
      <c r="M166" s="42"/>
    </row>
    <row r="167" spans="1:13" x14ac:dyDescent="0.3">
      <c r="A167" s="52"/>
      <c r="B167" s="58"/>
      <c r="C167" s="58"/>
      <c r="D167" s="62">
        <f ca="1">SUMIF($E$1:INDIRECT($B$161),E167,$D$1:INDIRECT($A$161))</f>
        <v>10</v>
      </c>
      <c r="E167" s="54" cm="1">
        <f t="array" aca="1" ref="E167:E190" ca="1">IFERROR(_xlfn._xlws.SORT(_xlfn.UNIQUE(_xlfn._xlws.FILTER(E1:INDIRECT($B$161),(E1:INDIRECT($B$161)&lt;&gt;0)*(E1:INDIRECT($B$161)&lt;&gt;" ")*(ISERROR(SEARCH("Model",E1:INDIRECT($B$161))))))),"               [No Date in Source Table]")</f>
        <v>9048</v>
      </c>
      <c r="F167" s="54" t="str">
        <f ca="1">IFERROR(IF(INDEX($F$1:INDIRECT($E$161),MATCH(E167,$E$1:INDIRECT($B$161),0))=0," ",INDEX($F$1:INDIRECT($E$161),MATCH(E167,$E$1:INDIRECT($B$161),0))),"   [ Adjacent Item Model/PN cell is Empty ]")</f>
        <v>IR9000/750mmx1200mm/48U</v>
      </c>
      <c r="G167" s="54"/>
      <c r="H167" s="42"/>
      <c r="I167" s="42"/>
      <c r="J167" s="42"/>
      <c r="K167" s="42"/>
      <c r="L167" s="42"/>
      <c r="M167" s="42"/>
    </row>
    <row r="168" spans="1:13" x14ac:dyDescent="0.3">
      <c r="A168" s="52"/>
      <c r="B168" s="58"/>
      <c r="C168" s="58"/>
      <c r="D168" s="62">
        <f ca="1">SUMIF($E$1:INDIRECT($B$161),E168,$D$1:INDIRECT($A$161))</f>
        <v>8.16</v>
      </c>
      <c r="E168" s="54" t="str">
        <f ca="1"/>
        <v xml:space="preserve"> IREN WILL PROVIDE</v>
      </c>
      <c r="F168" s="54" t="str">
        <f ca="1">IFERROR(IF(INDEX($F$1:INDIRECT($E$161),MATCH(E168,$E$1:INDIRECT($B$161),0))=0," ",INDEX($F$1:INDIRECT($E$161),MATCH(E168,$E$1:INDIRECT($B$161),0))),"   [ Adjacent Item Model/PN cell is Empty ]")</f>
        <v xml:space="preserve">400G-QSFP-DR4 </v>
      </c>
      <c r="G168" s="58"/>
      <c r="H168" s="42"/>
      <c r="I168" s="42"/>
      <c r="J168" s="42"/>
      <c r="K168" s="42"/>
      <c r="L168" s="42"/>
      <c r="M168" s="42"/>
    </row>
    <row r="169" spans="1:13" x14ac:dyDescent="0.3">
      <c r="A169" s="52"/>
      <c r="B169" s="58"/>
      <c r="C169" s="58"/>
      <c r="D169" s="62">
        <f ca="1">SUMIF($E$1:INDIRECT($B$161),E169,$D$1:INDIRECT($A$161))</f>
        <v>0</v>
      </c>
      <c r="E169" s="54" t="str">
        <f ca="1"/>
        <v>[GPU RACK]  980-9I042- 00C000</v>
      </c>
      <c r="F169" s="54" t="str">
        <f ca="1">IFERROR(IF(INDEX($F$1:INDIRECT($E$161),MATCH(E169,$E$1:INDIRECT($B$161),0))=0," ",INDEX($F$1:INDIRECT($E$161),MATCH(E169,$E$1:INDIRECT($B$161),0))),"   [ Adjacent Item Model/PN cell is Empty ]")</f>
        <v>Mellanox transceiver, 100GbE, QSFP28, LC-LC, 1310nm, DR1</v>
      </c>
      <c r="G169" s="58"/>
      <c r="H169" s="42"/>
      <c r="I169" s="42"/>
      <c r="J169" s="42"/>
      <c r="K169" s="42"/>
      <c r="L169" s="42"/>
      <c r="M169" s="42"/>
    </row>
    <row r="170" spans="1:13" x14ac:dyDescent="0.3">
      <c r="A170" s="52"/>
      <c r="B170" s="58"/>
      <c r="C170" s="58"/>
      <c r="D170" s="62">
        <f ca="1">SUMIF($E$1:INDIRECT($B$161),E170,$D$1:INDIRECT($A$161))</f>
        <v>0</v>
      </c>
      <c r="E170" s="54" t="str">
        <f ca="1"/>
        <v>[GPU RACK] 920-9N110-01R1-NC0 (DPN: J2MV9)</v>
      </c>
      <c r="F170" s="54" t="str">
        <f ca="1">IFERROR(IF(INDEX($F$1:INDIRECT($E$161),MATCH(E170,$E$1:INDIRECT($B$161),0))=0," ",INDEX($F$1:INDIRECT($E$161),MATCH(E170,$E$1:INDIRECT($B$161),0))),"   [ Adjacent Item Model/PN cell is Empty ]")</f>
        <v>SN2201 48x1G + 4x100G, DC Busbar Air Cooled [TOR SWITCHES ARE COUNTED IN GPU BOM]</v>
      </c>
      <c r="G170" s="58"/>
      <c r="H170" s="42"/>
      <c r="I170" s="42"/>
      <c r="J170" s="42"/>
      <c r="K170" s="42"/>
      <c r="L170" s="42"/>
      <c r="M170" s="42"/>
    </row>
    <row r="171" spans="1:13" x14ac:dyDescent="0.3">
      <c r="A171" s="52"/>
      <c r="B171" s="58"/>
      <c r="C171" s="58"/>
      <c r="D171" s="62">
        <f ca="1">SUMIF($E$1:INDIRECT($B$161),E171,$D$1:INDIRECT($A$161))</f>
        <v>0</v>
      </c>
      <c r="E171" s="54" t="str">
        <f ca="1"/>
        <v>[GPU RACK] A7204378 </v>
      </c>
      <c r="F171" s="54" t="str">
        <f ca="1">IFERROR(IF(INDEX($F$1:INDIRECT($E$161),MATCH(E171,$E$1:INDIRECT($B$161),0))=0," ",INDEX($F$1:INDIRECT($E$161),MATCH(E171,$E$1:INDIRECT($B$161),0))),"   [ Adjacent Item Model/PN cell is Empty ]")</f>
        <v>Switch Xcvr to LC Patch Panel LC-LC short leg patch cable, Other end is MPO to 4xLC to OOB Spine</v>
      </c>
      <c r="G171" s="58"/>
      <c r="H171" s="42"/>
      <c r="I171" s="42"/>
      <c r="J171" s="42"/>
      <c r="K171" s="42"/>
      <c r="L171" s="42"/>
      <c r="M171" s="42"/>
    </row>
    <row r="172" spans="1:13" x14ac:dyDescent="0.3">
      <c r="A172" s="52"/>
      <c r="B172" s="58"/>
      <c r="C172" s="58"/>
      <c r="D172" s="62">
        <f ca="1">SUMIF($E$1:INDIRECT($B$161),E172,$D$1:INDIRECT($A$161))</f>
        <v>0</v>
      </c>
      <c r="E172" s="54" t="str">
        <f ca="1"/>
        <v>[GPU RACK] Cat 6</v>
      </c>
      <c r="F172" s="54" t="str">
        <f ca="1">IFERROR(IF(INDEX($F$1:INDIRECT($E$161),MATCH(E172,$E$1:INDIRECT($B$161),0))=0," ",INDEX($F$1:INDIRECT($E$161),MATCH(E172,$E$1:INDIRECT($B$161),0))),"   [ Adjacent Item Model/PN cell is Empty ]")</f>
        <v xml:space="preserve">Cat 6 </v>
      </c>
      <c r="G172" s="58"/>
      <c r="H172" s="42"/>
      <c r="I172" s="42"/>
      <c r="J172" s="42"/>
      <c r="K172" s="42"/>
      <c r="L172" s="42"/>
      <c r="M172" s="42"/>
    </row>
    <row r="173" spans="1:13" x14ac:dyDescent="0.3">
      <c r="A173" s="52"/>
      <c r="B173" s="58"/>
      <c r="C173" s="58"/>
      <c r="D173" s="62">
        <f ca="1">SUMIF($E$1:INDIRECT($B$161),E173,$D$1:INDIRECT($A$161))</f>
        <v>0</v>
      </c>
      <c r="E173" s="54" t="str">
        <f ca="1"/>
        <v>[GPU RACK] VR72</v>
      </c>
      <c r="F173" s="54" t="str">
        <f ca="1">IFERROR(IF(INDEX($F$1:INDIRECT($E$161),MATCH(E173,$E$1:INDIRECT($B$161),0))=0," ",INDEX($F$1:INDIRECT($E$161),MATCH(E173,$E$1:INDIRECT($B$161),0))),"   [ Adjacent Item Model/PN cell is Empty ]")</f>
        <v xml:space="preserve"> VR72 GPU Racks</v>
      </c>
      <c r="G173" s="58"/>
      <c r="H173" s="42"/>
      <c r="I173" s="42"/>
      <c r="J173" s="42"/>
      <c r="K173" s="42"/>
      <c r="L173" s="42"/>
      <c r="M173" s="42"/>
    </row>
    <row r="174" spans="1:13" x14ac:dyDescent="0.3">
      <c r="A174" s="52"/>
      <c r="B174" s="58"/>
      <c r="C174" s="58"/>
      <c r="D174" s="62">
        <f ca="1">SUMIF($E$1:INDIRECT($B$161),E174,$D$1:INDIRECT($A$161))</f>
        <v>16</v>
      </c>
      <c r="E174" s="54" t="str">
        <f ca="1"/>
        <v>470-ABGH</v>
      </c>
      <c r="F174" s="54" t="str">
        <f ca="1">IFERROR(IF(INDEX($F$1:INDIRECT($E$161),MATCH(E174,$E$1:INDIRECT($B$161),0))=0," ",INDEX($F$1:INDIRECT($E$161),MATCH(E174,$E$1:INDIRECT($B$161),0))),"   [ Adjacent Item Model/PN cell is Empty ]")</f>
        <v>Switch Xcvr to LC Patch Panel MPO-4xLC short leg patch cable, Other end is LC to OOB Leafs</v>
      </c>
      <c r="G174" s="58"/>
      <c r="H174" s="42"/>
      <c r="I174" s="42"/>
      <c r="J174" s="42"/>
      <c r="K174" s="42"/>
      <c r="L174" s="42"/>
      <c r="M174" s="42"/>
    </row>
    <row r="175" spans="1:13" x14ac:dyDescent="0.3">
      <c r="A175" s="52"/>
      <c r="B175" s="58"/>
      <c r="C175" s="58"/>
      <c r="D175" s="62">
        <f ca="1">SUMIF($E$1:INDIRECT($B$161),E175,$D$1:INDIRECT($A$161))</f>
        <v>0</v>
      </c>
      <c r="E175" s="54" t="str">
        <f ca="1"/>
        <v>4x4 shuffle unit = 360 x 18 [4x4] + 200 x 9[4x4]</v>
      </c>
      <c r="F175" s="54" t="str">
        <f ca="1">IFERROR(IF(INDEX($F$1:INDIRECT($E$161),MATCH(E175,$E$1:INDIRECT($B$161),0))=0," ",INDEX($F$1:INDIRECT($E$161),MATCH(E175,$E$1:INDIRECT($B$161),0))),"   [ Adjacent Item Model/PN cell is Empty ]")</f>
        <v xml:space="preserve"> </v>
      </c>
      <c r="G175" s="58"/>
      <c r="H175" s="42"/>
      <c r="I175" s="42"/>
      <c r="J175" s="42"/>
      <c r="K175" s="42"/>
      <c r="L175" s="42"/>
      <c r="M175" s="42"/>
    </row>
    <row r="176" spans="1:13" x14ac:dyDescent="0.3">
      <c r="A176" s="52"/>
      <c r="B176" s="58"/>
      <c r="C176" s="58"/>
      <c r="D176" s="54">
        <f ca="1">SUMIF($E$1:INDIRECT($B$161),E176,$D$1:INDIRECT($A$161))</f>
        <v>0</v>
      </c>
      <c r="E176" s="54" t="str">
        <f ca="1"/>
        <v>4x4 shuffle unit = 432 x 18 [4x4] + 144 x 9[4x4]</v>
      </c>
      <c r="F176" s="54" t="str">
        <f ca="1">IFERROR(IF(INDEX($F$1:INDIRECT($E$161),MATCH(E176,$E$1:INDIRECT($B$161),0))=0," ",INDEX($F$1:INDIRECT($E$161),MATCH(E176,$E$1:INDIRECT($B$161),0))),"   [ Adjacent Item Model/PN cell is Empty ]")</f>
        <v xml:space="preserve"> </v>
      </c>
      <c r="G176" s="58"/>
      <c r="H176" s="42"/>
      <c r="I176" s="42"/>
      <c r="J176" s="42"/>
      <c r="K176" s="42"/>
      <c r="L176" s="42"/>
      <c r="M176" s="42"/>
    </row>
    <row r="177" spans="1:13" x14ac:dyDescent="0.3">
      <c r="A177" s="52"/>
      <c r="B177" s="58"/>
      <c r="C177" s="58"/>
      <c r="D177" s="54">
        <f ca="1">SUMIF($E$1:INDIRECT($B$161),E177,$D$1:INDIRECT($A$161))</f>
        <v>12</v>
      </c>
      <c r="E177" s="54" t="str">
        <f ca="1"/>
        <v>920-9N110-01R1-NC0 (DPN: J2MV9)</v>
      </c>
      <c r="F177" s="54" t="str">
        <f ca="1">IFERROR(IF(INDEX($F$1:INDIRECT($E$161),MATCH(E177,$E$1:INDIRECT($B$161),0))=0," ",INDEX($F$1:INDIRECT($E$161),MATCH(E177,$E$1:INDIRECT($B$161),0))),"   [ Adjacent Item Model/PN cell is Empty ]")</f>
        <v>SN2201 48x1G + 4x100G, DC Busbar Air Cooled</v>
      </c>
      <c r="G177" s="58"/>
      <c r="H177" s="42"/>
      <c r="I177" s="42"/>
      <c r="J177" s="42"/>
      <c r="K177" s="42"/>
      <c r="L177" s="42"/>
      <c r="M177" s="42"/>
    </row>
    <row r="178" spans="1:13" x14ac:dyDescent="0.3">
      <c r="A178" s="52"/>
      <c r="B178" s="58"/>
      <c r="C178" s="58"/>
      <c r="D178" s="54">
        <f ca="1">SUMIF($E$1:INDIRECT($B$161),E178,$D$1:INDIRECT($A$161))</f>
        <v>70</v>
      </c>
      <c r="E178" s="54" t="str">
        <f ca="1"/>
        <v>920-9N42F-00RI-KC0</v>
      </c>
      <c r="F178" s="54" t="str">
        <f ca="1">IFERROR(IF(INDEX($F$1:INDIRECT($E$161),MATCH(E178,$E$1:INDIRECT($B$161),0))=0," ",INDEX($F$1:INDIRECT($E$161),MATCH(E178,$E$1:INDIRECT($B$161),0))),"   [ Adjacent Item Model/PN cell is Empty ]")</f>
        <v>NVDA SN5600D,OSFP,DCBB,64P,C2P(I/P),CMLS</v>
      </c>
      <c r="G178" s="58"/>
      <c r="H178" s="42"/>
      <c r="I178" s="42"/>
      <c r="J178" s="42"/>
      <c r="K178" s="42"/>
      <c r="L178" s="42"/>
      <c r="M178" s="42"/>
    </row>
    <row r="179" spans="1:13" x14ac:dyDescent="0.3">
      <c r="A179" s="52"/>
      <c r="B179" s="58"/>
      <c r="C179" s="58"/>
      <c r="D179" s="54">
        <f ca="1">SUMIF($E$1:INDIRECT($B$161),E179,$D$1:INDIRECT($A$161))</f>
        <v>0</v>
      </c>
      <c r="E179" s="54" t="str">
        <f ca="1"/>
        <v>920-9N62F-00LI-GC0</v>
      </c>
      <c r="F179" s="54" t="str">
        <f ca="1">IFERROR(IF(INDEX($F$1:INDIRECT($E$161),MATCH(E179,$E$1:INDIRECT($B$161),0))=0," ",INDEX($F$1:INDIRECT($E$161),MATCH(E179,$E$1:INDIRECT($B$161),0))),"   [ Adjacent Item Model/PN cell is Empty ]")</f>
        <v>NVIDIA Spectrum-6 based 800GbE Ethernet switch with Cumulus Linux Authentication, 64 OSFP, 1 QSFP112, 48VDC Busbar, 8-Cores CPU, Secure-boot, Liquid-Cooling, Rail-Kit.D39</v>
      </c>
      <c r="G179" s="58"/>
      <c r="H179" s="42"/>
      <c r="I179" s="42"/>
      <c r="J179" s="42"/>
      <c r="K179" s="42"/>
      <c r="L179" s="42"/>
      <c r="M179" s="42"/>
    </row>
    <row r="180" spans="1:13" x14ac:dyDescent="0.3">
      <c r="A180" s="52"/>
      <c r="B180" s="58"/>
      <c r="C180" s="58"/>
      <c r="D180" s="54">
        <f ca="1">SUMIF($E$1:INDIRECT($B$161),E180,$D$1:INDIRECT($A$161))</f>
        <v>24</v>
      </c>
      <c r="E180" s="54" t="str">
        <f ca="1"/>
        <v>980-9I042- 00C000</v>
      </c>
      <c r="F180" s="54" t="str">
        <f ca="1">IFERROR(IF(INDEX($F$1:INDIRECT($E$161),MATCH(E180,$E$1:INDIRECT($B$161),0))=0," ",INDEX($F$1:INDIRECT($E$161),MATCH(E180,$E$1:INDIRECT($B$161),0))),"   [ Adjacent Item Model/PN cell is Empty ]")</f>
        <v>Mellanox transceiver, 100GbE, QSFP28, LC-LC, 1310nm, DR1</v>
      </c>
      <c r="G180" s="54"/>
      <c r="H180" s="42"/>
      <c r="I180" s="42"/>
      <c r="J180" s="42"/>
      <c r="K180" s="42"/>
      <c r="L180" s="42"/>
      <c r="M180" s="42"/>
    </row>
    <row r="181" spans="1:13" x14ac:dyDescent="0.3">
      <c r="A181" s="52"/>
      <c r="B181" s="58"/>
      <c r="C181" s="58"/>
      <c r="D181" s="54">
        <f ca="1">SUMIF($E$1:INDIRECT($B$161),E181,$D$1:INDIRECT($A$161))</f>
        <v>0</v>
      </c>
      <c r="E181" s="54" t="str">
        <f ca="1"/>
        <v>980-9IAJ0-00XM00</v>
      </c>
      <c r="F181" s="54" t="str">
        <f ca="1">IFERROR(IF(INDEX($F$1:INDIRECT($E$161),MATCH(E181,$E$1:INDIRECT($B$161),0))=0," ",INDEX($F$1:INDIRECT($E$161),MATCH(E181,$E$1:INDIRECT($B$161),0))),"   [ Adjacent Item Model/PN cell is Empty ]")</f>
        <v>NVIDIA twin port transceiver, 2xDR4, 1600Gbps, OSFP, 2xMPO(APC), 1310nm SMF, up to 500m, RHS, TRO, Ethernet Only</v>
      </c>
      <c r="G181" s="54"/>
      <c r="H181" s="42"/>
      <c r="I181" s="42"/>
      <c r="J181" s="42"/>
      <c r="K181" s="42"/>
      <c r="L181" s="42"/>
      <c r="M181" s="42"/>
    </row>
    <row r="182" spans="1:13" x14ac:dyDescent="0.3">
      <c r="A182" s="52"/>
      <c r="B182" s="58"/>
      <c r="C182" s="58"/>
      <c r="D182" s="54">
        <f ca="1">SUMIF($E$1:INDIRECT($B$161),E182,$D$1:INDIRECT($A$161))</f>
        <v>16</v>
      </c>
      <c r="E182" s="54" t="str">
        <f ca="1"/>
        <v>A7204378 </v>
      </c>
      <c r="F182" s="54" t="str">
        <f ca="1">IFERROR(IF(INDEX($F$1:INDIRECT($E$161),MATCH(E182,$E$1:INDIRECT($B$161),0))=0," ",INDEX($F$1:INDIRECT($E$161),MATCH(E182,$E$1:INDIRECT($B$161),0))),"   [ Adjacent Item Model/PN cell is Empty ]")</f>
        <v>Switch Xcvr to LC Patch Panel LC-LC short leg patch cable, Other end is MPO to 4xLC to OOB Spine</v>
      </c>
      <c r="G182" s="54"/>
      <c r="H182" s="42"/>
      <c r="I182" s="42"/>
      <c r="J182" s="42"/>
      <c r="K182" s="42"/>
      <c r="L182" s="42"/>
      <c r="M182" s="42"/>
    </row>
    <row r="183" spans="1:13" x14ac:dyDescent="0.3">
      <c r="A183" s="52"/>
      <c r="B183" s="58"/>
      <c r="C183" s="54"/>
      <c r="D183" s="54">
        <f ca="1">SUMIF($E$1:INDIRECT($B$161),E183,$D$1:INDIRECT($A$161))</f>
        <v>528</v>
      </c>
      <c r="E183" s="54" t="str">
        <f ca="1"/>
        <v>Cat 6</v>
      </c>
      <c r="F183" s="54" t="str">
        <f ca="1">IFERROR(IF(INDEX($F$1:INDIRECT($E$161),MATCH(E183,$E$1:INDIRECT($B$161),0))=0," ",INDEX($F$1:INDIRECT($E$161),MATCH(E183,$E$1:INDIRECT($B$161),0))),"   [ Adjacent Item Model/PN cell is Empty ]")</f>
        <v xml:space="preserve">Cat 6 </v>
      </c>
      <c r="G183" s="54"/>
      <c r="H183" s="42"/>
      <c r="I183" s="42"/>
      <c r="J183" s="42"/>
      <c r="K183" s="42"/>
      <c r="L183" s="42"/>
      <c r="M183" s="42"/>
    </row>
    <row r="184" spans="1:13" x14ac:dyDescent="0.3">
      <c r="A184" s="52"/>
      <c r="B184" s="58"/>
      <c r="C184" s="54"/>
      <c r="D184" s="54">
        <f ca="1">SUMIF($E$1:INDIRECT($B$161),E184,$D$1:INDIRECT($A$161))</f>
        <v>8</v>
      </c>
      <c r="E184" s="54" t="str">
        <f ca="1"/>
        <v>Corning has to provide the part number</v>
      </c>
      <c r="F184" s="54" t="str">
        <f ca="1">IFERROR(IF(INDEX($F$1:INDIRECT($E$161),MATCH(E184,$E$1:INDIRECT($B$161),0))=0," ",INDEX($F$1:INDIRECT($E$161),MATCH(E184,$E$1:INDIRECT($B$161),0))),"   [ Adjacent Item Model/PN cell is Empty ]")</f>
        <v>One Patch Panel to rack where SN4700 is installed since 4x100G cable length max size is 5m</v>
      </c>
      <c r="G184" s="54"/>
      <c r="H184" s="42"/>
      <c r="I184" s="42"/>
      <c r="J184" s="42"/>
      <c r="K184" s="42"/>
      <c r="L184" s="42"/>
      <c r="M184" s="42"/>
    </row>
    <row r="185" spans="1:13" x14ac:dyDescent="0.3">
      <c r="A185" s="52"/>
      <c r="B185" s="58"/>
      <c r="C185" s="54"/>
      <c r="D185" s="54">
        <f ca="1">SUMIF($E$1:INDIRECT($B$161),E185,$D$1:INDIRECT($A$161))</f>
        <v>1</v>
      </c>
      <c r="E185" s="54" t="str">
        <f ca="1"/>
        <v>IR7044</v>
      </c>
      <c r="F185" s="54" t="str">
        <f ca="1">IFERROR(IF(INDEX($F$1:INDIRECT($E$161),MATCH(E185,$E$1:INDIRECT($B$161),0))=0," ",INDEX($F$1:INDIRECT($E$161),MATCH(E185,$E$1:INDIRECT($B$161),0))),"   [ Adjacent Item Model/PN cell is Empty ]")</f>
        <v>IR7000/750mmx1200mm/48U</v>
      </c>
      <c r="G185" s="54"/>
      <c r="H185" s="42"/>
      <c r="I185" s="42"/>
      <c r="J185" s="42"/>
      <c r="K185" s="42"/>
      <c r="L185" s="42"/>
      <c r="M185" s="42"/>
    </row>
    <row r="186" spans="1:13" x14ac:dyDescent="0.3">
      <c r="A186" s="52"/>
      <c r="B186" s="58"/>
      <c r="C186" s="54"/>
      <c r="D186" s="54">
        <f ca="1">SUMIF($E$1:INDIRECT($B$161),E186,$D$1:INDIRECT($A$161))</f>
        <v>8</v>
      </c>
      <c r="E186" s="54" t="str">
        <f ca="1"/>
        <v>IREN WILL PROVIDE</v>
      </c>
      <c r="F186" s="54" t="str">
        <f ca="1">IFERROR(IF(INDEX($F$1:INDIRECT($E$161),MATCH(E186,$E$1:INDIRECT($B$161),0))=0," ",INDEX($F$1:INDIRECT($E$161),MATCH(E186,$E$1:INDIRECT($B$161),0))),"   [ Adjacent Item Model/PN cell is Empty ]")</f>
        <v xml:space="preserve"> </v>
      </c>
      <c r="G186" s="54"/>
      <c r="H186" s="42"/>
      <c r="I186" s="42"/>
      <c r="J186" s="42"/>
      <c r="K186" s="42"/>
      <c r="L186" s="42"/>
      <c r="M186" s="42"/>
    </row>
    <row r="187" spans="1:13" x14ac:dyDescent="0.3">
      <c r="A187" s="52"/>
      <c r="B187" s="58"/>
      <c r="C187" s="54"/>
      <c r="D187" s="54">
        <f ca="1">SUMIF($E$1:INDIRECT($B$161),E187,$D$1:INDIRECT($A$161))</f>
        <v>2232.16</v>
      </c>
      <c r="E187" s="54" t="str">
        <f ca="1"/>
        <v>MFP7E30-N050</v>
      </c>
      <c r="F187" s="54" t="str">
        <f ca="1">IFERROR(IF(INDEX($F$1:INDIRECT($E$161),MATCH(E187,$E$1:INDIRECT($B$161),0))=0," ",INDEX($F$1:INDIRECT($E$161),MATCH(E187,$E$1:INDIRECT($B$161),0))),"   [ Adjacent Item Model/PN cell is Empty ]")</f>
        <v>MPO-12/APC to MPO-12/APC cable, 1310nm SMF OS2, 100m max, 50 M</v>
      </c>
      <c r="G187" s="54"/>
      <c r="H187" s="42"/>
      <c r="I187" s="42"/>
      <c r="J187" s="42"/>
      <c r="K187" s="42"/>
      <c r="L187" s="42"/>
      <c r="M187" s="42"/>
    </row>
    <row r="188" spans="1:13" x14ac:dyDescent="0.3">
      <c r="A188" s="52"/>
      <c r="B188" s="58"/>
      <c r="C188" s="54"/>
      <c r="D188" s="54">
        <f ca="1">SUMIF($E$1:INDIRECT($B$161),E188,$D$1:INDIRECT($A$161))</f>
        <v>0</v>
      </c>
      <c r="E188" s="54" t="str">
        <f ca="1"/>
        <v>MFP7E40-N050</v>
      </c>
      <c r="F188" s="54" t="str">
        <f ca="1">IFERROR(IF(INDEX($F$1:INDIRECT($E$161),MATCH(E188,$E$1:INDIRECT($B$161),0))=0," ",INDEX($F$1:INDIRECT($E$161),MATCH(E188,$E$1:INDIRECT($B$161),0))),"   [ Adjacent Item Model/PN cell is Empty ]")</f>
        <v>MPO12 APC to 2xMPO12 APC, 50 m long</v>
      </c>
      <c r="G188" s="58"/>
      <c r="H188" s="42"/>
      <c r="I188" s="42"/>
      <c r="J188" s="42"/>
      <c r="K188" s="42"/>
      <c r="L188" s="42"/>
      <c r="M188" s="42"/>
    </row>
    <row r="189" spans="1:13" x14ac:dyDescent="0.3">
      <c r="A189" s="52"/>
      <c r="B189" s="58"/>
      <c r="C189" s="54"/>
      <c r="D189" s="54">
        <f ca="1">SUMIF($E$1:INDIRECT($B$161),E189,$D$1:INDIRECT($A$161))</f>
        <v>1056</v>
      </c>
      <c r="E189" s="54" t="str">
        <f ca="1"/>
        <v>MMS1X00-NS400</v>
      </c>
      <c r="F189" s="54" t="str">
        <f ca="1">IFERROR(IF(INDEX($F$1:INDIRECT($E$161),MATCH(E189,$E$1:INDIRECT($B$161),0))=0," ",INDEX($F$1:INDIRECT($E$161),MATCH(E189,$E$1:INDIRECT($B$161),0))),"   [ Adjacent Item Model/PN cell is Empty ]")</f>
        <v>NVIDIA single port transceiver, 400Gbps, NDR, QSFP112, MPO, 1310nm SMF, up to 500m, flat top</v>
      </c>
      <c r="G189" s="58"/>
      <c r="H189" s="42"/>
      <c r="I189" s="42"/>
      <c r="J189" s="42"/>
      <c r="K189" s="42"/>
      <c r="L189" s="42"/>
      <c r="M189" s="42"/>
    </row>
    <row r="190" spans="1:13" x14ac:dyDescent="0.3">
      <c r="A190" s="52"/>
      <c r="B190" s="58"/>
      <c r="C190" s="54"/>
      <c r="D190" s="54">
        <f ca="1">SUMIF($E$1:INDIRECT($B$161),E190,$D$1:INDIRECT($A$161))</f>
        <v>2616.16</v>
      </c>
      <c r="E190" s="54" t="str">
        <f ca="1"/>
        <v>MMS4X00-NM-T</v>
      </c>
      <c r="F190" s="54" t="str">
        <f ca="1">IFERROR(IF(INDEX($F$1:INDIRECT($E$161),MATCH(E190,$E$1:INDIRECT($B$161),0))=0," ",INDEX($F$1:INDIRECT($E$161),MATCH(E190,$E$1:INDIRECT($B$161),0))),"   [ Adjacent Item Model/PN cell is Empty ]")</f>
        <v>NVIDIA TWIN PORT TRANSCEIVER, 800GBPS,2X400GbE, OSFP, 2XMPO, 1310NM SMF, UP TO 500M, FINNED</v>
      </c>
      <c r="G190" s="58"/>
      <c r="H190" s="42"/>
      <c r="I190" s="42"/>
      <c r="J190" s="42"/>
      <c r="K190" s="42"/>
      <c r="L190" s="42"/>
      <c r="M190" s="42"/>
    </row>
    <row r="191" spans="1:13" x14ac:dyDescent="0.3">
      <c r="A191" s="52"/>
      <c r="B191" s="58"/>
      <c r="C191" s="54"/>
      <c r="D191" s="54">
        <f ca="1">SUMIF($E$1:INDIRECT($B$161),E191,$D$1:INDIRECT($A$161))</f>
        <v>0</v>
      </c>
      <c r="E191" s="54"/>
      <c r="F191" s="54" t="str">
        <f ca="1">IFERROR(IF(INDEX($F$1:INDIRECT($E$161),MATCH(E191,$E$1:INDIRECT($B$161),0))=0," ",INDEX($F$1:INDIRECT($E$161),MATCH(E191,$E$1:INDIRECT($B$161),0))),"   [ Adjacent Item Model/PN cell is Empty ]")</f>
        <v xml:space="preserve">   [ Adjacent Item Model/PN cell is Empty ]</v>
      </c>
      <c r="G191" s="58"/>
      <c r="H191" s="42"/>
      <c r="I191" s="42"/>
      <c r="J191" s="42"/>
      <c r="K191" s="42"/>
      <c r="L191" s="42"/>
      <c r="M191" s="42"/>
    </row>
    <row r="192" spans="1:13" x14ac:dyDescent="0.3">
      <c r="A192" s="52"/>
      <c r="B192" s="58"/>
      <c r="C192" s="54"/>
      <c r="D192" s="54">
        <f ca="1">SUMIF($E$1:INDIRECT($B$161),E192,$D$1:INDIRECT($A$161))</f>
        <v>0</v>
      </c>
      <c r="E192" s="54"/>
      <c r="F192" s="54" t="str">
        <f ca="1">IFERROR(IF(INDEX($F$1:INDIRECT($E$161),MATCH(E192,$E$1:INDIRECT($B$161),0))=0," ",INDEX($F$1:INDIRECT($E$161),MATCH(E192,$E$1:INDIRECT($B$161),0))),"   [ Adjacent Item Model/PN cell is Empty ]")</f>
        <v xml:space="preserve">   [ Adjacent Item Model/PN cell is Empty ]</v>
      </c>
      <c r="G192" s="58"/>
      <c r="H192" s="42"/>
      <c r="I192" s="42"/>
      <c r="J192" s="42"/>
      <c r="K192" s="42"/>
      <c r="L192" s="42"/>
      <c r="M192" s="42"/>
    </row>
    <row r="193" spans="1:13" x14ac:dyDescent="0.3">
      <c r="A193" s="52"/>
      <c r="B193" s="58"/>
      <c r="C193" s="54"/>
      <c r="D193" s="54">
        <f ca="1">SUMIF($E$1:INDIRECT($B$161),E193,$D$1:INDIRECT($A$161))</f>
        <v>0</v>
      </c>
      <c r="E193" s="54"/>
      <c r="F193" s="54" t="str">
        <f ca="1">IFERROR(IF(INDEX($F$1:INDIRECT($E$161),MATCH(E193,$E$1:INDIRECT($B$161),0))=0," ",INDEX($F$1:INDIRECT($E$161),MATCH(E193,$E$1:INDIRECT($B$161),0))),"   [ Adjacent Item Model/PN cell is Empty ]")</f>
        <v xml:space="preserve">   [ Adjacent Item Model/PN cell is Empty ]</v>
      </c>
      <c r="G193" s="58"/>
      <c r="H193" s="42"/>
      <c r="I193" s="42"/>
      <c r="J193" s="42"/>
      <c r="K193" s="42"/>
      <c r="L193" s="42"/>
      <c r="M193" s="42"/>
    </row>
    <row r="194" spans="1:13" x14ac:dyDescent="0.3">
      <c r="A194" s="52"/>
      <c r="B194" s="58"/>
      <c r="C194" s="54"/>
      <c r="D194" s="54">
        <f ca="1">SUMIF($E$1:INDIRECT($B$161),E194,$D$1:INDIRECT($A$161))</f>
        <v>0</v>
      </c>
      <c r="E194" s="54"/>
      <c r="F194" s="54" t="str">
        <f ca="1">IFERROR(IF(INDEX($F$1:INDIRECT($E$161),MATCH(E194,$E$1:INDIRECT($B$161),0))=0," ",INDEX($F$1:INDIRECT($E$161),MATCH(E194,$E$1:INDIRECT($B$161),0))),"   [ Adjacent Item Model/PN cell is Empty ]")</f>
        <v xml:space="preserve">   [ Adjacent Item Model/PN cell is Empty ]</v>
      </c>
      <c r="G194" s="58"/>
      <c r="H194" s="42"/>
      <c r="I194" s="42"/>
      <c r="J194" s="42"/>
      <c r="K194" s="42"/>
      <c r="L194" s="42"/>
      <c r="M194" s="42"/>
    </row>
    <row r="195" spans="1:13" x14ac:dyDescent="0.3">
      <c r="A195" s="52"/>
      <c r="B195" s="58"/>
      <c r="C195" s="54"/>
      <c r="D195" s="54">
        <f ca="1">SUMIF($E$1:INDIRECT($B$161),E195,$D$1:INDIRECT($A$161))</f>
        <v>0</v>
      </c>
      <c r="E195" s="54"/>
      <c r="F195" s="54" t="str">
        <f ca="1">IFERROR(IF(INDEX($F$1:INDIRECT($E$161),MATCH(E195,$E$1:INDIRECT($B$161),0))=0," ",INDEX($F$1:INDIRECT($E$161),MATCH(E195,$E$1:INDIRECT($B$161),0))),"   [ Adjacent Item Model/PN cell is Empty ]")</f>
        <v xml:space="preserve">   [ Adjacent Item Model/PN cell is Empty ]</v>
      </c>
      <c r="G195" s="58"/>
      <c r="H195" s="42"/>
      <c r="I195" s="42"/>
      <c r="J195" s="42"/>
      <c r="K195" s="42"/>
      <c r="L195" s="42"/>
      <c r="M195" s="42"/>
    </row>
    <row r="196" spans="1:13" x14ac:dyDescent="0.3">
      <c r="A196" s="52"/>
      <c r="B196" s="58"/>
      <c r="C196" s="54"/>
      <c r="D196" s="54">
        <f ca="1">SUMIF($E$1:INDIRECT($B$161),E196,$D$1:INDIRECT($A$161))</f>
        <v>0</v>
      </c>
      <c r="E196" s="58"/>
      <c r="F196" s="54" t="str">
        <f ca="1">IFERROR(IF(INDEX($F$1:INDIRECT($E$161),MATCH(E196,$E$1:INDIRECT($B$161),0))=0," ",INDEX($F$1:INDIRECT($E$161),MATCH(E196,$E$1:INDIRECT($B$161),0))),"   [ Adjacent Item Model/PN cell is Empty ]")</f>
        <v xml:space="preserve">   [ Adjacent Item Model/PN cell is Empty ]</v>
      </c>
      <c r="G196" s="58"/>
      <c r="H196" s="42"/>
      <c r="I196" s="42"/>
      <c r="J196" s="42"/>
      <c r="K196" s="42"/>
      <c r="L196" s="42"/>
      <c r="M196" s="42"/>
    </row>
    <row r="197" spans="1:13" x14ac:dyDescent="0.3">
      <c r="A197" s="52"/>
      <c r="B197" s="52"/>
      <c r="C197" s="52"/>
      <c r="D197" s="52"/>
      <c r="E197" s="52"/>
      <c r="F197" s="52"/>
      <c r="G197" s="45"/>
      <c r="H197" s="42"/>
      <c r="I197" s="42"/>
      <c r="J197" s="42"/>
      <c r="K197" s="42"/>
      <c r="L197" s="42"/>
      <c r="M197" s="42"/>
    </row>
    <row r="198" spans="1:13" x14ac:dyDescent="0.3">
      <c r="A198" s="42"/>
      <c r="B198" s="42"/>
      <c r="C198" s="42"/>
      <c r="D198" s="42"/>
      <c r="E198" s="42"/>
      <c r="F198" s="42"/>
      <c r="H198" s="42"/>
      <c r="I198" s="42"/>
      <c r="J198" s="42"/>
      <c r="K198" s="42"/>
      <c r="L198" s="42"/>
      <c r="M198" s="42"/>
    </row>
    <row r="199" spans="1:13" x14ac:dyDescent="0.3">
      <c r="A199" s="42"/>
      <c r="B199" s="42"/>
      <c r="C199" s="42"/>
      <c r="D199" s="42"/>
      <c r="E199" s="42"/>
      <c r="F199" s="42"/>
      <c r="H199" s="42"/>
      <c r="I199" s="42"/>
      <c r="J199" s="42"/>
      <c r="K199" s="42"/>
      <c r="L199" s="42"/>
      <c r="M199" s="42"/>
    </row>
    <row r="200" spans="1:13" x14ac:dyDescent="0.3">
      <c r="A200" s="42"/>
      <c r="C200" s="42"/>
      <c r="D200" s="42"/>
      <c r="E200" s="42"/>
      <c r="F200" s="42"/>
      <c r="G200" s="42"/>
      <c r="H200" s="42"/>
      <c r="I200" s="42"/>
      <c r="J200" s="42"/>
      <c r="K200" s="42"/>
      <c r="L200" s="42"/>
      <c r="M200" s="42"/>
    </row>
    <row r="204" spans="1:13" x14ac:dyDescent="0.3">
      <c r="D204" s="42"/>
      <c r="E204" s="42"/>
      <c r="G204" s="42"/>
    </row>
    <row r="207" spans="1:13" x14ac:dyDescent="0.3">
      <c r="G207" s="42"/>
    </row>
    <row r="208" spans="1:13" x14ac:dyDescent="0.3">
      <c r="G208" s="42"/>
    </row>
    <row r="210" spans="7:7" x14ac:dyDescent="0.3">
      <c r="G210" s="42"/>
    </row>
    <row r="211" spans="7:7" x14ac:dyDescent="0.3">
      <c r="G211" s="43"/>
    </row>
    <row r="212" spans="7:7" x14ac:dyDescent="0.3">
      <c r="G212" s="42"/>
    </row>
    <row r="213" spans="7:7" x14ac:dyDescent="0.3">
      <c r="G213" s="42"/>
    </row>
    <row r="214" spans="7:7" x14ac:dyDescent="0.3">
      <c r="G214" s="42"/>
    </row>
    <row r="215" spans="7:7" x14ac:dyDescent="0.3">
      <c r="G215" s="42"/>
    </row>
    <row r="216" spans="7:7" x14ac:dyDescent="0.3">
      <c r="G216" s="42"/>
    </row>
  </sheetData>
  <mergeCells count="22">
    <mergeCell ref="A43:G43"/>
    <mergeCell ref="A1:G1"/>
    <mergeCell ref="A8:G8"/>
    <mergeCell ref="A27:G27"/>
    <mergeCell ref="A163:G163"/>
    <mergeCell ref="A53:G53"/>
    <mergeCell ref="A60:G60"/>
    <mergeCell ref="A66:G66"/>
    <mergeCell ref="A73:G73"/>
    <mergeCell ref="A19:G19"/>
    <mergeCell ref="B160:D160"/>
    <mergeCell ref="B161:D161"/>
    <mergeCell ref="A137:G137"/>
    <mergeCell ref="A79:G79"/>
    <mergeCell ref="A85:G85"/>
    <mergeCell ref="A96:G96"/>
    <mergeCell ref="A112:G112"/>
    <mergeCell ref="A123:G123"/>
    <mergeCell ref="A90:G90"/>
    <mergeCell ref="B165:G165"/>
    <mergeCell ref="A143:G143"/>
    <mergeCell ref="A152:G152"/>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D95B-F6F3-4D5C-A4C6-E74839C30E67}">
  <dimension ref="D1:BT59"/>
  <sheetViews>
    <sheetView topLeftCell="A3" zoomScale="81" zoomScaleNormal="81" workbookViewId="0">
      <selection activeCell="F8" sqref="F8:BR8"/>
    </sheetView>
  </sheetViews>
  <sheetFormatPr defaultRowHeight="15" customHeight="1" x14ac:dyDescent="0.3"/>
  <cols>
    <col min="4" max="4" width="9.5546875" customWidth="1"/>
    <col min="5" max="5" width="4.21875" style="40" customWidth="1"/>
    <col min="6" max="6" width="34.109375" style="27" customWidth="1"/>
    <col min="7" max="7" width="4.21875" style="40" customWidth="1"/>
    <col min="8" max="8" width="34.109375" style="27" customWidth="1"/>
    <col min="9" max="9" width="4.21875" style="40" customWidth="1"/>
    <col min="10" max="10" width="34.109375" style="27" customWidth="1"/>
    <col min="11" max="11" width="4.21875" style="40" customWidth="1"/>
    <col min="12" max="12" width="34.109375" style="27" customWidth="1"/>
    <col min="17" max="17" width="4.21875" style="40" customWidth="1"/>
    <col min="18" max="18" width="34.109375" style="27" customWidth="1"/>
    <col min="20" max="20" width="4.21875" style="40" customWidth="1"/>
    <col min="21" max="21" width="34.109375" style="27" customWidth="1"/>
    <col min="24" max="25" width="4.21875" style="27" customWidth="1"/>
    <col min="26" max="26" width="34.109375" style="27" customWidth="1"/>
    <col min="27" max="30" width="4.21875" style="27" customWidth="1"/>
    <col min="31" max="31" width="32" style="27" customWidth="1"/>
    <col min="32" max="39" width="4.21875" style="27" customWidth="1"/>
    <col min="40" max="40" width="34.109375" style="27" customWidth="1"/>
    <col min="41" max="41" width="4.21875" style="27" customWidth="1"/>
    <col min="43" max="44" width="4.21875" style="27" customWidth="1"/>
    <col min="45" max="45" width="34.109375" style="27" customWidth="1"/>
    <col min="46" max="48" width="4.21875" style="27" customWidth="1"/>
    <col min="49" max="49" width="34.109375" style="27" customWidth="1"/>
    <col min="50" max="52" width="4.21875" style="27" customWidth="1"/>
    <col min="53" max="53" width="34.109375" style="27" customWidth="1"/>
    <col min="54" max="56" width="4.21875" style="27" customWidth="1"/>
    <col min="57" max="57" width="34.109375" style="27" customWidth="1"/>
    <col min="58" max="58" width="4.21875" style="27" customWidth="1"/>
    <col min="62" max="63" width="4.21875" style="27" customWidth="1"/>
    <col min="64" max="64" width="34.109375" style="27" customWidth="1"/>
    <col min="65" max="65" width="4.21875" style="27" customWidth="1"/>
    <col min="68" max="69" width="4.21875" style="27" customWidth="1"/>
    <col min="70" max="70" width="34.109375" style="27" customWidth="1"/>
    <col min="71" max="71" width="4.21875" style="27" customWidth="1"/>
  </cols>
  <sheetData>
    <row r="1" spans="4:72" ht="14.4" x14ac:dyDescent="0.3">
      <c r="L1"/>
    </row>
    <row r="2" spans="4:72" ht="14.4" x14ac:dyDescent="0.3">
      <c r="L2"/>
      <c r="R2"/>
      <c r="U2"/>
    </row>
    <row r="3" spans="4:72" ht="14.4" x14ac:dyDescent="0.3">
      <c r="R3"/>
      <c r="U3"/>
    </row>
    <row r="6" spans="4:72" ht="18" x14ac:dyDescent="0.35">
      <c r="D6" s="175" t="s">
        <v>232</v>
      </c>
      <c r="F6" s="176" t="s">
        <v>62</v>
      </c>
      <c r="X6" s="147"/>
      <c r="Y6" s="147"/>
      <c r="Z6" s="148" t="s">
        <v>62</v>
      </c>
      <c r="AA6" s="147"/>
      <c r="AB6" s="147"/>
      <c r="AC6" s="147"/>
      <c r="AD6" s="147"/>
      <c r="AE6" s="148" t="s">
        <v>62</v>
      </c>
      <c r="AF6" s="147"/>
      <c r="AG6" s="147"/>
      <c r="AH6" s="147"/>
      <c r="AI6" s="147"/>
      <c r="AJ6" s="147"/>
      <c r="AK6" s="147"/>
      <c r="AL6" s="147"/>
      <c r="AM6" s="147"/>
      <c r="AN6" s="148" t="s">
        <v>62</v>
      </c>
      <c r="AO6" s="147"/>
      <c r="AP6" s="146"/>
      <c r="AQ6" s="147"/>
      <c r="AR6" s="147"/>
      <c r="AS6" s="148" t="s">
        <v>62</v>
      </c>
      <c r="AT6" s="147"/>
      <c r="AU6" s="147"/>
      <c r="AV6" s="147"/>
      <c r="AW6" s="148" t="s">
        <v>62</v>
      </c>
      <c r="AX6" s="147"/>
      <c r="AY6" s="147"/>
      <c r="AZ6" s="147"/>
      <c r="BA6" s="148" t="s">
        <v>62</v>
      </c>
      <c r="BB6" s="147"/>
      <c r="BC6" s="147"/>
      <c r="BD6" s="147"/>
      <c r="BE6" s="148" t="s">
        <v>62</v>
      </c>
      <c r="BF6" s="147"/>
      <c r="BG6" s="146"/>
      <c r="BH6" s="146"/>
      <c r="BI6" s="146"/>
      <c r="BJ6" s="147"/>
      <c r="BK6" s="147"/>
      <c r="BL6" s="148" t="s">
        <v>62</v>
      </c>
      <c r="BM6" s="147"/>
      <c r="BN6" s="146"/>
      <c r="BO6" s="146"/>
      <c r="BP6" s="147"/>
      <c r="BQ6" s="147"/>
      <c r="BR6" s="148" t="s">
        <v>62</v>
      </c>
      <c r="BS6" s="147"/>
      <c r="BT6" s="146"/>
    </row>
    <row r="7" spans="4:72" ht="18" x14ac:dyDescent="0.35">
      <c r="D7" s="175" t="s">
        <v>62</v>
      </c>
      <c r="L7"/>
      <c r="R7" s="95" t="s">
        <v>233</v>
      </c>
      <c r="U7" s="95" t="s">
        <v>234</v>
      </c>
    </row>
    <row r="8" spans="4:72" ht="18" x14ac:dyDescent="0.35">
      <c r="D8" s="195">
        <f>SUM(F8:BR8)</f>
        <v>159</v>
      </c>
      <c r="E8" s="94"/>
      <c r="F8" s="95">
        <v>18</v>
      </c>
      <c r="G8" s="94"/>
      <c r="H8" s="95">
        <v>18</v>
      </c>
      <c r="I8" s="94"/>
      <c r="J8" s="95">
        <v>18</v>
      </c>
      <c r="K8" s="94"/>
      <c r="L8" s="95">
        <v>18</v>
      </c>
      <c r="Q8" s="94"/>
      <c r="R8" s="95">
        <v>32</v>
      </c>
      <c r="T8" s="94"/>
      <c r="U8" s="95">
        <v>8</v>
      </c>
      <c r="X8" s="94"/>
      <c r="Y8" s="94"/>
      <c r="Z8" s="141">
        <v>16</v>
      </c>
      <c r="AA8" s="94"/>
      <c r="AB8" s="94"/>
      <c r="AC8" s="94"/>
      <c r="AD8" s="94"/>
      <c r="AE8" s="141">
        <v>2</v>
      </c>
      <c r="AF8" s="94"/>
      <c r="AG8" s="94"/>
      <c r="AH8" s="94"/>
      <c r="AI8" s="94"/>
      <c r="AJ8" s="94"/>
      <c r="AK8" s="94"/>
      <c r="AL8" s="94"/>
      <c r="AM8" s="94"/>
      <c r="AN8" s="141">
        <v>18</v>
      </c>
      <c r="AO8" s="94"/>
      <c r="AQ8" s="94"/>
      <c r="AR8" s="94"/>
      <c r="AS8" s="140">
        <v>2</v>
      </c>
      <c r="AT8" s="94"/>
      <c r="AU8" s="94"/>
      <c r="AV8" s="94"/>
      <c r="AW8" s="140">
        <v>2</v>
      </c>
      <c r="AX8" s="94"/>
      <c r="AY8" s="94"/>
      <c r="AZ8" s="94"/>
      <c r="BA8" s="140">
        <v>2</v>
      </c>
      <c r="BB8" s="94"/>
      <c r="BC8" s="94"/>
      <c r="BD8" s="94"/>
      <c r="BE8" s="140">
        <v>2</v>
      </c>
      <c r="BF8" s="94"/>
      <c r="BJ8" s="94"/>
      <c r="BK8" s="94"/>
      <c r="BL8" s="140">
        <v>2</v>
      </c>
      <c r="BM8" s="94"/>
      <c r="BP8" s="94"/>
      <c r="BQ8" s="94"/>
      <c r="BR8" s="140">
        <v>1</v>
      </c>
      <c r="BS8" s="94"/>
    </row>
    <row r="9" spans="4:72" ht="14.4" x14ac:dyDescent="0.3">
      <c r="F9" s="96" t="s">
        <v>235</v>
      </c>
      <c r="H9" s="96" t="s">
        <v>235</v>
      </c>
      <c r="J9" s="96" t="s">
        <v>235</v>
      </c>
      <c r="L9" s="96" t="s">
        <v>235</v>
      </c>
      <c r="P9" s="185"/>
      <c r="R9" s="96" t="s">
        <v>235</v>
      </c>
      <c r="U9" s="96" t="s">
        <v>235</v>
      </c>
      <c r="Y9" s="97"/>
      <c r="Z9" s="98" t="s">
        <v>235</v>
      </c>
      <c r="AD9" s="97"/>
      <c r="AE9" s="98" t="s">
        <v>235</v>
      </c>
      <c r="AM9" s="97"/>
      <c r="AN9" s="98" t="s">
        <v>235</v>
      </c>
      <c r="AQ9" s="97"/>
      <c r="AS9" s="98" t="s">
        <v>235</v>
      </c>
      <c r="AU9" s="97"/>
      <c r="AW9" s="98" t="s">
        <v>235</v>
      </c>
      <c r="AY9" s="97"/>
      <c r="BA9" s="98" t="s">
        <v>235</v>
      </c>
      <c r="BC9" s="97"/>
      <c r="BE9" s="98" t="s">
        <v>235</v>
      </c>
      <c r="BJ9" s="97"/>
      <c r="BL9" s="98" t="s">
        <v>235</v>
      </c>
      <c r="BR9" s="98" t="s">
        <v>235</v>
      </c>
    </row>
    <row r="10" spans="4:72" ht="14.4" x14ac:dyDescent="0.3">
      <c r="E10" s="97" t="s">
        <v>236</v>
      </c>
      <c r="F10" s="99" t="s">
        <v>237</v>
      </c>
      <c r="G10" s="97" t="s">
        <v>236</v>
      </c>
      <c r="H10" s="99" t="s">
        <v>238</v>
      </c>
      <c r="I10" s="97" t="s">
        <v>236</v>
      </c>
      <c r="J10" s="99" t="s">
        <v>239</v>
      </c>
      <c r="K10" s="97" t="s">
        <v>236</v>
      </c>
      <c r="L10" s="99" t="s">
        <v>240</v>
      </c>
      <c r="P10" s="185"/>
      <c r="Q10" s="97" t="s">
        <v>236</v>
      </c>
      <c r="R10" s="99" t="s">
        <v>241</v>
      </c>
      <c r="T10" s="97" t="s">
        <v>236</v>
      </c>
      <c r="U10" s="99" t="s">
        <v>241</v>
      </c>
      <c r="Y10" s="97" t="s">
        <v>236</v>
      </c>
      <c r="Z10" s="99" t="s">
        <v>242</v>
      </c>
      <c r="AA10" s="142"/>
      <c r="AB10" s="166"/>
      <c r="AD10" s="97" t="s">
        <v>236</v>
      </c>
      <c r="AE10" s="99" t="s">
        <v>242</v>
      </c>
      <c r="AF10" s="142"/>
      <c r="AG10" s="166"/>
      <c r="AH10" s="166"/>
      <c r="AI10" s="166"/>
      <c r="AJ10" s="166"/>
      <c r="AK10" s="166"/>
      <c r="AM10" s="97" t="s">
        <v>236</v>
      </c>
      <c r="AN10" s="99" t="s">
        <v>242</v>
      </c>
      <c r="AO10" s="142"/>
      <c r="AR10" s="97" t="s">
        <v>236</v>
      </c>
      <c r="AS10" s="99" t="s">
        <v>243</v>
      </c>
      <c r="AT10" s="142"/>
      <c r="AV10" s="97" t="s">
        <v>236</v>
      </c>
      <c r="AW10" s="99" t="s">
        <v>243</v>
      </c>
      <c r="AX10" s="142"/>
      <c r="AZ10" s="97" t="s">
        <v>236</v>
      </c>
      <c r="BA10" s="99" t="s">
        <v>243</v>
      </c>
      <c r="BB10" s="142"/>
      <c r="BD10" s="97" t="s">
        <v>236</v>
      </c>
      <c r="BE10" s="99" t="s">
        <v>243</v>
      </c>
      <c r="BF10" s="142"/>
      <c r="BK10" s="97" t="s">
        <v>236</v>
      </c>
      <c r="BL10" s="99" t="s">
        <v>244</v>
      </c>
      <c r="BM10" s="142"/>
      <c r="BP10" s="166"/>
      <c r="BQ10" s="97" t="s">
        <v>236</v>
      </c>
      <c r="BR10" s="99" t="s">
        <v>245</v>
      </c>
      <c r="BS10" s="142"/>
    </row>
    <row r="11" spans="4:72" ht="14.7" customHeight="1" x14ac:dyDescent="0.3">
      <c r="E11" s="177">
        <v>48</v>
      </c>
      <c r="F11" s="178"/>
      <c r="G11" s="177">
        <v>48</v>
      </c>
      <c r="H11" s="178"/>
      <c r="I11" s="177">
        <v>48</v>
      </c>
      <c r="J11" s="178"/>
      <c r="K11" s="177">
        <v>48</v>
      </c>
      <c r="L11" s="179"/>
      <c r="P11" s="185"/>
      <c r="Q11" s="177">
        <v>48</v>
      </c>
      <c r="R11" s="179"/>
      <c r="T11" s="177">
        <v>48</v>
      </c>
      <c r="U11" s="179"/>
      <c r="X11" s="380" t="s">
        <v>246</v>
      </c>
      <c r="Y11" s="100">
        <v>48</v>
      </c>
      <c r="Z11" s="143"/>
      <c r="AA11" s="383" t="s">
        <v>246</v>
      </c>
      <c r="AB11" s="197"/>
      <c r="AC11" s="380" t="s">
        <v>246</v>
      </c>
      <c r="AD11" s="100">
        <v>48</v>
      </c>
      <c r="AE11" s="143"/>
      <c r="AF11" s="383" t="s">
        <v>246</v>
      </c>
      <c r="AG11" s="197"/>
      <c r="AH11" s="197"/>
      <c r="AI11" s="197"/>
      <c r="AJ11" s="197"/>
      <c r="AK11" s="197"/>
      <c r="AL11" s="380" t="s">
        <v>246</v>
      </c>
      <c r="AM11" s="100">
        <v>48</v>
      </c>
      <c r="AN11" s="143"/>
      <c r="AO11" s="383" t="s">
        <v>246</v>
      </c>
      <c r="AQ11" s="380" t="s">
        <v>246</v>
      </c>
      <c r="AR11" s="100">
        <v>48</v>
      </c>
      <c r="AS11" s="143"/>
      <c r="AT11" s="383" t="s">
        <v>246</v>
      </c>
      <c r="AU11" s="380" t="s">
        <v>246</v>
      </c>
      <c r="AV11" s="100">
        <v>48</v>
      </c>
      <c r="AW11" s="143"/>
      <c r="AX11" s="383" t="s">
        <v>246</v>
      </c>
      <c r="AY11" s="380" t="s">
        <v>246</v>
      </c>
      <c r="AZ11" s="100">
        <v>48</v>
      </c>
      <c r="BA11" s="143"/>
      <c r="BB11" s="383" t="s">
        <v>246</v>
      </c>
      <c r="BC11" s="380" t="s">
        <v>246</v>
      </c>
      <c r="BD11" s="100">
        <v>48</v>
      </c>
      <c r="BE11" s="143"/>
      <c r="BF11" s="383" t="s">
        <v>246</v>
      </c>
      <c r="BJ11" s="380" t="s">
        <v>246</v>
      </c>
      <c r="BK11" s="100">
        <v>48</v>
      </c>
      <c r="BL11" s="143"/>
      <c r="BM11" s="383" t="s">
        <v>246</v>
      </c>
      <c r="BP11" s="167"/>
      <c r="BQ11" s="100">
        <v>48</v>
      </c>
      <c r="BR11" s="143"/>
      <c r="BS11" s="383" t="s">
        <v>246</v>
      </c>
    </row>
    <row r="12" spans="4:72" ht="14.7" customHeight="1" x14ac:dyDescent="0.3">
      <c r="E12" s="180">
        <v>47</v>
      </c>
      <c r="F12" s="101"/>
      <c r="G12" s="180">
        <v>47</v>
      </c>
      <c r="H12" s="101"/>
      <c r="I12" s="180">
        <v>47</v>
      </c>
      <c r="J12" s="101"/>
      <c r="K12" s="180">
        <v>47</v>
      </c>
      <c r="L12" s="181"/>
      <c r="Q12" s="180">
        <v>47</v>
      </c>
      <c r="R12" s="182"/>
      <c r="T12" s="180">
        <v>47</v>
      </c>
      <c r="U12" s="179"/>
      <c r="X12" s="381"/>
      <c r="Y12" s="102">
        <v>47</v>
      </c>
      <c r="Z12" s="101"/>
      <c r="AA12" s="384"/>
      <c r="AB12" s="198"/>
      <c r="AC12" s="381"/>
      <c r="AD12" s="102">
        <v>47</v>
      </c>
      <c r="AE12" s="101"/>
      <c r="AF12" s="384"/>
      <c r="AG12" s="198"/>
      <c r="AH12" s="198"/>
      <c r="AI12" s="198"/>
      <c r="AJ12" s="198"/>
      <c r="AK12" s="198"/>
      <c r="AL12" s="381"/>
      <c r="AM12" s="102">
        <v>47</v>
      </c>
      <c r="AN12" s="101"/>
      <c r="AO12" s="384"/>
      <c r="AQ12" s="381"/>
      <c r="AR12" s="102">
        <v>47</v>
      </c>
      <c r="AS12" s="105" t="s">
        <v>247</v>
      </c>
      <c r="AT12" s="384"/>
      <c r="AU12" s="381"/>
      <c r="AV12" s="102">
        <v>47</v>
      </c>
      <c r="AW12" s="101"/>
      <c r="AX12" s="384"/>
      <c r="AY12" s="381"/>
      <c r="AZ12" s="102">
        <v>47</v>
      </c>
      <c r="BA12" s="101"/>
      <c r="BB12" s="384"/>
      <c r="BC12" s="381"/>
      <c r="BD12" s="102">
        <v>47</v>
      </c>
      <c r="BE12" s="101"/>
      <c r="BF12" s="384"/>
      <c r="BJ12" s="381"/>
      <c r="BK12" s="102">
        <v>47</v>
      </c>
      <c r="BL12" s="105" t="s">
        <v>247</v>
      </c>
      <c r="BM12" s="384"/>
      <c r="BP12" s="168"/>
      <c r="BQ12" s="102">
        <v>47</v>
      </c>
      <c r="BR12" s="105" t="s">
        <v>247</v>
      </c>
      <c r="BS12" s="384"/>
    </row>
    <row r="13" spans="4:72" ht="14.7" customHeight="1" x14ac:dyDescent="0.3">
      <c r="E13" s="180">
        <v>46</v>
      </c>
      <c r="F13" s="183" t="s">
        <v>248</v>
      </c>
      <c r="G13" s="180">
        <v>46</v>
      </c>
      <c r="H13" s="183" t="s">
        <v>248</v>
      </c>
      <c r="I13" s="180">
        <v>46</v>
      </c>
      <c r="J13" s="183" t="s">
        <v>248</v>
      </c>
      <c r="K13" s="180">
        <v>46</v>
      </c>
      <c r="L13" s="184" t="s">
        <v>248</v>
      </c>
      <c r="M13" s="185"/>
      <c r="N13" s="185"/>
      <c r="Q13" s="180">
        <v>46</v>
      </c>
      <c r="R13" s="184" t="s">
        <v>248</v>
      </c>
      <c r="T13" s="180">
        <v>46</v>
      </c>
      <c r="U13" s="179"/>
      <c r="X13" s="381"/>
      <c r="Y13" s="102">
        <v>46</v>
      </c>
      <c r="Z13" s="101"/>
      <c r="AA13" s="384"/>
      <c r="AB13" s="198"/>
      <c r="AC13" s="381"/>
      <c r="AD13" s="102">
        <v>46</v>
      </c>
      <c r="AE13" s="101"/>
      <c r="AF13" s="384"/>
      <c r="AG13" s="198"/>
      <c r="AH13" s="198"/>
      <c r="AI13" s="198"/>
      <c r="AJ13" s="198"/>
      <c r="AK13" s="198"/>
      <c r="AL13" s="381"/>
      <c r="AM13" s="102">
        <v>46</v>
      </c>
      <c r="AN13" s="101"/>
      <c r="AO13" s="384"/>
      <c r="AQ13" s="381"/>
      <c r="AR13" s="102">
        <v>46</v>
      </c>
      <c r="AS13" s="101"/>
      <c r="AT13" s="384"/>
      <c r="AU13" s="381"/>
      <c r="AV13" s="102">
        <v>46</v>
      </c>
      <c r="AW13" s="101"/>
      <c r="AX13" s="384"/>
      <c r="AY13" s="381"/>
      <c r="AZ13" s="102">
        <v>46</v>
      </c>
      <c r="BA13" s="101"/>
      <c r="BB13" s="384"/>
      <c r="BC13" s="381"/>
      <c r="BD13" s="102">
        <v>46</v>
      </c>
      <c r="BE13" s="101"/>
      <c r="BF13" s="384"/>
      <c r="BJ13" s="381"/>
      <c r="BK13" s="102">
        <v>46</v>
      </c>
      <c r="BL13" s="105" t="s">
        <v>249</v>
      </c>
      <c r="BM13" s="384"/>
      <c r="BP13" s="168"/>
      <c r="BQ13" s="102">
        <v>46</v>
      </c>
      <c r="BR13" s="105" t="s">
        <v>247</v>
      </c>
      <c r="BS13" s="384"/>
    </row>
    <row r="14" spans="4:72" ht="14.7" customHeight="1" x14ac:dyDescent="0.3">
      <c r="E14" s="180">
        <v>45</v>
      </c>
      <c r="F14" s="183" t="s">
        <v>250</v>
      </c>
      <c r="G14" s="180">
        <v>45</v>
      </c>
      <c r="H14" s="183" t="s">
        <v>250</v>
      </c>
      <c r="I14" s="180">
        <v>45</v>
      </c>
      <c r="J14" s="183" t="s">
        <v>250</v>
      </c>
      <c r="K14" s="180">
        <v>45</v>
      </c>
      <c r="L14" s="184" t="s">
        <v>250</v>
      </c>
      <c r="Q14" s="180">
        <v>45</v>
      </c>
      <c r="R14" s="184" t="s">
        <v>250</v>
      </c>
      <c r="T14" s="180">
        <v>45</v>
      </c>
      <c r="U14" s="179"/>
      <c r="X14" s="381"/>
      <c r="Y14" s="102">
        <v>45</v>
      </c>
      <c r="Z14" s="101"/>
      <c r="AA14" s="384"/>
      <c r="AB14" s="198"/>
      <c r="AC14" s="381"/>
      <c r="AD14" s="102">
        <v>45</v>
      </c>
      <c r="AE14" s="101"/>
      <c r="AF14" s="384"/>
      <c r="AG14" s="198"/>
      <c r="AH14" s="198"/>
      <c r="AI14" s="198"/>
      <c r="AJ14" s="198"/>
      <c r="AK14" s="198"/>
      <c r="AL14" s="381"/>
      <c r="AM14" s="102">
        <v>45</v>
      </c>
      <c r="AN14" s="101"/>
      <c r="AO14" s="384"/>
      <c r="AQ14" s="381"/>
      <c r="AR14" s="102">
        <v>45</v>
      </c>
      <c r="AS14" s="101"/>
      <c r="AT14" s="384"/>
      <c r="AU14" s="381"/>
      <c r="AV14" s="102">
        <v>45</v>
      </c>
      <c r="AW14" s="101"/>
      <c r="AX14" s="384"/>
      <c r="AY14" s="381"/>
      <c r="AZ14" s="102">
        <v>45</v>
      </c>
      <c r="BA14" s="101"/>
      <c r="BB14" s="384"/>
      <c r="BC14" s="381"/>
      <c r="BD14" s="102">
        <v>45</v>
      </c>
      <c r="BE14" s="101"/>
      <c r="BF14" s="384"/>
      <c r="BJ14" s="381"/>
      <c r="BK14" s="102">
        <v>45</v>
      </c>
      <c r="BL14" s="105" t="s">
        <v>251</v>
      </c>
      <c r="BM14" s="384"/>
      <c r="BP14" s="168"/>
      <c r="BQ14" s="102">
        <v>45</v>
      </c>
      <c r="BR14" s="375" t="s">
        <v>252</v>
      </c>
      <c r="BS14" s="384"/>
    </row>
    <row r="15" spans="4:72" ht="14.7" customHeight="1" x14ac:dyDescent="0.3">
      <c r="E15" s="180">
        <v>44</v>
      </c>
      <c r="F15" s="183" t="s">
        <v>250</v>
      </c>
      <c r="G15" s="180">
        <v>44</v>
      </c>
      <c r="H15" s="183" t="s">
        <v>250</v>
      </c>
      <c r="I15" s="180">
        <v>44</v>
      </c>
      <c r="J15" s="183" t="s">
        <v>250</v>
      </c>
      <c r="K15" s="180">
        <v>44</v>
      </c>
      <c r="L15" s="184" t="s">
        <v>250</v>
      </c>
      <c r="Q15" s="180">
        <v>44</v>
      </c>
      <c r="R15" s="184" t="s">
        <v>250</v>
      </c>
      <c r="T15" s="180">
        <v>44</v>
      </c>
      <c r="U15" s="179"/>
      <c r="X15" s="381"/>
      <c r="Y15" s="102">
        <v>44</v>
      </c>
      <c r="Z15" s="105" t="s">
        <v>247</v>
      </c>
      <c r="AA15" s="384"/>
      <c r="AB15" s="198"/>
      <c r="AC15" s="381"/>
      <c r="AD15" s="102">
        <v>44</v>
      </c>
      <c r="AE15" s="105" t="s">
        <v>247</v>
      </c>
      <c r="AF15" s="384"/>
      <c r="AG15" s="198"/>
      <c r="AH15" s="198"/>
      <c r="AI15" s="198"/>
      <c r="AJ15" s="198"/>
      <c r="AK15" s="198"/>
      <c r="AL15" s="381"/>
      <c r="AM15" s="102">
        <v>44</v>
      </c>
      <c r="AN15" s="105" t="s">
        <v>253</v>
      </c>
      <c r="AO15" s="384"/>
      <c r="AQ15" s="381"/>
      <c r="AR15" s="102">
        <v>44</v>
      </c>
      <c r="AT15" s="384"/>
      <c r="AU15" s="381"/>
      <c r="AV15" s="102">
        <v>44</v>
      </c>
      <c r="AX15" s="384"/>
      <c r="AY15" s="381"/>
      <c r="AZ15" s="102">
        <v>44</v>
      </c>
      <c r="BB15" s="384"/>
      <c r="BC15" s="381"/>
      <c r="BD15" s="102">
        <v>44</v>
      </c>
      <c r="BF15" s="384"/>
      <c r="BJ15" s="381"/>
      <c r="BK15" s="102">
        <v>44</v>
      </c>
      <c r="BL15" s="105" t="s">
        <v>254</v>
      </c>
      <c r="BM15" s="384"/>
      <c r="BP15" s="168"/>
      <c r="BQ15" s="102">
        <v>44</v>
      </c>
      <c r="BR15" s="376"/>
      <c r="BS15" s="384"/>
    </row>
    <row r="16" spans="4:72" ht="14.4" customHeight="1" x14ac:dyDescent="0.3">
      <c r="E16" s="180">
        <v>43</v>
      </c>
      <c r="F16" s="183" t="s">
        <v>250</v>
      </c>
      <c r="G16" s="180">
        <v>43</v>
      </c>
      <c r="H16" s="183" t="s">
        <v>250</v>
      </c>
      <c r="I16" s="180">
        <v>43</v>
      </c>
      <c r="J16" s="183" t="s">
        <v>250</v>
      </c>
      <c r="K16" s="180">
        <v>43</v>
      </c>
      <c r="L16" s="184" t="s">
        <v>250</v>
      </c>
      <c r="Q16" s="180">
        <v>43</v>
      </c>
      <c r="R16" s="184" t="s">
        <v>250</v>
      </c>
      <c r="T16" s="180">
        <v>43</v>
      </c>
      <c r="U16" s="179"/>
      <c r="X16" s="381"/>
      <c r="Y16" s="102">
        <v>43</v>
      </c>
      <c r="Z16" s="105" t="s">
        <v>255</v>
      </c>
      <c r="AA16" s="384"/>
      <c r="AB16" s="198"/>
      <c r="AC16" s="381"/>
      <c r="AD16" s="102">
        <v>43</v>
      </c>
      <c r="AE16" s="105" t="s">
        <v>255</v>
      </c>
      <c r="AF16" s="384"/>
      <c r="AG16" s="198"/>
      <c r="AH16" s="198"/>
      <c r="AI16" s="198"/>
      <c r="AJ16" s="198"/>
      <c r="AK16" s="198"/>
      <c r="AL16" s="381"/>
      <c r="AM16" s="102">
        <v>43</v>
      </c>
      <c r="AN16" s="105" t="s">
        <v>256</v>
      </c>
      <c r="AO16" s="384"/>
      <c r="AQ16" s="381"/>
      <c r="AR16" s="102">
        <v>43</v>
      </c>
      <c r="AT16" s="384"/>
      <c r="AU16" s="381"/>
      <c r="AV16" s="102">
        <v>43</v>
      </c>
      <c r="AX16" s="384"/>
      <c r="AY16" s="381"/>
      <c r="AZ16" s="102">
        <v>43</v>
      </c>
      <c r="BB16" s="384"/>
      <c r="BC16" s="381"/>
      <c r="BD16" s="102">
        <v>43</v>
      </c>
      <c r="BF16" s="384"/>
      <c r="BJ16" s="381"/>
      <c r="BK16" s="102">
        <v>43</v>
      </c>
      <c r="BL16" s="105" t="s">
        <v>257</v>
      </c>
      <c r="BM16" s="384"/>
      <c r="BP16" s="168"/>
      <c r="BQ16" s="102">
        <v>43</v>
      </c>
      <c r="BS16" s="384"/>
    </row>
    <row r="17" spans="5:71" ht="14.4" customHeight="1" x14ac:dyDescent="0.3">
      <c r="E17" s="180">
        <v>42</v>
      </c>
      <c r="F17" s="186" t="s">
        <v>258</v>
      </c>
      <c r="G17" s="180">
        <v>42</v>
      </c>
      <c r="H17" s="186" t="s">
        <v>258</v>
      </c>
      <c r="I17" s="180">
        <v>42</v>
      </c>
      <c r="J17" s="186" t="s">
        <v>258</v>
      </c>
      <c r="K17" s="180">
        <v>42</v>
      </c>
      <c r="L17" s="187" t="s">
        <v>258</v>
      </c>
      <c r="Q17" s="180">
        <v>42</v>
      </c>
      <c r="R17" s="187" t="s">
        <v>258</v>
      </c>
      <c r="T17" s="180">
        <v>42</v>
      </c>
      <c r="U17" s="187" t="s">
        <v>258</v>
      </c>
      <c r="X17" s="381"/>
      <c r="Y17" s="102">
        <v>42</v>
      </c>
      <c r="Z17"/>
      <c r="AA17" s="384"/>
      <c r="AB17" s="198"/>
      <c r="AC17" s="381"/>
      <c r="AD17" s="102">
        <v>42</v>
      </c>
      <c r="AE17"/>
      <c r="AF17" s="384"/>
      <c r="AG17" s="198"/>
      <c r="AH17" s="198"/>
      <c r="AI17" s="198"/>
      <c r="AJ17" s="198"/>
      <c r="AK17" s="198"/>
      <c r="AL17" s="381"/>
      <c r="AM17" s="102">
        <v>42</v>
      </c>
      <c r="AN17"/>
      <c r="AO17" s="384"/>
      <c r="AQ17" s="381"/>
      <c r="AR17" s="102">
        <v>42</v>
      </c>
      <c r="AS17" s="101"/>
      <c r="AT17" s="384"/>
      <c r="AU17" s="381"/>
      <c r="AV17" s="102">
        <v>42</v>
      </c>
      <c r="AW17" s="101"/>
      <c r="AX17" s="384"/>
      <c r="AY17" s="381"/>
      <c r="AZ17" s="102">
        <v>42</v>
      </c>
      <c r="BA17" s="101"/>
      <c r="BB17" s="384"/>
      <c r="BC17" s="381"/>
      <c r="BD17" s="102">
        <v>42</v>
      </c>
      <c r="BE17" s="101"/>
      <c r="BF17" s="384"/>
      <c r="BJ17" s="381"/>
      <c r="BK17" s="102">
        <v>42</v>
      </c>
      <c r="BL17" s="101"/>
      <c r="BM17" s="384"/>
      <c r="BP17" s="168"/>
      <c r="BQ17" s="102">
        <v>42</v>
      </c>
      <c r="BR17" s="375" t="s">
        <v>259</v>
      </c>
      <c r="BS17" s="384"/>
    </row>
    <row r="18" spans="5:71" ht="14.4" customHeight="1" x14ac:dyDescent="0.3">
      <c r="E18" s="188">
        <v>41</v>
      </c>
      <c r="F18" s="186" t="s">
        <v>258</v>
      </c>
      <c r="G18" s="188">
        <v>41</v>
      </c>
      <c r="H18" s="186" t="s">
        <v>258</v>
      </c>
      <c r="I18" s="188">
        <v>41</v>
      </c>
      <c r="J18" s="186" t="s">
        <v>258</v>
      </c>
      <c r="K18" s="188">
        <v>41</v>
      </c>
      <c r="L18" s="187" t="s">
        <v>258</v>
      </c>
      <c r="Q18" s="188">
        <v>41</v>
      </c>
      <c r="R18" s="187" t="s">
        <v>258</v>
      </c>
      <c r="T18" s="188">
        <v>41</v>
      </c>
      <c r="U18" s="187" t="s">
        <v>258</v>
      </c>
      <c r="X18" s="381"/>
      <c r="Y18" s="103">
        <v>41</v>
      </c>
      <c r="Z18"/>
      <c r="AA18" s="384"/>
      <c r="AB18" s="198"/>
      <c r="AC18" s="381"/>
      <c r="AD18" s="103">
        <v>41</v>
      </c>
      <c r="AE18"/>
      <c r="AF18" s="384"/>
      <c r="AG18" s="198"/>
      <c r="AH18" s="198"/>
      <c r="AI18" s="198"/>
      <c r="AJ18" s="198"/>
      <c r="AK18" s="198"/>
      <c r="AL18" s="381"/>
      <c r="AM18" s="103">
        <v>41</v>
      </c>
      <c r="AN18" s="105" t="s">
        <v>260</v>
      </c>
      <c r="AO18" s="384"/>
      <c r="AQ18" s="381"/>
      <c r="AR18" s="103">
        <v>41</v>
      </c>
      <c r="AT18" s="384"/>
      <c r="AU18" s="381"/>
      <c r="AV18" s="103">
        <v>41</v>
      </c>
      <c r="AX18" s="384"/>
      <c r="AY18" s="381"/>
      <c r="AZ18" s="103">
        <v>41</v>
      </c>
      <c r="BB18" s="384"/>
      <c r="BC18" s="381"/>
      <c r="BD18" s="103">
        <v>41</v>
      </c>
      <c r="BF18" s="384"/>
      <c r="BJ18" s="381"/>
      <c r="BK18" s="103">
        <v>41</v>
      </c>
      <c r="BL18" s="375" t="s">
        <v>261</v>
      </c>
      <c r="BM18" s="384"/>
      <c r="BP18" s="168"/>
      <c r="BQ18" s="103">
        <v>41</v>
      </c>
      <c r="BR18" s="376"/>
      <c r="BS18" s="384"/>
    </row>
    <row r="19" spans="5:71" ht="14.4" customHeight="1" x14ac:dyDescent="0.3">
      <c r="E19" s="188">
        <v>40</v>
      </c>
      <c r="F19" s="189" t="s">
        <v>262</v>
      </c>
      <c r="G19" s="188">
        <v>40</v>
      </c>
      <c r="H19" s="189" t="s">
        <v>262</v>
      </c>
      <c r="I19" s="188">
        <v>40</v>
      </c>
      <c r="J19" s="189" t="s">
        <v>262</v>
      </c>
      <c r="K19" s="188">
        <v>40</v>
      </c>
      <c r="L19" s="190" t="s">
        <v>262</v>
      </c>
      <c r="Q19" s="188">
        <v>40</v>
      </c>
      <c r="R19" s="190" t="s">
        <v>262</v>
      </c>
      <c r="T19" s="188">
        <v>40</v>
      </c>
      <c r="U19" s="190" t="s">
        <v>262</v>
      </c>
      <c r="X19" s="381"/>
      <c r="Y19" s="103">
        <v>40</v>
      </c>
      <c r="Z19" s="103"/>
      <c r="AA19" s="384"/>
      <c r="AB19" s="198"/>
      <c r="AC19" s="381"/>
      <c r="AD19" s="103">
        <v>40</v>
      </c>
      <c r="AE19" s="103"/>
      <c r="AF19" s="384"/>
      <c r="AG19" s="198"/>
      <c r="AH19" s="198"/>
      <c r="AI19" s="198"/>
      <c r="AJ19" s="198"/>
      <c r="AK19" s="198"/>
      <c r="AL19" s="381"/>
      <c r="AM19" s="103">
        <v>40</v>
      </c>
      <c r="AN19" s="103"/>
      <c r="AO19" s="384"/>
      <c r="AQ19" s="381"/>
      <c r="AR19" s="103">
        <v>40</v>
      </c>
      <c r="AS19" s="103"/>
      <c r="AT19" s="384"/>
      <c r="AU19" s="381"/>
      <c r="AV19" s="103">
        <v>40</v>
      </c>
      <c r="AW19" s="103"/>
      <c r="AX19" s="384"/>
      <c r="AY19" s="381"/>
      <c r="AZ19" s="103">
        <v>40</v>
      </c>
      <c r="BA19" s="103"/>
      <c r="BB19" s="384"/>
      <c r="BC19" s="381"/>
      <c r="BD19" s="103">
        <v>40</v>
      </c>
      <c r="BE19" s="105" t="s">
        <v>263</v>
      </c>
      <c r="BF19" s="384"/>
      <c r="BJ19" s="381"/>
      <c r="BK19" s="103">
        <v>40</v>
      </c>
      <c r="BL19" s="376"/>
      <c r="BM19" s="384"/>
      <c r="BP19" s="168"/>
      <c r="BQ19" s="103">
        <v>40</v>
      </c>
      <c r="BR19"/>
      <c r="BS19" s="384"/>
    </row>
    <row r="20" spans="5:71" ht="14.4" customHeight="1" x14ac:dyDescent="0.3">
      <c r="E20" s="188">
        <v>39</v>
      </c>
      <c r="F20" s="170" t="s">
        <v>264</v>
      </c>
      <c r="G20" s="188">
        <v>39</v>
      </c>
      <c r="H20" s="170" t="s">
        <v>264</v>
      </c>
      <c r="I20" s="188">
        <v>39</v>
      </c>
      <c r="J20" s="170" t="s">
        <v>264</v>
      </c>
      <c r="K20" s="188">
        <v>39</v>
      </c>
      <c r="L20" s="191" t="s">
        <v>264</v>
      </c>
      <c r="Q20" s="188">
        <v>39</v>
      </c>
      <c r="R20" s="191" t="s">
        <v>264</v>
      </c>
      <c r="T20" s="188">
        <v>39</v>
      </c>
      <c r="U20" s="191" t="s">
        <v>264</v>
      </c>
      <c r="X20" s="381"/>
      <c r="Y20" s="103">
        <v>39</v>
      </c>
      <c r="Z20" s="144"/>
      <c r="AA20" s="384"/>
      <c r="AB20" s="198"/>
      <c r="AC20" s="381"/>
      <c r="AD20" s="103">
        <v>39</v>
      </c>
      <c r="AE20" s="144"/>
      <c r="AF20" s="384"/>
      <c r="AG20" s="198"/>
      <c r="AH20" s="198"/>
      <c r="AI20" s="198"/>
      <c r="AJ20" s="198"/>
      <c r="AK20" s="198"/>
      <c r="AL20" s="381"/>
      <c r="AM20" s="103">
        <v>39</v>
      </c>
      <c r="AN20" s="144"/>
      <c r="AO20" s="384"/>
      <c r="AQ20" s="381"/>
      <c r="AR20" s="103">
        <v>39</v>
      </c>
      <c r="AS20" s="144"/>
      <c r="AT20" s="384"/>
      <c r="AU20" s="381"/>
      <c r="AV20" s="103">
        <v>39</v>
      </c>
      <c r="AW20" s="144"/>
      <c r="AX20" s="384"/>
      <c r="AY20" s="381"/>
      <c r="AZ20" s="103">
        <v>39</v>
      </c>
      <c r="BA20" s="144"/>
      <c r="BB20" s="384"/>
      <c r="BC20" s="381"/>
      <c r="BD20" s="103">
        <v>39</v>
      </c>
      <c r="BE20" s="144"/>
      <c r="BF20" s="384"/>
      <c r="BJ20" s="381"/>
      <c r="BK20" s="103">
        <v>39</v>
      </c>
      <c r="BL20" s="144"/>
      <c r="BM20" s="384"/>
      <c r="BP20" s="168"/>
      <c r="BQ20" s="103">
        <v>39</v>
      </c>
      <c r="BR20"/>
      <c r="BS20" s="384"/>
    </row>
    <row r="21" spans="5:71" ht="14.4" customHeight="1" x14ac:dyDescent="0.3">
      <c r="E21" s="188">
        <v>38</v>
      </c>
      <c r="F21" s="375" t="s">
        <v>265</v>
      </c>
      <c r="G21" s="188">
        <v>38</v>
      </c>
      <c r="H21" s="375" t="s">
        <v>266</v>
      </c>
      <c r="I21" s="188">
        <v>38</v>
      </c>
      <c r="J21" s="375" t="s">
        <v>267</v>
      </c>
      <c r="K21" s="188">
        <v>38</v>
      </c>
      <c r="L21" s="377" t="s">
        <v>268</v>
      </c>
      <c r="Q21" s="188">
        <v>38</v>
      </c>
      <c r="R21" s="377" t="s">
        <v>269</v>
      </c>
      <c r="T21" s="188">
        <v>38</v>
      </c>
      <c r="U21" s="106"/>
      <c r="X21" s="381"/>
      <c r="Y21" s="103">
        <v>38</v>
      </c>
      <c r="Z21" s="101"/>
      <c r="AA21" s="384"/>
      <c r="AB21" s="198"/>
      <c r="AC21" s="381"/>
      <c r="AD21" s="103">
        <v>38</v>
      </c>
      <c r="AE21" s="101"/>
      <c r="AF21" s="384"/>
      <c r="AG21" s="198"/>
      <c r="AH21" s="198"/>
      <c r="AI21" s="198"/>
      <c r="AJ21" s="198"/>
      <c r="AK21" s="198"/>
      <c r="AL21" s="381"/>
      <c r="AM21" s="103">
        <v>38</v>
      </c>
      <c r="AN21" s="101"/>
      <c r="AO21" s="384"/>
      <c r="AQ21" s="381"/>
      <c r="AR21" s="103">
        <v>38</v>
      </c>
      <c r="AS21" s="101"/>
      <c r="AT21" s="384"/>
      <c r="AU21" s="381"/>
      <c r="AV21" s="103">
        <v>38</v>
      </c>
      <c r="AW21" s="101"/>
      <c r="AX21" s="384"/>
      <c r="AY21" s="381"/>
      <c r="AZ21" s="103">
        <v>38</v>
      </c>
      <c r="BA21" s="101"/>
      <c r="BB21" s="384"/>
      <c r="BC21" s="381"/>
      <c r="BD21" s="103">
        <v>38</v>
      </c>
      <c r="BE21" s="101"/>
      <c r="BF21" s="384"/>
      <c r="BJ21" s="381"/>
      <c r="BK21" s="103">
        <v>38</v>
      </c>
      <c r="BL21" s="375" t="s">
        <v>270</v>
      </c>
      <c r="BM21" s="384"/>
      <c r="BP21" s="168"/>
      <c r="BQ21" s="103">
        <v>38</v>
      </c>
      <c r="BR21" s="101"/>
      <c r="BS21" s="384"/>
    </row>
    <row r="22" spans="5:71" ht="14.4" customHeight="1" x14ac:dyDescent="0.3">
      <c r="E22" s="188">
        <v>37</v>
      </c>
      <c r="F22" s="376"/>
      <c r="G22" s="188">
        <v>37</v>
      </c>
      <c r="H22" s="376"/>
      <c r="I22" s="188">
        <v>37</v>
      </c>
      <c r="J22" s="376"/>
      <c r="K22" s="188">
        <v>37</v>
      </c>
      <c r="L22" s="378"/>
      <c r="Q22" s="188">
        <v>37</v>
      </c>
      <c r="R22" s="378"/>
      <c r="T22" s="188">
        <v>37</v>
      </c>
      <c r="X22" s="381"/>
      <c r="Y22" s="103">
        <v>37</v>
      </c>
      <c r="Z22" s="105" t="s">
        <v>263</v>
      </c>
      <c r="AA22" s="384"/>
      <c r="AB22" s="198"/>
      <c r="AC22" s="381"/>
      <c r="AD22" s="103">
        <v>37</v>
      </c>
      <c r="AE22" s="198"/>
      <c r="AF22" s="384"/>
      <c r="AG22" s="198"/>
      <c r="AH22" s="198"/>
      <c r="AI22" s="198"/>
      <c r="AJ22" s="198"/>
      <c r="AK22" s="198"/>
      <c r="AL22" s="381"/>
      <c r="AM22" s="103">
        <v>37</v>
      </c>
      <c r="AN22" s="101"/>
      <c r="AO22" s="384"/>
      <c r="AQ22" s="381"/>
      <c r="AR22" s="103">
        <v>37</v>
      </c>
      <c r="AT22" s="384"/>
      <c r="AU22" s="381"/>
      <c r="AV22" s="103">
        <v>37</v>
      </c>
      <c r="AW22" s="386" t="s">
        <v>271</v>
      </c>
      <c r="AX22" s="384"/>
      <c r="AY22" s="381"/>
      <c r="AZ22" s="103">
        <v>37</v>
      </c>
      <c r="BB22" s="384"/>
      <c r="BC22" s="381"/>
      <c r="BD22" s="103">
        <v>37</v>
      </c>
      <c r="BF22" s="384"/>
      <c r="BJ22" s="381"/>
      <c r="BK22" s="103">
        <v>37</v>
      </c>
      <c r="BL22" s="376"/>
      <c r="BM22" s="384"/>
      <c r="BP22" s="168"/>
      <c r="BQ22" s="103">
        <v>37</v>
      </c>
      <c r="BR22"/>
      <c r="BS22" s="384"/>
    </row>
    <row r="23" spans="5:71" ht="14.4" x14ac:dyDescent="0.3">
      <c r="E23" s="188">
        <v>36</v>
      </c>
      <c r="F23" s="101"/>
      <c r="G23" s="188">
        <v>36</v>
      </c>
      <c r="H23" s="101"/>
      <c r="I23" s="188">
        <v>36</v>
      </c>
      <c r="J23" s="101"/>
      <c r="K23" s="188">
        <v>36</v>
      </c>
      <c r="L23" s="181"/>
      <c r="Q23" s="188">
        <v>36</v>
      </c>
      <c r="R23" s="181"/>
      <c r="T23" s="188">
        <v>36</v>
      </c>
      <c r="X23" s="381"/>
      <c r="Y23" s="103">
        <v>36</v>
      </c>
      <c r="Z23" s="101"/>
      <c r="AA23" s="384"/>
      <c r="AB23" s="198"/>
      <c r="AC23" s="381"/>
      <c r="AD23" s="103">
        <v>36</v>
      </c>
      <c r="AE23" s="198"/>
      <c r="AF23" s="384"/>
      <c r="AG23" s="198"/>
      <c r="AH23" s="198"/>
      <c r="AI23" s="198"/>
      <c r="AJ23" s="198"/>
      <c r="AK23" s="198"/>
      <c r="AL23" s="381"/>
      <c r="AM23" s="103">
        <v>36</v>
      </c>
      <c r="AN23" s="101"/>
      <c r="AO23" s="384"/>
      <c r="AQ23" s="381"/>
      <c r="AR23" s="103">
        <v>36</v>
      </c>
      <c r="AT23" s="384"/>
      <c r="AU23" s="381"/>
      <c r="AV23" s="103">
        <v>36</v>
      </c>
      <c r="AW23" s="387"/>
      <c r="AX23" s="384"/>
      <c r="AY23" s="381"/>
      <c r="AZ23" s="103">
        <v>36</v>
      </c>
      <c r="BB23" s="384"/>
      <c r="BC23" s="381"/>
      <c r="BD23" s="103">
        <v>36</v>
      </c>
      <c r="BF23" s="384"/>
      <c r="BJ23" s="381"/>
      <c r="BK23" s="103">
        <v>36</v>
      </c>
      <c r="BL23" s="106"/>
      <c r="BM23" s="384"/>
      <c r="BP23" s="168"/>
      <c r="BQ23" s="103">
        <v>36</v>
      </c>
      <c r="BR23"/>
      <c r="BS23" s="384"/>
    </row>
    <row r="24" spans="5:71" ht="14.4" customHeight="1" x14ac:dyDescent="0.3">
      <c r="E24" s="188">
        <v>35</v>
      </c>
      <c r="F24" s="375" t="s">
        <v>272</v>
      </c>
      <c r="G24" s="188">
        <v>35</v>
      </c>
      <c r="H24" s="375" t="s">
        <v>273</v>
      </c>
      <c r="I24" s="188">
        <v>35</v>
      </c>
      <c r="J24" s="375" t="s">
        <v>274</v>
      </c>
      <c r="K24" s="188">
        <v>35</v>
      </c>
      <c r="L24" s="377" t="s">
        <v>275</v>
      </c>
      <c r="Q24" s="188">
        <v>35</v>
      </c>
      <c r="R24" s="377" t="s">
        <v>276</v>
      </c>
      <c r="T24" s="188">
        <v>35</v>
      </c>
      <c r="X24" s="381"/>
      <c r="Y24" s="103">
        <v>35</v>
      </c>
      <c r="Z24" s="101"/>
      <c r="AA24" s="384"/>
      <c r="AB24" s="198"/>
      <c r="AC24" s="381"/>
      <c r="AD24" s="103">
        <v>35</v>
      </c>
      <c r="AE24" s="101"/>
      <c r="AF24" s="384"/>
      <c r="AG24" s="198"/>
      <c r="AH24" s="198"/>
      <c r="AI24" s="198"/>
      <c r="AJ24" s="198"/>
      <c r="AK24" s="198"/>
      <c r="AL24" s="381"/>
      <c r="AM24" s="103">
        <v>35</v>
      </c>
      <c r="AN24" s="101"/>
      <c r="AO24" s="384"/>
      <c r="AQ24" s="381"/>
      <c r="AR24" s="103">
        <v>35</v>
      </c>
      <c r="AS24"/>
      <c r="AT24" s="384"/>
      <c r="AU24" s="381"/>
      <c r="AV24" s="103">
        <v>35</v>
      </c>
      <c r="AW24"/>
      <c r="AX24" s="384"/>
      <c r="AY24" s="381"/>
      <c r="AZ24" s="103">
        <v>35</v>
      </c>
      <c r="BA24"/>
      <c r="BB24" s="384"/>
      <c r="BC24" s="381"/>
      <c r="BD24" s="103">
        <v>35</v>
      </c>
      <c r="BE24"/>
      <c r="BF24" s="384"/>
      <c r="BJ24" s="381"/>
      <c r="BK24" s="103">
        <v>35</v>
      </c>
      <c r="BL24" s="375" t="s">
        <v>277</v>
      </c>
      <c r="BM24" s="384"/>
      <c r="BP24" s="168"/>
      <c r="BQ24" s="103">
        <v>35</v>
      </c>
      <c r="BR24"/>
      <c r="BS24" s="384"/>
    </row>
    <row r="25" spans="5:71" ht="14.4" customHeight="1" x14ac:dyDescent="0.3">
      <c r="E25" s="188">
        <v>34</v>
      </c>
      <c r="F25" s="376"/>
      <c r="G25" s="188">
        <v>34</v>
      </c>
      <c r="H25" s="376"/>
      <c r="I25" s="188">
        <v>34</v>
      </c>
      <c r="J25" s="376"/>
      <c r="K25" s="188">
        <v>34</v>
      </c>
      <c r="L25" s="378"/>
      <c r="Q25" s="188">
        <v>34</v>
      </c>
      <c r="R25" s="378"/>
      <c r="T25" s="188">
        <v>34</v>
      </c>
      <c r="X25" s="381"/>
      <c r="Y25" s="103">
        <v>34</v>
      </c>
      <c r="Z25" s="101"/>
      <c r="AA25" s="384"/>
      <c r="AB25" s="198"/>
      <c r="AC25" s="381"/>
      <c r="AD25" s="103">
        <v>34</v>
      </c>
      <c r="AE25" s="101"/>
      <c r="AF25" s="384"/>
      <c r="AG25" s="198"/>
      <c r="AH25" s="198"/>
      <c r="AI25" s="198"/>
      <c r="AJ25" s="198"/>
      <c r="AK25" s="198"/>
      <c r="AL25" s="381"/>
      <c r="AM25" s="103">
        <v>34</v>
      </c>
      <c r="AN25" s="101"/>
      <c r="AO25" s="384"/>
      <c r="AQ25" s="381"/>
      <c r="AR25" s="103">
        <v>34</v>
      </c>
      <c r="AS25" s="106"/>
      <c r="AT25" s="384"/>
      <c r="AU25" s="381"/>
      <c r="AV25" s="103">
        <v>34</v>
      </c>
      <c r="AW25" s="106"/>
      <c r="AX25" s="384"/>
      <c r="AY25" s="381"/>
      <c r="AZ25" s="103">
        <v>34</v>
      </c>
      <c r="BA25" s="106"/>
      <c r="BB25" s="384"/>
      <c r="BC25" s="381"/>
      <c r="BD25" s="103">
        <v>34</v>
      </c>
      <c r="BE25" s="106"/>
      <c r="BF25" s="384"/>
      <c r="BJ25" s="381"/>
      <c r="BK25" s="103">
        <v>34</v>
      </c>
      <c r="BL25" s="376"/>
      <c r="BM25" s="384"/>
      <c r="BP25" s="168"/>
      <c r="BQ25" s="103">
        <v>34</v>
      </c>
      <c r="BR25"/>
      <c r="BS25" s="384"/>
    </row>
    <row r="26" spans="5:71" ht="14.4" x14ac:dyDescent="0.3">
      <c r="E26" s="188">
        <v>33</v>
      </c>
      <c r="F26" s="101"/>
      <c r="G26" s="188">
        <v>33</v>
      </c>
      <c r="H26" s="101"/>
      <c r="I26" s="188">
        <v>33</v>
      </c>
      <c r="J26" s="101"/>
      <c r="K26" s="188">
        <v>33</v>
      </c>
      <c r="L26" s="181"/>
      <c r="Q26" s="188">
        <v>33</v>
      </c>
      <c r="R26"/>
      <c r="T26" s="188">
        <v>33</v>
      </c>
      <c r="U26" s="107"/>
      <c r="X26" s="381"/>
      <c r="Y26" s="103">
        <v>33</v>
      </c>
      <c r="Z26" s="101"/>
      <c r="AA26" s="384"/>
      <c r="AB26" s="198"/>
      <c r="AC26" s="381"/>
      <c r="AD26" s="103">
        <v>33</v>
      </c>
      <c r="AE26" s="101"/>
      <c r="AF26" s="384"/>
      <c r="AG26" s="198"/>
      <c r="AH26" s="198"/>
      <c r="AI26" s="198"/>
      <c r="AJ26" s="198"/>
      <c r="AK26" s="198"/>
      <c r="AL26" s="381"/>
      <c r="AM26" s="103">
        <v>33</v>
      </c>
      <c r="AN26" s="101"/>
      <c r="AO26" s="384"/>
      <c r="AQ26" s="381"/>
      <c r="AR26" s="103">
        <v>33</v>
      </c>
      <c r="AS26" s="375" t="s">
        <v>278</v>
      </c>
      <c r="AT26" s="384"/>
      <c r="AU26" s="381"/>
      <c r="AV26" s="103">
        <v>33</v>
      </c>
      <c r="AW26" s="375" t="s">
        <v>278</v>
      </c>
      <c r="AX26" s="384"/>
      <c r="AY26" s="381"/>
      <c r="AZ26" s="103">
        <v>33</v>
      </c>
      <c r="BA26" s="106"/>
      <c r="BB26" s="384"/>
      <c r="BC26" s="381"/>
      <c r="BD26" s="103">
        <v>33</v>
      </c>
      <c r="BE26" s="106"/>
      <c r="BF26" s="384"/>
      <c r="BJ26" s="381"/>
      <c r="BK26" s="103">
        <v>33</v>
      </c>
      <c r="BL26" s="106"/>
      <c r="BM26" s="384"/>
      <c r="BP26" s="168"/>
      <c r="BQ26" s="103">
        <v>33</v>
      </c>
      <c r="BR26"/>
      <c r="BS26" s="384"/>
    </row>
    <row r="27" spans="5:71" ht="14.4" customHeight="1" x14ac:dyDescent="0.3">
      <c r="E27" s="188">
        <v>32</v>
      </c>
      <c r="F27" s="375" t="s">
        <v>279</v>
      </c>
      <c r="G27" s="188">
        <v>32</v>
      </c>
      <c r="H27" s="375" t="s">
        <v>280</v>
      </c>
      <c r="I27" s="188">
        <v>32</v>
      </c>
      <c r="J27" s="375" t="s">
        <v>281</v>
      </c>
      <c r="K27" s="188">
        <v>32</v>
      </c>
      <c r="L27" s="377" t="s">
        <v>282</v>
      </c>
      <c r="Q27" s="188">
        <v>32</v>
      </c>
      <c r="R27" s="377" t="s">
        <v>283</v>
      </c>
      <c r="T27" s="188">
        <v>32</v>
      </c>
      <c r="U27" s="106"/>
      <c r="X27" s="381"/>
      <c r="Y27" s="103">
        <v>32</v>
      </c>
      <c r="Z27" s="375" t="s">
        <v>284</v>
      </c>
      <c r="AA27" s="384"/>
      <c r="AB27" s="198"/>
      <c r="AC27" s="381"/>
      <c r="AD27" s="103">
        <v>32</v>
      </c>
      <c r="AE27" s="375" t="s">
        <v>284</v>
      </c>
      <c r="AF27" s="384"/>
      <c r="AG27" s="198"/>
      <c r="AH27" s="198"/>
      <c r="AI27" s="198"/>
      <c r="AJ27" s="198"/>
      <c r="AK27" s="198"/>
      <c r="AL27" s="381"/>
      <c r="AM27" s="103">
        <v>32</v>
      </c>
      <c r="AN27" s="375" t="s">
        <v>285</v>
      </c>
      <c r="AO27" s="384"/>
      <c r="AQ27" s="381"/>
      <c r="AR27" s="103">
        <v>32</v>
      </c>
      <c r="AS27" s="376"/>
      <c r="AT27" s="384"/>
      <c r="AU27" s="381"/>
      <c r="AV27" s="103">
        <v>32</v>
      </c>
      <c r="AW27" s="376"/>
      <c r="AX27" s="384"/>
      <c r="AY27" s="381"/>
      <c r="AZ27" s="103">
        <v>32</v>
      </c>
      <c r="BA27" s="106"/>
      <c r="BB27" s="384"/>
      <c r="BC27" s="381"/>
      <c r="BD27" s="103">
        <v>32</v>
      </c>
      <c r="BE27" s="106"/>
      <c r="BF27" s="384"/>
      <c r="BJ27" s="381"/>
      <c r="BK27" s="103">
        <v>32</v>
      </c>
      <c r="BL27" s="375" t="s">
        <v>286</v>
      </c>
      <c r="BM27" s="384"/>
      <c r="BP27" s="168"/>
      <c r="BQ27" s="103">
        <v>32</v>
      </c>
      <c r="BR27"/>
      <c r="BS27" s="384"/>
    </row>
    <row r="28" spans="5:71" ht="14.4" customHeight="1" x14ac:dyDescent="0.3">
      <c r="E28" s="188">
        <v>31</v>
      </c>
      <c r="F28" s="376"/>
      <c r="G28" s="188">
        <v>31</v>
      </c>
      <c r="H28" s="376"/>
      <c r="I28" s="188">
        <v>31</v>
      </c>
      <c r="J28" s="376"/>
      <c r="K28" s="188">
        <v>31</v>
      </c>
      <c r="L28" s="378"/>
      <c r="Q28" s="188">
        <v>31</v>
      </c>
      <c r="R28" s="378"/>
      <c r="T28" s="188">
        <v>31</v>
      </c>
      <c r="U28" s="107"/>
      <c r="X28" s="381"/>
      <c r="Y28" s="103">
        <v>31</v>
      </c>
      <c r="Z28" s="376"/>
      <c r="AA28" s="384"/>
      <c r="AB28" s="198"/>
      <c r="AC28" s="381"/>
      <c r="AD28" s="103">
        <v>31</v>
      </c>
      <c r="AE28" s="376"/>
      <c r="AF28" s="384"/>
      <c r="AG28" s="198"/>
      <c r="AH28" s="198"/>
      <c r="AI28" s="198"/>
      <c r="AJ28" s="198"/>
      <c r="AK28" s="198"/>
      <c r="AL28" s="381"/>
      <c r="AM28" s="103">
        <v>31</v>
      </c>
      <c r="AN28" s="376"/>
      <c r="AO28" s="384"/>
      <c r="AQ28" s="381"/>
      <c r="AR28" s="103">
        <v>31</v>
      </c>
      <c r="AS28" s="106"/>
      <c r="AT28" s="384"/>
      <c r="AU28" s="381"/>
      <c r="AV28" s="103">
        <v>31</v>
      </c>
      <c r="AW28" s="106"/>
      <c r="AX28" s="384"/>
      <c r="AY28" s="381"/>
      <c r="AZ28" s="103">
        <v>31</v>
      </c>
      <c r="BA28" s="106"/>
      <c r="BB28" s="384"/>
      <c r="BC28" s="381"/>
      <c r="BD28" s="103">
        <v>31</v>
      </c>
      <c r="BE28" s="106"/>
      <c r="BF28" s="384"/>
      <c r="BJ28" s="381"/>
      <c r="BK28" s="103">
        <v>31</v>
      </c>
      <c r="BL28" s="376"/>
      <c r="BM28" s="384"/>
      <c r="BP28" s="168"/>
      <c r="BQ28" s="103">
        <v>31</v>
      </c>
      <c r="BR28"/>
      <c r="BS28" s="384"/>
    </row>
    <row r="29" spans="5:71" ht="14.4" x14ac:dyDescent="0.3">
      <c r="E29" s="188">
        <v>30</v>
      </c>
      <c r="F29" s="101"/>
      <c r="G29" s="188">
        <v>30</v>
      </c>
      <c r="H29" s="101"/>
      <c r="I29" s="188">
        <v>30</v>
      </c>
      <c r="J29" s="101"/>
      <c r="K29" s="188">
        <v>30</v>
      </c>
      <c r="L29" s="181"/>
      <c r="Q29" s="188">
        <v>30</v>
      </c>
      <c r="R29"/>
      <c r="T29" s="188">
        <v>30</v>
      </c>
      <c r="U29" s="107"/>
      <c r="X29" s="381"/>
      <c r="Y29" s="103">
        <v>30</v>
      </c>
      <c r="Z29" s="101"/>
      <c r="AA29" s="384"/>
      <c r="AB29" s="198"/>
      <c r="AC29" s="381"/>
      <c r="AD29" s="103">
        <v>30</v>
      </c>
      <c r="AE29" s="101"/>
      <c r="AF29" s="384"/>
      <c r="AG29" s="198"/>
      <c r="AH29" s="198"/>
      <c r="AI29" s="198"/>
      <c r="AJ29" s="198"/>
      <c r="AK29" s="198"/>
      <c r="AL29" s="381"/>
      <c r="AM29" s="103">
        <v>30</v>
      </c>
      <c r="AN29" s="101"/>
      <c r="AO29" s="384"/>
      <c r="AQ29" s="381"/>
      <c r="AR29" s="103">
        <v>30</v>
      </c>
      <c r="AS29" s="106"/>
      <c r="AT29" s="384"/>
      <c r="AU29" s="381"/>
      <c r="AV29" s="103">
        <v>30</v>
      </c>
      <c r="AW29" s="106"/>
      <c r="AX29" s="384"/>
      <c r="AY29" s="381"/>
      <c r="AZ29" s="103">
        <v>30</v>
      </c>
      <c r="BA29" s="106"/>
      <c r="BB29" s="384"/>
      <c r="BC29" s="381"/>
      <c r="BD29" s="103">
        <v>30</v>
      </c>
      <c r="BE29" s="106"/>
      <c r="BF29" s="384"/>
      <c r="BJ29" s="381"/>
      <c r="BK29" s="103">
        <v>30</v>
      </c>
      <c r="BL29" s="106"/>
      <c r="BM29" s="384"/>
      <c r="BP29" s="168"/>
      <c r="BQ29" s="103">
        <v>30</v>
      </c>
      <c r="BR29"/>
      <c r="BS29" s="384"/>
    </row>
    <row r="30" spans="5:71" ht="14.4" customHeight="1" x14ac:dyDescent="0.3">
      <c r="E30" s="188">
        <v>29</v>
      </c>
      <c r="F30" s="375" t="s">
        <v>287</v>
      </c>
      <c r="G30" s="188">
        <v>29</v>
      </c>
      <c r="H30" s="375" t="s">
        <v>288</v>
      </c>
      <c r="I30" s="188">
        <v>29</v>
      </c>
      <c r="J30" s="375" t="s">
        <v>289</v>
      </c>
      <c r="K30" s="188">
        <v>29</v>
      </c>
      <c r="L30" s="377" t="s">
        <v>290</v>
      </c>
      <c r="Q30" s="188">
        <v>29</v>
      </c>
      <c r="R30" s="377" t="s">
        <v>291</v>
      </c>
      <c r="T30" s="188">
        <v>29</v>
      </c>
      <c r="U30" s="184" t="s">
        <v>248</v>
      </c>
      <c r="X30" s="381"/>
      <c r="Y30" s="103">
        <v>29</v>
      </c>
      <c r="Z30" s="375" t="s">
        <v>292</v>
      </c>
      <c r="AA30" s="384"/>
      <c r="AB30" s="198"/>
      <c r="AC30" s="381"/>
      <c r="AD30" s="103">
        <v>29</v>
      </c>
      <c r="AE30" s="375" t="s">
        <v>292</v>
      </c>
      <c r="AF30" s="384"/>
      <c r="AG30" s="198"/>
      <c r="AH30" s="198"/>
      <c r="AI30" s="198"/>
      <c r="AJ30" s="198"/>
      <c r="AK30" s="198"/>
      <c r="AL30" s="381"/>
      <c r="AM30" s="103">
        <v>29</v>
      </c>
      <c r="AN30" s="375" t="s">
        <v>293</v>
      </c>
      <c r="AO30" s="384"/>
      <c r="AQ30" s="381"/>
      <c r="AR30" s="103">
        <v>29</v>
      </c>
      <c r="AS30" s="375" t="s">
        <v>294</v>
      </c>
      <c r="AT30" s="384"/>
      <c r="AU30" s="381"/>
      <c r="AV30" s="103">
        <v>29</v>
      </c>
      <c r="AW30" s="375" t="s">
        <v>295</v>
      </c>
      <c r="AX30" s="384"/>
      <c r="AY30" s="381"/>
      <c r="AZ30" s="103">
        <v>29</v>
      </c>
      <c r="BA30" s="375" t="s">
        <v>296</v>
      </c>
      <c r="BB30" s="384"/>
      <c r="BC30" s="381"/>
      <c r="BD30" s="103">
        <v>29</v>
      </c>
      <c r="BE30" s="375" t="s">
        <v>297</v>
      </c>
      <c r="BF30" s="384"/>
      <c r="BJ30" s="381"/>
      <c r="BK30" s="103">
        <v>29</v>
      </c>
      <c r="BL30" s="375" t="s">
        <v>298</v>
      </c>
      <c r="BM30" s="384"/>
      <c r="BP30" s="168"/>
      <c r="BQ30" s="103">
        <v>29</v>
      </c>
      <c r="BR30"/>
      <c r="BS30" s="384"/>
    </row>
    <row r="31" spans="5:71" ht="14.4" customHeight="1" x14ac:dyDescent="0.3">
      <c r="E31" s="188">
        <v>28</v>
      </c>
      <c r="F31" s="376"/>
      <c r="G31" s="188">
        <v>28</v>
      </c>
      <c r="H31" s="376"/>
      <c r="I31" s="188">
        <v>28</v>
      </c>
      <c r="J31" s="376"/>
      <c r="K31" s="188">
        <v>28</v>
      </c>
      <c r="L31" s="378"/>
      <c r="Q31" s="188">
        <v>28</v>
      </c>
      <c r="R31" s="378"/>
      <c r="T31" s="188">
        <v>28</v>
      </c>
      <c r="U31" s="184" t="s">
        <v>250</v>
      </c>
      <c r="X31" s="381"/>
      <c r="Y31" s="103">
        <v>28</v>
      </c>
      <c r="Z31" s="376"/>
      <c r="AA31" s="384"/>
      <c r="AB31" s="198"/>
      <c r="AC31" s="381"/>
      <c r="AD31" s="103">
        <v>28</v>
      </c>
      <c r="AE31" s="376"/>
      <c r="AF31" s="384"/>
      <c r="AG31" s="198"/>
      <c r="AH31" s="198"/>
      <c r="AI31" s="198"/>
      <c r="AJ31" s="198"/>
      <c r="AK31" s="198"/>
      <c r="AL31" s="381"/>
      <c r="AM31" s="103">
        <v>28</v>
      </c>
      <c r="AN31" s="376"/>
      <c r="AO31" s="384"/>
      <c r="AQ31" s="381"/>
      <c r="AR31" s="103">
        <v>28</v>
      </c>
      <c r="AS31" s="376"/>
      <c r="AT31" s="384"/>
      <c r="AU31" s="381"/>
      <c r="AV31" s="103">
        <v>28</v>
      </c>
      <c r="AW31" s="376"/>
      <c r="AX31" s="384"/>
      <c r="AY31" s="381"/>
      <c r="AZ31" s="103">
        <v>28</v>
      </c>
      <c r="BA31" s="376"/>
      <c r="BB31" s="384"/>
      <c r="BC31" s="381"/>
      <c r="BD31" s="103">
        <v>28</v>
      </c>
      <c r="BE31" s="376"/>
      <c r="BF31" s="384"/>
      <c r="BJ31" s="381"/>
      <c r="BK31" s="103">
        <v>28</v>
      </c>
      <c r="BL31" s="376"/>
      <c r="BM31" s="384"/>
      <c r="BP31" s="168"/>
      <c r="BQ31" s="103">
        <v>28</v>
      </c>
      <c r="BR31"/>
      <c r="BS31" s="384"/>
    </row>
    <row r="32" spans="5:71" ht="14.4" x14ac:dyDescent="0.3">
      <c r="E32" s="188">
        <v>27</v>
      </c>
      <c r="F32" s="101"/>
      <c r="G32" s="188">
        <v>27</v>
      </c>
      <c r="H32" s="101"/>
      <c r="I32" s="188">
        <v>27</v>
      </c>
      <c r="J32" s="101"/>
      <c r="K32" s="188">
        <v>27</v>
      </c>
      <c r="L32" s="181"/>
      <c r="Q32" s="188">
        <v>27</v>
      </c>
      <c r="R32"/>
      <c r="T32" s="188">
        <v>27</v>
      </c>
      <c r="U32" s="184" t="s">
        <v>250</v>
      </c>
      <c r="X32" s="381"/>
      <c r="Y32" s="103">
        <v>27</v>
      </c>
      <c r="Z32" s="101"/>
      <c r="AA32" s="384"/>
      <c r="AB32" s="198"/>
      <c r="AC32" s="381"/>
      <c r="AD32" s="103">
        <v>27</v>
      </c>
      <c r="AE32" s="101"/>
      <c r="AF32" s="384"/>
      <c r="AG32" s="198"/>
      <c r="AH32" s="198"/>
      <c r="AI32" s="198"/>
      <c r="AJ32" s="198"/>
      <c r="AK32" s="198"/>
      <c r="AL32" s="381"/>
      <c r="AM32" s="103">
        <v>27</v>
      </c>
      <c r="AN32" s="101"/>
      <c r="AO32" s="384"/>
      <c r="AQ32" s="381"/>
      <c r="AR32" s="103">
        <v>27</v>
      </c>
      <c r="AS32" s="106"/>
      <c r="AT32" s="384"/>
      <c r="AU32" s="381"/>
      <c r="AV32" s="103">
        <v>27</v>
      </c>
      <c r="AW32" s="106"/>
      <c r="AX32" s="384"/>
      <c r="AY32" s="381"/>
      <c r="AZ32" s="103">
        <v>27</v>
      </c>
      <c r="BA32" s="106"/>
      <c r="BB32" s="384"/>
      <c r="BC32" s="381"/>
      <c r="BD32" s="103">
        <v>27</v>
      </c>
      <c r="BE32" s="106"/>
      <c r="BF32" s="384"/>
      <c r="BJ32" s="381"/>
      <c r="BK32" s="103">
        <v>27</v>
      </c>
      <c r="BL32" s="106"/>
      <c r="BM32" s="384"/>
      <c r="BP32" s="168"/>
      <c r="BQ32" s="103">
        <v>27</v>
      </c>
      <c r="BR32"/>
      <c r="BS32" s="384"/>
    </row>
    <row r="33" spans="5:71" ht="14.4" customHeight="1" x14ac:dyDescent="0.3">
      <c r="E33" s="188">
        <v>26</v>
      </c>
      <c r="F33" s="183" t="s">
        <v>248</v>
      </c>
      <c r="G33" s="188">
        <v>26</v>
      </c>
      <c r="H33" s="183" t="s">
        <v>248</v>
      </c>
      <c r="I33" s="188">
        <v>26</v>
      </c>
      <c r="J33" s="183" t="s">
        <v>248</v>
      </c>
      <c r="K33" s="188">
        <v>26</v>
      </c>
      <c r="L33" s="184" t="s">
        <v>248</v>
      </c>
      <c r="Q33" s="188">
        <v>26</v>
      </c>
      <c r="R33" s="184" t="s">
        <v>248</v>
      </c>
      <c r="T33" s="188">
        <v>26</v>
      </c>
      <c r="U33" s="184" t="s">
        <v>250</v>
      </c>
      <c r="X33" s="381"/>
      <c r="Y33" s="103">
        <v>26</v>
      </c>
      <c r="Z33" s="375" t="s">
        <v>252</v>
      </c>
      <c r="AA33" s="384"/>
      <c r="AB33" s="198"/>
      <c r="AC33" s="381"/>
      <c r="AD33" s="103">
        <v>26</v>
      </c>
      <c r="AE33" s="375" t="s">
        <v>252</v>
      </c>
      <c r="AF33" s="384"/>
      <c r="AG33" s="198"/>
      <c r="AH33" s="198"/>
      <c r="AI33" s="198"/>
      <c r="AJ33" s="198"/>
      <c r="AK33" s="198"/>
      <c r="AL33" s="381"/>
      <c r="AM33" s="103">
        <v>26</v>
      </c>
      <c r="AN33" s="375" t="s">
        <v>299</v>
      </c>
      <c r="AO33" s="384"/>
      <c r="AQ33" s="381"/>
      <c r="AR33" s="103">
        <v>26</v>
      </c>
      <c r="AS33" s="375" t="s">
        <v>300</v>
      </c>
      <c r="AT33" s="384"/>
      <c r="AU33" s="381"/>
      <c r="AV33" s="103">
        <v>26</v>
      </c>
      <c r="AW33" s="375" t="s">
        <v>301</v>
      </c>
      <c r="AX33" s="384"/>
      <c r="AY33" s="381"/>
      <c r="AZ33" s="103">
        <v>26</v>
      </c>
      <c r="BA33" s="375" t="s">
        <v>302</v>
      </c>
      <c r="BB33" s="384"/>
      <c r="BC33" s="381"/>
      <c r="BD33" s="103">
        <v>26</v>
      </c>
      <c r="BE33" s="375" t="s">
        <v>303</v>
      </c>
      <c r="BF33" s="384"/>
      <c r="BJ33" s="381"/>
      <c r="BK33" s="103">
        <v>26</v>
      </c>
      <c r="BL33" s="375" t="s">
        <v>304</v>
      </c>
      <c r="BM33" s="384"/>
      <c r="BP33" s="168"/>
      <c r="BQ33" s="103">
        <v>26</v>
      </c>
      <c r="BR33"/>
      <c r="BS33" s="384"/>
    </row>
    <row r="34" spans="5:71" ht="14.4" customHeight="1" x14ac:dyDescent="0.3">
      <c r="E34" s="188">
        <v>25</v>
      </c>
      <c r="F34" s="183" t="s">
        <v>250</v>
      </c>
      <c r="G34" s="188">
        <v>25</v>
      </c>
      <c r="H34" s="183" t="s">
        <v>250</v>
      </c>
      <c r="I34" s="188">
        <v>25</v>
      </c>
      <c r="J34" s="183" t="s">
        <v>250</v>
      </c>
      <c r="K34" s="188">
        <v>25</v>
      </c>
      <c r="L34" s="184" t="s">
        <v>250</v>
      </c>
      <c r="Q34" s="188">
        <v>25</v>
      </c>
      <c r="R34" s="184" t="s">
        <v>250</v>
      </c>
      <c r="T34" s="188">
        <v>25</v>
      </c>
      <c r="U34" s="107"/>
      <c r="X34" s="381"/>
      <c r="Y34" s="103">
        <v>25</v>
      </c>
      <c r="Z34" s="376"/>
      <c r="AA34" s="384"/>
      <c r="AB34" s="198"/>
      <c r="AC34" s="381"/>
      <c r="AD34" s="103">
        <v>25</v>
      </c>
      <c r="AE34" s="376"/>
      <c r="AF34" s="384"/>
      <c r="AG34" s="198"/>
      <c r="AH34" s="198"/>
      <c r="AI34" s="198"/>
      <c r="AJ34" s="198"/>
      <c r="AK34" s="198"/>
      <c r="AL34" s="381"/>
      <c r="AM34" s="103">
        <v>25</v>
      </c>
      <c r="AN34" s="376"/>
      <c r="AO34" s="384"/>
      <c r="AQ34" s="381"/>
      <c r="AR34" s="103">
        <v>25</v>
      </c>
      <c r="AS34" s="376"/>
      <c r="AT34" s="384"/>
      <c r="AU34" s="381"/>
      <c r="AV34" s="103">
        <v>25</v>
      </c>
      <c r="AW34" s="376"/>
      <c r="AX34" s="384"/>
      <c r="AY34" s="381"/>
      <c r="AZ34" s="103">
        <v>25</v>
      </c>
      <c r="BA34" s="376"/>
      <c r="BB34" s="384"/>
      <c r="BC34" s="381"/>
      <c r="BD34" s="103">
        <v>25</v>
      </c>
      <c r="BE34" s="376"/>
      <c r="BF34" s="384"/>
      <c r="BJ34" s="381"/>
      <c r="BK34" s="103">
        <v>25</v>
      </c>
      <c r="BL34" s="376"/>
      <c r="BM34" s="384"/>
      <c r="BP34" s="168"/>
      <c r="BQ34" s="103">
        <v>25</v>
      </c>
      <c r="BR34"/>
      <c r="BS34" s="384"/>
    </row>
    <row r="35" spans="5:71" ht="14.4" x14ac:dyDescent="0.3">
      <c r="E35" s="188">
        <v>24</v>
      </c>
      <c r="F35" s="183" t="s">
        <v>250</v>
      </c>
      <c r="G35" s="188">
        <v>24</v>
      </c>
      <c r="H35" s="183" t="s">
        <v>250</v>
      </c>
      <c r="I35" s="188">
        <v>24</v>
      </c>
      <c r="J35" s="183" t="s">
        <v>250</v>
      </c>
      <c r="K35" s="188">
        <v>24</v>
      </c>
      <c r="L35" s="184" t="s">
        <v>250</v>
      </c>
      <c r="Q35" s="188">
        <v>24</v>
      </c>
      <c r="R35" s="184" t="s">
        <v>250</v>
      </c>
      <c r="T35" s="188">
        <v>24</v>
      </c>
      <c r="U35" s="107"/>
      <c r="X35" s="381"/>
      <c r="Y35" s="103">
        <v>24</v>
      </c>
      <c r="Z35" s="101"/>
      <c r="AA35" s="384"/>
      <c r="AB35" s="198"/>
      <c r="AC35" s="381"/>
      <c r="AD35" s="103">
        <v>24</v>
      </c>
      <c r="AE35" s="101"/>
      <c r="AF35" s="384"/>
      <c r="AG35" s="198"/>
      <c r="AH35" s="198"/>
      <c r="AI35" s="198"/>
      <c r="AJ35" s="198"/>
      <c r="AK35" s="198"/>
      <c r="AL35" s="381"/>
      <c r="AM35" s="103">
        <v>24</v>
      </c>
      <c r="AN35" s="101"/>
      <c r="AO35" s="384"/>
      <c r="AQ35" s="381"/>
      <c r="AR35" s="103">
        <v>24</v>
      </c>
      <c r="AS35" s="106"/>
      <c r="AT35" s="384"/>
      <c r="AU35" s="381"/>
      <c r="AV35" s="103">
        <v>24</v>
      </c>
      <c r="AW35" s="106"/>
      <c r="AX35" s="384"/>
      <c r="AY35" s="381"/>
      <c r="AZ35" s="103">
        <v>24</v>
      </c>
      <c r="BA35" s="106"/>
      <c r="BB35" s="384"/>
      <c r="BC35" s="381"/>
      <c r="BD35" s="103">
        <v>24</v>
      </c>
      <c r="BE35" s="106"/>
      <c r="BF35" s="384"/>
      <c r="BJ35" s="381"/>
      <c r="BK35" s="103">
        <v>24</v>
      </c>
      <c r="BL35" s="106"/>
      <c r="BM35" s="384"/>
      <c r="BP35" s="168"/>
      <c r="BQ35" s="103">
        <v>24</v>
      </c>
      <c r="BR35"/>
      <c r="BS35" s="384"/>
    </row>
    <row r="36" spans="5:71" ht="14.4" customHeight="1" x14ac:dyDescent="0.3">
      <c r="E36" s="188">
        <v>23</v>
      </c>
      <c r="F36" s="183" t="s">
        <v>250</v>
      </c>
      <c r="G36" s="188">
        <v>23</v>
      </c>
      <c r="H36" s="183" t="s">
        <v>250</v>
      </c>
      <c r="I36" s="188">
        <v>23</v>
      </c>
      <c r="J36" s="183" t="s">
        <v>250</v>
      </c>
      <c r="K36" s="188">
        <v>23</v>
      </c>
      <c r="L36" s="184" t="s">
        <v>250</v>
      </c>
      <c r="Q36" s="188">
        <v>23</v>
      </c>
      <c r="R36" s="184" t="s">
        <v>250</v>
      </c>
      <c r="T36" s="188">
        <v>23</v>
      </c>
      <c r="U36" s="106"/>
      <c r="X36" s="381"/>
      <c r="Y36" s="103">
        <v>23</v>
      </c>
      <c r="Z36" s="375" t="s">
        <v>305</v>
      </c>
      <c r="AA36" s="384"/>
      <c r="AB36" s="198"/>
      <c r="AC36" s="381"/>
      <c r="AD36" s="103">
        <v>23</v>
      </c>
      <c r="AE36" s="375" t="s">
        <v>305</v>
      </c>
      <c r="AF36" s="384"/>
      <c r="AG36" s="198"/>
      <c r="AH36" s="198"/>
      <c r="AI36" s="198"/>
      <c r="AJ36" s="198"/>
      <c r="AK36" s="198"/>
      <c r="AL36" s="381"/>
      <c r="AM36" s="103">
        <v>23</v>
      </c>
      <c r="AN36" s="375" t="s">
        <v>306</v>
      </c>
      <c r="AO36" s="384"/>
      <c r="AQ36" s="381"/>
      <c r="AR36" s="103">
        <v>23</v>
      </c>
      <c r="AS36" s="375" t="s">
        <v>307</v>
      </c>
      <c r="AT36" s="384"/>
      <c r="AU36" s="381"/>
      <c r="AV36" s="103">
        <v>23</v>
      </c>
      <c r="AW36" s="375" t="s">
        <v>308</v>
      </c>
      <c r="AX36" s="384"/>
      <c r="AY36" s="381"/>
      <c r="AZ36" s="103">
        <v>23</v>
      </c>
      <c r="BA36" s="375" t="s">
        <v>309</v>
      </c>
      <c r="BB36" s="384"/>
      <c r="BC36" s="381"/>
      <c r="BD36" s="103">
        <v>23</v>
      </c>
      <c r="BE36" s="375" t="s">
        <v>310</v>
      </c>
      <c r="BF36" s="384"/>
      <c r="BJ36" s="381"/>
      <c r="BK36" s="103">
        <v>23</v>
      </c>
      <c r="BL36" s="375" t="s">
        <v>311</v>
      </c>
      <c r="BM36" s="384"/>
      <c r="BP36" s="168"/>
      <c r="BQ36" s="103">
        <v>23</v>
      </c>
      <c r="BR36"/>
      <c r="BS36" s="384"/>
    </row>
    <row r="37" spans="5:71" ht="14.4" customHeight="1" x14ac:dyDescent="0.3">
      <c r="E37" s="188">
        <v>22</v>
      </c>
      <c r="F37" s="375" t="s">
        <v>312</v>
      </c>
      <c r="G37" s="188">
        <v>22</v>
      </c>
      <c r="H37" s="375" t="s">
        <v>313</v>
      </c>
      <c r="I37" s="188">
        <v>22</v>
      </c>
      <c r="J37" s="375" t="s">
        <v>314</v>
      </c>
      <c r="K37" s="188">
        <v>22</v>
      </c>
      <c r="L37" s="377" t="s">
        <v>315</v>
      </c>
      <c r="Q37" s="188">
        <v>22</v>
      </c>
      <c r="R37" s="377" t="s">
        <v>316</v>
      </c>
      <c r="T37" s="188">
        <v>22</v>
      </c>
      <c r="U37" s="377" t="s">
        <v>316</v>
      </c>
      <c r="X37" s="381"/>
      <c r="Y37" s="103">
        <v>22</v>
      </c>
      <c r="Z37" s="376"/>
      <c r="AA37" s="384"/>
      <c r="AB37" s="198"/>
      <c r="AC37" s="381"/>
      <c r="AD37" s="103">
        <v>22</v>
      </c>
      <c r="AE37" s="376"/>
      <c r="AF37" s="384"/>
      <c r="AG37" s="198"/>
      <c r="AH37" s="198"/>
      <c r="AI37" s="198"/>
      <c r="AJ37" s="198"/>
      <c r="AK37" s="198"/>
      <c r="AL37" s="381"/>
      <c r="AM37" s="103">
        <v>22</v>
      </c>
      <c r="AN37" s="376"/>
      <c r="AO37" s="384"/>
      <c r="AQ37" s="381"/>
      <c r="AR37" s="103">
        <v>22</v>
      </c>
      <c r="AS37" s="376"/>
      <c r="AT37" s="384"/>
      <c r="AU37" s="381"/>
      <c r="AV37" s="103">
        <v>22</v>
      </c>
      <c r="AW37" s="376"/>
      <c r="AX37" s="384"/>
      <c r="AY37" s="381"/>
      <c r="AZ37" s="103">
        <v>22</v>
      </c>
      <c r="BA37" s="376"/>
      <c r="BB37" s="384"/>
      <c r="BC37" s="381"/>
      <c r="BD37" s="103">
        <v>22</v>
      </c>
      <c r="BE37" s="376"/>
      <c r="BF37" s="384"/>
      <c r="BJ37" s="381"/>
      <c r="BK37" s="103">
        <v>22</v>
      </c>
      <c r="BL37" s="376"/>
      <c r="BM37" s="384"/>
      <c r="BP37" s="168"/>
      <c r="BQ37" s="103">
        <v>22</v>
      </c>
      <c r="BR37"/>
      <c r="BS37" s="384"/>
    </row>
    <row r="38" spans="5:71" ht="14.4" customHeight="1" x14ac:dyDescent="0.3">
      <c r="E38" s="188">
        <v>21</v>
      </c>
      <c r="F38" s="376"/>
      <c r="G38" s="188">
        <v>21</v>
      </c>
      <c r="H38" s="376"/>
      <c r="I38" s="188">
        <v>21</v>
      </c>
      <c r="J38" s="376"/>
      <c r="K38" s="188">
        <v>21</v>
      </c>
      <c r="L38" s="378"/>
      <c r="Q38" s="188">
        <v>21</v>
      </c>
      <c r="R38" s="379"/>
      <c r="T38" s="188">
        <v>21</v>
      </c>
      <c r="U38" s="379"/>
      <c r="X38" s="381"/>
      <c r="Y38" s="103">
        <v>21</v>
      </c>
      <c r="Z38" s="101"/>
      <c r="AA38" s="384"/>
      <c r="AB38" s="198"/>
      <c r="AC38" s="381"/>
      <c r="AD38" s="103">
        <v>21</v>
      </c>
      <c r="AE38" s="101"/>
      <c r="AF38" s="384"/>
      <c r="AG38" s="198"/>
      <c r="AH38" s="198"/>
      <c r="AI38" s="198"/>
      <c r="AJ38" s="198"/>
      <c r="AK38" s="198"/>
      <c r="AL38" s="381"/>
      <c r="AM38" s="103">
        <v>21</v>
      </c>
      <c r="AN38" s="101"/>
      <c r="AO38" s="384"/>
      <c r="AQ38" s="381"/>
      <c r="AR38" s="103">
        <v>21</v>
      </c>
      <c r="AS38" s="101"/>
      <c r="AT38" s="384"/>
      <c r="AU38" s="381"/>
      <c r="AV38" s="103">
        <v>21</v>
      </c>
      <c r="AW38" s="101"/>
      <c r="AX38" s="384"/>
      <c r="AY38" s="381"/>
      <c r="AZ38" s="103">
        <v>21</v>
      </c>
      <c r="BA38" s="101"/>
      <c r="BB38" s="384"/>
      <c r="BC38" s="381"/>
      <c r="BD38" s="103">
        <v>21</v>
      </c>
      <c r="BE38" s="101"/>
      <c r="BF38" s="384"/>
      <c r="BJ38" s="381"/>
      <c r="BK38" s="103">
        <v>21</v>
      </c>
      <c r="BL38" s="101"/>
      <c r="BM38" s="384"/>
      <c r="BP38" s="168"/>
      <c r="BQ38" s="103">
        <v>21</v>
      </c>
      <c r="BR38" s="101"/>
      <c r="BS38" s="384"/>
    </row>
    <row r="39" spans="5:71" ht="14.4" customHeight="1" x14ac:dyDescent="0.3">
      <c r="E39" s="188">
        <v>20</v>
      </c>
      <c r="F39" s="101"/>
      <c r="G39" s="188">
        <v>20</v>
      </c>
      <c r="H39" s="101"/>
      <c r="I39" s="188">
        <v>20</v>
      </c>
      <c r="J39" s="101"/>
      <c r="K39" s="188">
        <v>20</v>
      </c>
      <c r="L39" s="181"/>
      <c r="Q39" s="188">
        <v>20</v>
      </c>
      <c r="R39" s="181"/>
      <c r="T39" s="188">
        <v>20</v>
      </c>
      <c r="U39" s="181"/>
      <c r="X39" s="381"/>
      <c r="Y39" s="103">
        <v>20</v>
      </c>
      <c r="Z39" s="375" t="s">
        <v>317</v>
      </c>
      <c r="AA39" s="384"/>
      <c r="AB39" s="198"/>
      <c r="AC39" s="381"/>
      <c r="AD39" s="103">
        <v>20</v>
      </c>
      <c r="AE39" s="375" t="s">
        <v>317</v>
      </c>
      <c r="AF39" s="384"/>
      <c r="AG39" s="198"/>
      <c r="AH39" s="198"/>
      <c r="AI39" s="198"/>
      <c r="AJ39" s="198"/>
      <c r="AK39" s="198"/>
      <c r="AL39" s="381"/>
      <c r="AM39" s="103">
        <v>20</v>
      </c>
      <c r="AN39" s="375" t="s">
        <v>318</v>
      </c>
      <c r="AO39" s="384"/>
      <c r="AQ39" s="381"/>
      <c r="AR39" s="103">
        <v>20</v>
      </c>
      <c r="AS39" s="375" t="s">
        <v>319</v>
      </c>
      <c r="AT39" s="384"/>
      <c r="AU39" s="381"/>
      <c r="AV39" s="103">
        <v>20</v>
      </c>
      <c r="AW39" s="375" t="s">
        <v>320</v>
      </c>
      <c r="AX39" s="384"/>
      <c r="AY39" s="381"/>
      <c r="AZ39" s="103">
        <v>20</v>
      </c>
      <c r="BA39" s="375" t="s">
        <v>321</v>
      </c>
      <c r="BB39" s="384"/>
      <c r="BC39" s="381"/>
      <c r="BD39" s="103">
        <v>20</v>
      </c>
      <c r="BE39" s="375" t="s">
        <v>322</v>
      </c>
      <c r="BF39" s="384"/>
      <c r="BJ39" s="381"/>
      <c r="BK39" s="103">
        <v>20</v>
      </c>
      <c r="BL39" s="375" t="s">
        <v>323</v>
      </c>
      <c r="BM39" s="384"/>
      <c r="BP39" s="168"/>
      <c r="BQ39" s="103">
        <v>20</v>
      </c>
      <c r="BR39" s="165" t="s">
        <v>324</v>
      </c>
      <c r="BS39" s="384"/>
    </row>
    <row r="40" spans="5:71" ht="14.4" customHeight="1" x14ac:dyDescent="0.3">
      <c r="E40" s="188">
        <v>19</v>
      </c>
      <c r="F40" s="375" t="s">
        <v>325</v>
      </c>
      <c r="G40" s="188">
        <v>19</v>
      </c>
      <c r="H40" s="375" t="s">
        <v>326</v>
      </c>
      <c r="I40" s="188">
        <v>19</v>
      </c>
      <c r="J40" s="375" t="s">
        <v>327</v>
      </c>
      <c r="K40" s="188">
        <v>19</v>
      </c>
      <c r="L40" s="377" t="s">
        <v>328</v>
      </c>
      <c r="Q40" s="188">
        <v>19</v>
      </c>
      <c r="R40" s="377" t="s">
        <v>329</v>
      </c>
      <c r="T40" s="188">
        <v>19</v>
      </c>
      <c r="U40" s="377" t="s">
        <v>329</v>
      </c>
      <c r="X40" s="381"/>
      <c r="Y40" s="103">
        <v>19</v>
      </c>
      <c r="Z40" s="376"/>
      <c r="AA40" s="384"/>
      <c r="AB40" s="198"/>
      <c r="AC40" s="381"/>
      <c r="AD40" s="103">
        <v>19</v>
      </c>
      <c r="AE40" s="376"/>
      <c r="AF40" s="384"/>
      <c r="AG40" s="198"/>
      <c r="AH40" s="198"/>
      <c r="AI40" s="198"/>
      <c r="AJ40" s="198"/>
      <c r="AK40" s="198"/>
      <c r="AL40" s="381"/>
      <c r="AM40" s="103">
        <v>19</v>
      </c>
      <c r="AN40" s="376"/>
      <c r="AO40" s="384"/>
      <c r="AQ40" s="381"/>
      <c r="AR40" s="103">
        <v>19</v>
      </c>
      <c r="AS40" s="376"/>
      <c r="AT40" s="384"/>
      <c r="AU40" s="381"/>
      <c r="AV40" s="103">
        <v>19</v>
      </c>
      <c r="AW40" s="376"/>
      <c r="AX40" s="384"/>
      <c r="AY40" s="381"/>
      <c r="AZ40" s="103">
        <v>19</v>
      </c>
      <c r="BA40" s="376"/>
      <c r="BB40" s="384"/>
      <c r="BC40" s="381"/>
      <c r="BD40" s="103">
        <v>19</v>
      </c>
      <c r="BE40" s="376"/>
      <c r="BF40" s="384"/>
      <c r="BJ40" s="381"/>
      <c r="BK40" s="103">
        <v>19</v>
      </c>
      <c r="BL40" s="376"/>
      <c r="BM40" s="384"/>
      <c r="BP40" s="168"/>
      <c r="BQ40" s="103">
        <v>19</v>
      </c>
      <c r="BR40" s="165" t="s">
        <v>330</v>
      </c>
      <c r="BS40" s="384"/>
    </row>
    <row r="41" spans="5:71" ht="14.4" customHeight="1" x14ac:dyDescent="0.3">
      <c r="E41" s="188">
        <v>18</v>
      </c>
      <c r="F41" s="376"/>
      <c r="G41" s="188">
        <v>18</v>
      </c>
      <c r="H41" s="376"/>
      <c r="I41" s="188">
        <v>18</v>
      </c>
      <c r="J41" s="376"/>
      <c r="K41" s="188">
        <v>18</v>
      </c>
      <c r="L41" s="378"/>
      <c r="Q41" s="188">
        <v>18</v>
      </c>
      <c r="R41" s="379"/>
      <c r="T41" s="188">
        <v>18</v>
      </c>
      <c r="U41" s="379"/>
      <c r="X41" s="381"/>
      <c r="Y41" s="103">
        <v>18</v>
      </c>
      <c r="Z41" s="101"/>
      <c r="AA41" s="384"/>
      <c r="AB41" s="198"/>
      <c r="AC41" s="381"/>
      <c r="AD41" s="103">
        <v>18</v>
      </c>
      <c r="AE41" s="101"/>
      <c r="AF41" s="384"/>
      <c r="AG41" s="198"/>
      <c r="AH41" s="198"/>
      <c r="AI41" s="198"/>
      <c r="AJ41" s="198"/>
      <c r="AK41" s="198"/>
      <c r="AL41" s="381"/>
      <c r="AM41" s="103">
        <v>18</v>
      </c>
      <c r="AN41" s="101"/>
      <c r="AO41" s="384"/>
      <c r="AQ41" s="381"/>
      <c r="AR41" s="103">
        <v>18</v>
      </c>
      <c r="AS41" s="101"/>
      <c r="AT41" s="384"/>
      <c r="AU41" s="381"/>
      <c r="AV41" s="103">
        <v>18</v>
      </c>
      <c r="AW41" s="101"/>
      <c r="AX41" s="384"/>
      <c r="AY41" s="381"/>
      <c r="AZ41" s="103">
        <v>18</v>
      </c>
      <c r="BA41" s="101"/>
      <c r="BB41" s="384"/>
      <c r="BC41" s="381"/>
      <c r="BD41" s="103">
        <v>18</v>
      </c>
      <c r="BE41" s="101"/>
      <c r="BF41" s="384"/>
      <c r="BJ41" s="381"/>
      <c r="BK41" s="103">
        <v>18</v>
      </c>
      <c r="BL41" s="101"/>
      <c r="BM41" s="384"/>
      <c r="BP41" s="168"/>
      <c r="BQ41" s="103">
        <v>18</v>
      </c>
      <c r="BR41" s="165" t="s">
        <v>331</v>
      </c>
      <c r="BS41" s="384"/>
    </row>
    <row r="42" spans="5:71" ht="14.4" customHeight="1" x14ac:dyDescent="0.3">
      <c r="E42" s="188">
        <v>17</v>
      </c>
      <c r="F42" s="101"/>
      <c r="G42" s="188">
        <v>17</v>
      </c>
      <c r="H42" s="101"/>
      <c r="I42" s="188">
        <v>17</v>
      </c>
      <c r="J42" s="101"/>
      <c r="K42" s="188">
        <v>17</v>
      </c>
      <c r="L42" s="181"/>
      <c r="Q42" s="188">
        <v>17</v>
      </c>
      <c r="R42" s="181"/>
      <c r="T42" s="188">
        <v>17</v>
      </c>
      <c r="U42" s="181"/>
      <c r="X42" s="381"/>
      <c r="Y42" s="103">
        <v>17</v>
      </c>
      <c r="Z42" s="375" t="s">
        <v>332</v>
      </c>
      <c r="AA42" s="384"/>
      <c r="AB42" s="198"/>
      <c r="AC42" s="381"/>
      <c r="AD42" s="103">
        <v>17</v>
      </c>
      <c r="AE42" s="375" t="s">
        <v>332</v>
      </c>
      <c r="AF42" s="384"/>
      <c r="AG42" s="198"/>
      <c r="AH42" s="198"/>
      <c r="AI42" s="198"/>
      <c r="AJ42" s="198"/>
      <c r="AK42" s="198"/>
      <c r="AL42" s="381"/>
      <c r="AM42" s="103">
        <v>17</v>
      </c>
      <c r="AN42" s="375" t="s">
        <v>333</v>
      </c>
      <c r="AO42" s="384"/>
      <c r="AQ42" s="381"/>
      <c r="AR42" s="103">
        <v>17</v>
      </c>
      <c r="AS42" s="375" t="s">
        <v>334</v>
      </c>
      <c r="AT42" s="384"/>
      <c r="AU42" s="381"/>
      <c r="AV42" s="103">
        <v>17</v>
      </c>
      <c r="AW42" s="375" t="s">
        <v>335</v>
      </c>
      <c r="AX42" s="384"/>
      <c r="AY42" s="381"/>
      <c r="AZ42" s="103">
        <v>17</v>
      </c>
      <c r="BA42" s="375" t="s">
        <v>336</v>
      </c>
      <c r="BB42" s="384"/>
      <c r="BC42" s="381"/>
      <c r="BD42" s="103">
        <v>17</v>
      </c>
      <c r="BE42" s="375" t="s">
        <v>337</v>
      </c>
      <c r="BF42" s="384"/>
      <c r="BJ42" s="381"/>
      <c r="BK42" s="103">
        <v>17</v>
      </c>
      <c r="BL42" s="375" t="s">
        <v>338</v>
      </c>
      <c r="BM42" s="384"/>
      <c r="BP42" s="168"/>
      <c r="BQ42" s="103">
        <v>17</v>
      </c>
      <c r="BR42" s="165" t="s">
        <v>339</v>
      </c>
      <c r="BS42" s="384"/>
    </row>
    <row r="43" spans="5:71" ht="14.4" customHeight="1" x14ac:dyDescent="0.3">
      <c r="E43" s="188">
        <v>16</v>
      </c>
      <c r="F43" s="375" t="s">
        <v>340</v>
      </c>
      <c r="G43" s="188">
        <v>16</v>
      </c>
      <c r="H43" s="375" t="s">
        <v>341</v>
      </c>
      <c r="I43" s="188">
        <v>16</v>
      </c>
      <c r="J43" s="375" t="s">
        <v>342</v>
      </c>
      <c r="K43" s="188">
        <v>16</v>
      </c>
      <c r="L43" s="377" t="s">
        <v>343</v>
      </c>
      <c r="Q43" s="188">
        <v>16</v>
      </c>
      <c r="R43" s="377" t="s">
        <v>344</v>
      </c>
      <c r="T43" s="188">
        <v>16</v>
      </c>
      <c r="U43" s="377" t="s">
        <v>344</v>
      </c>
      <c r="X43" s="381"/>
      <c r="Y43" s="103">
        <v>16</v>
      </c>
      <c r="Z43" s="376"/>
      <c r="AA43" s="384"/>
      <c r="AB43" s="198"/>
      <c r="AC43" s="381"/>
      <c r="AD43" s="103">
        <v>16</v>
      </c>
      <c r="AE43" s="376"/>
      <c r="AF43" s="384"/>
      <c r="AG43" s="198"/>
      <c r="AH43" s="198"/>
      <c r="AI43" s="198"/>
      <c r="AJ43" s="198"/>
      <c r="AK43" s="198"/>
      <c r="AL43" s="381"/>
      <c r="AM43" s="103">
        <v>16</v>
      </c>
      <c r="AN43" s="376"/>
      <c r="AO43" s="384"/>
      <c r="AQ43" s="381"/>
      <c r="AR43" s="103">
        <v>16</v>
      </c>
      <c r="AS43" s="376"/>
      <c r="AT43" s="384"/>
      <c r="AU43" s="381"/>
      <c r="AV43" s="103">
        <v>16</v>
      </c>
      <c r="AW43" s="376"/>
      <c r="AX43" s="384"/>
      <c r="AY43" s="381"/>
      <c r="AZ43" s="103">
        <v>16</v>
      </c>
      <c r="BA43" s="376"/>
      <c r="BB43" s="384"/>
      <c r="BC43" s="381"/>
      <c r="BD43" s="103">
        <v>16</v>
      </c>
      <c r="BE43" s="376"/>
      <c r="BF43" s="384"/>
      <c r="BJ43" s="381"/>
      <c r="BK43" s="103">
        <v>16</v>
      </c>
      <c r="BL43" s="376"/>
      <c r="BM43" s="384"/>
      <c r="BP43" s="168"/>
      <c r="BQ43" s="103">
        <v>16</v>
      </c>
      <c r="BR43" s="165" t="s">
        <v>345</v>
      </c>
      <c r="BS43" s="384"/>
    </row>
    <row r="44" spans="5:71" ht="14.4" customHeight="1" x14ac:dyDescent="0.3">
      <c r="E44" s="188">
        <v>15</v>
      </c>
      <c r="F44" s="376"/>
      <c r="G44" s="188">
        <v>15</v>
      </c>
      <c r="H44" s="376"/>
      <c r="I44" s="188">
        <v>15</v>
      </c>
      <c r="J44" s="376"/>
      <c r="K44" s="188">
        <v>15</v>
      </c>
      <c r="L44" s="378"/>
      <c r="Q44" s="188">
        <v>15</v>
      </c>
      <c r="R44" s="378"/>
      <c r="T44" s="188">
        <v>15</v>
      </c>
      <c r="U44" s="378"/>
      <c r="X44" s="381"/>
      <c r="Y44" s="103">
        <v>15</v>
      </c>
      <c r="Z44" s="101"/>
      <c r="AA44" s="384"/>
      <c r="AB44" s="198"/>
      <c r="AC44" s="381"/>
      <c r="AD44" s="103">
        <v>15</v>
      </c>
      <c r="AE44" s="101"/>
      <c r="AF44" s="384"/>
      <c r="AG44" s="198"/>
      <c r="AH44" s="198"/>
      <c r="AI44" s="198"/>
      <c r="AJ44" s="198"/>
      <c r="AK44" s="198"/>
      <c r="AL44" s="381"/>
      <c r="AM44" s="103">
        <v>15</v>
      </c>
      <c r="AN44" s="101"/>
      <c r="AO44" s="384"/>
      <c r="AQ44" s="381"/>
      <c r="AR44" s="103">
        <v>15</v>
      </c>
      <c r="AS44" s="101"/>
      <c r="AT44" s="384"/>
      <c r="AU44" s="381"/>
      <c r="AV44" s="103">
        <v>15</v>
      </c>
      <c r="AW44" s="101"/>
      <c r="AX44" s="384"/>
      <c r="AY44" s="381"/>
      <c r="AZ44" s="103">
        <v>15</v>
      </c>
      <c r="BA44" s="101"/>
      <c r="BB44" s="384"/>
      <c r="BC44" s="381"/>
      <c r="BD44" s="103">
        <v>15</v>
      </c>
      <c r="BE44" s="101"/>
      <c r="BF44" s="384"/>
      <c r="BJ44" s="381"/>
      <c r="BK44" s="103">
        <v>15</v>
      </c>
      <c r="BL44" s="101"/>
      <c r="BM44" s="384"/>
      <c r="BP44" s="168"/>
      <c r="BQ44" s="103">
        <v>15</v>
      </c>
      <c r="BR44" s="165" t="s">
        <v>346</v>
      </c>
      <c r="BS44" s="384"/>
    </row>
    <row r="45" spans="5:71" ht="14.4" customHeight="1" x14ac:dyDescent="0.3">
      <c r="E45" s="188">
        <v>14</v>
      </c>
      <c r="F45" s="101"/>
      <c r="G45" s="188">
        <v>14</v>
      </c>
      <c r="H45" s="101"/>
      <c r="I45" s="188">
        <v>14</v>
      </c>
      <c r="J45" s="101"/>
      <c r="K45" s="188">
        <v>14</v>
      </c>
      <c r="L45" s="181"/>
      <c r="Q45" s="188">
        <v>14</v>
      </c>
      <c r="R45" s="181"/>
      <c r="T45" s="188">
        <v>14</v>
      </c>
      <c r="U45" s="181"/>
      <c r="X45" s="381"/>
      <c r="Y45" s="103">
        <v>14</v>
      </c>
      <c r="Z45" s="375" t="s">
        <v>347</v>
      </c>
      <c r="AA45" s="384"/>
      <c r="AB45" s="198"/>
      <c r="AC45" s="381"/>
      <c r="AD45" s="103">
        <v>14</v>
      </c>
      <c r="AE45" s="375" t="s">
        <v>347</v>
      </c>
      <c r="AF45" s="384"/>
      <c r="AG45" s="198"/>
      <c r="AH45" s="198"/>
      <c r="AI45" s="198"/>
      <c r="AJ45" s="198"/>
      <c r="AK45" s="198"/>
      <c r="AL45" s="381"/>
      <c r="AM45" s="103">
        <v>14</v>
      </c>
      <c r="AN45" s="375" t="s">
        <v>348</v>
      </c>
      <c r="AO45" s="384"/>
      <c r="AQ45" s="381"/>
      <c r="AR45" s="103">
        <v>14</v>
      </c>
      <c r="AS45" s="375" t="s">
        <v>349</v>
      </c>
      <c r="AT45" s="384"/>
      <c r="AU45" s="381"/>
      <c r="AV45" s="103">
        <v>14</v>
      </c>
      <c r="AW45" s="375" t="s">
        <v>350</v>
      </c>
      <c r="AX45" s="384"/>
      <c r="AY45" s="381"/>
      <c r="AZ45" s="103">
        <v>14</v>
      </c>
      <c r="BA45" s="375" t="s">
        <v>351</v>
      </c>
      <c r="BB45" s="384"/>
      <c r="BC45" s="381"/>
      <c r="BD45" s="103">
        <v>14</v>
      </c>
      <c r="BE45" s="375" t="s">
        <v>352</v>
      </c>
      <c r="BF45" s="384"/>
      <c r="BJ45" s="381"/>
      <c r="BK45" s="103">
        <v>14</v>
      </c>
      <c r="BL45" s="375" t="s">
        <v>353</v>
      </c>
      <c r="BM45" s="384"/>
      <c r="BP45" s="168"/>
      <c r="BQ45" s="103">
        <v>14</v>
      </c>
      <c r="BR45" s="165" t="s">
        <v>354</v>
      </c>
      <c r="BS45" s="384"/>
    </row>
    <row r="46" spans="5:71" ht="14.4" customHeight="1" x14ac:dyDescent="0.3">
      <c r="E46" s="188">
        <v>13</v>
      </c>
      <c r="F46" s="375" t="s">
        <v>355</v>
      </c>
      <c r="G46" s="188">
        <v>13</v>
      </c>
      <c r="H46" s="375" t="s">
        <v>356</v>
      </c>
      <c r="I46" s="188">
        <v>13</v>
      </c>
      <c r="J46" s="375" t="s">
        <v>357</v>
      </c>
      <c r="K46" s="188">
        <v>13</v>
      </c>
      <c r="L46" s="377" t="s">
        <v>358</v>
      </c>
      <c r="Q46" s="188">
        <v>13</v>
      </c>
      <c r="R46" s="377" t="s">
        <v>359</v>
      </c>
      <c r="T46" s="188">
        <v>13</v>
      </c>
      <c r="U46" s="377" t="s">
        <v>359</v>
      </c>
      <c r="X46" s="381"/>
      <c r="Y46" s="103">
        <v>13</v>
      </c>
      <c r="Z46" s="376"/>
      <c r="AA46" s="384"/>
      <c r="AB46" s="198"/>
      <c r="AC46" s="381"/>
      <c r="AD46" s="103">
        <v>13</v>
      </c>
      <c r="AE46" s="376"/>
      <c r="AF46" s="384"/>
      <c r="AG46" s="198"/>
      <c r="AH46" s="198"/>
      <c r="AI46" s="198"/>
      <c r="AJ46" s="198"/>
      <c r="AK46" s="198"/>
      <c r="AL46" s="381"/>
      <c r="AM46" s="103">
        <v>13</v>
      </c>
      <c r="AN46" s="376"/>
      <c r="AO46" s="384"/>
      <c r="AQ46" s="381"/>
      <c r="AR46" s="103">
        <v>13</v>
      </c>
      <c r="AS46" s="376"/>
      <c r="AT46" s="384"/>
      <c r="AU46" s="381"/>
      <c r="AV46" s="103">
        <v>13</v>
      </c>
      <c r="AW46" s="376"/>
      <c r="AX46" s="384"/>
      <c r="AY46" s="381"/>
      <c r="AZ46" s="103">
        <v>13</v>
      </c>
      <c r="BA46" s="376"/>
      <c r="BB46" s="384"/>
      <c r="BC46" s="381"/>
      <c r="BD46" s="103">
        <v>13</v>
      </c>
      <c r="BE46" s="376"/>
      <c r="BF46" s="384"/>
      <c r="BJ46" s="381"/>
      <c r="BK46" s="103">
        <v>13</v>
      </c>
      <c r="BL46" s="376"/>
      <c r="BM46" s="384"/>
      <c r="BP46" s="168"/>
      <c r="BQ46" s="103">
        <v>13</v>
      </c>
      <c r="BR46" s="165" t="s">
        <v>360</v>
      </c>
      <c r="BS46" s="384"/>
    </row>
    <row r="47" spans="5:71" ht="14.4" customHeight="1" x14ac:dyDescent="0.3">
      <c r="E47" s="188">
        <v>12</v>
      </c>
      <c r="F47" s="376"/>
      <c r="G47" s="188">
        <v>12</v>
      </c>
      <c r="H47" s="376"/>
      <c r="I47" s="188">
        <v>12</v>
      </c>
      <c r="J47" s="376"/>
      <c r="K47" s="188">
        <v>12</v>
      </c>
      <c r="L47" s="378"/>
      <c r="Q47" s="188">
        <v>12</v>
      </c>
      <c r="R47" s="378"/>
      <c r="T47" s="188">
        <v>12</v>
      </c>
      <c r="U47" s="378"/>
      <c r="X47" s="381"/>
      <c r="Y47" s="103">
        <v>12</v>
      </c>
      <c r="Z47" s="101"/>
      <c r="AA47" s="384"/>
      <c r="AB47" s="198"/>
      <c r="AC47" s="381"/>
      <c r="AD47" s="103">
        <v>12</v>
      </c>
      <c r="AE47" s="101"/>
      <c r="AF47" s="384"/>
      <c r="AG47" s="198"/>
      <c r="AH47" s="198"/>
      <c r="AI47" s="198"/>
      <c r="AJ47" s="198"/>
      <c r="AK47" s="198"/>
      <c r="AL47" s="381"/>
      <c r="AM47" s="103">
        <v>12</v>
      </c>
      <c r="AN47" s="101"/>
      <c r="AO47" s="384"/>
      <c r="AQ47" s="381"/>
      <c r="AR47" s="103">
        <v>12</v>
      </c>
      <c r="AS47" s="101"/>
      <c r="AT47" s="384"/>
      <c r="AU47" s="381"/>
      <c r="AV47" s="103">
        <v>12</v>
      </c>
      <c r="AW47" s="101"/>
      <c r="AX47" s="384"/>
      <c r="AY47" s="381"/>
      <c r="AZ47" s="103">
        <v>12</v>
      </c>
      <c r="BA47" s="101"/>
      <c r="BB47" s="384"/>
      <c r="BC47" s="381"/>
      <c r="BD47" s="103">
        <v>12</v>
      </c>
      <c r="BE47" s="101"/>
      <c r="BF47" s="384"/>
      <c r="BJ47" s="381"/>
      <c r="BK47" s="103">
        <v>12</v>
      </c>
      <c r="BL47" s="101"/>
      <c r="BM47" s="384"/>
      <c r="BP47" s="168"/>
      <c r="BQ47" s="103">
        <v>12</v>
      </c>
      <c r="BR47" s="165" t="s">
        <v>361</v>
      </c>
      <c r="BS47" s="384"/>
    </row>
    <row r="48" spans="5:71" ht="14.4" customHeight="1" x14ac:dyDescent="0.3">
      <c r="E48" s="188">
        <v>11</v>
      </c>
      <c r="F48" s="170" t="s">
        <v>362</v>
      </c>
      <c r="G48" s="188">
        <v>11</v>
      </c>
      <c r="H48" s="170" t="s">
        <v>362</v>
      </c>
      <c r="I48" s="188">
        <v>11</v>
      </c>
      <c r="J48" s="170" t="s">
        <v>362</v>
      </c>
      <c r="K48" s="188">
        <v>11</v>
      </c>
      <c r="L48" s="191" t="s">
        <v>362</v>
      </c>
      <c r="Q48" s="188">
        <v>11</v>
      </c>
      <c r="R48" s="191" t="s">
        <v>362</v>
      </c>
      <c r="T48" s="188">
        <v>11</v>
      </c>
      <c r="U48" s="191" t="s">
        <v>362</v>
      </c>
      <c r="X48" s="381"/>
      <c r="Y48" s="103">
        <v>11</v>
      </c>
      <c r="Z48" s="375" t="s">
        <v>363</v>
      </c>
      <c r="AA48" s="384"/>
      <c r="AB48" s="198"/>
      <c r="AC48" s="381"/>
      <c r="AD48" s="103">
        <v>11</v>
      </c>
      <c r="AE48" s="375" t="s">
        <v>363</v>
      </c>
      <c r="AF48" s="384"/>
      <c r="AG48" s="198"/>
      <c r="AH48" s="198"/>
      <c r="AI48" s="198"/>
      <c r="AJ48" s="198"/>
      <c r="AK48" s="198"/>
      <c r="AL48" s="381"/>
      <c r="AM48" s="103">
        <v>11</v>
      </c>
      <c r="AN48" s="375" t="s">
        <v>364</v>
      </c>
      <c r="AO48" s="384"/>
      <c r="AQ48" s="381"/>
      <c r="AR48" s="103">
        <v>11</v>
      </c>
      <c r="AS48" s="144"/>
      <c r="AT48" s="384"/>
      <c r="AU48" s="381"/>
      <c r="AV48" s="103">
        <v>11</v>
      </c>
      <c r="AW48" s="144"/>
      <c r="AX48" s="384"/>
      <c r="AY48" s="381"/>
      <c r="AZ48" s="103">
        <v>11</v>
      </c>
      <c r="BA48" s="144"/>
      <c r="BB48" s="384"/>
      <c r="BC48" s="381"/>
      <c r="BD48" s="103">
        <v>11</v>
      </c>
      <c r="BE48" s="144"/>
      <c r="BF48" s="384"/>
      <c r="BJ48" s="381"/>
      <c r="BK48" s="103">
        <v>11</v>
      </c>
      <c r="BL48" s="144"/>
      <c r="BM48" s="384"/>
      <c r="BP48" s="168"/>
      <c r="BQ48" s="103">
        <v>11</v>
      </c>
      <c r="BR48" s="165" t="s">
        <v>365</v>
      </c>
      <c r="BS48" s="384"/>
    </row>
    <row r="49" spans="5:71" ht="14.4" customHeight="1" x14ac:dyDescent="0.3">
      <c r="E49" s="188">
        <v>10</v>
      </c>
      <c r="F49" s="192" t="s">
        <v>258</v>
      </c>
      <c r="G49" s="188">
        <v>10</v>
      </c>
      <c r="H49" s="192" t="s">
        <v>258</v>
      </c>
      <c r="I49" s="188">
        <v>10</v>
      </c>
      <c r="J49" s="192" t="s">
        <v>258</v>
      </c>
      <c r="K49" s="188">
        <v>10</v>
      </c>
      <c r="L49" s="193" t="s">
        <v>258</v>
      </c>
      <c r="Q49" s="188">
        <v>10</v>
      </c>
      <c r="R49" s="193" t="s">
        <v>258</v>
      </c>
      <c r="T49" s="188">
        <v>10</v>
      </c>
      <c r="U49" s="193" t="s">
        <v>258</v>
      </c>
      <c r="X49" s="381"/>
      <c r="Y49" s="103">
        <v>10</v>
      </c>
      <c r="Z49" s="376"/>
      <c r="AA49" s="384"/>
      <c r="AB49" s="198"/>
      <c r="AC49" s="381"/>
      <c r="AD49" s="103">
        <v>10</v>
      </c>
      <c r="AE49" s="376"/>
      <c r="AF49" s="384"/>
      <c r="AG49" s="198"/>
      <c r="AH49" s="198"/>
      <c r="AI49" s="198"/>
      <c r="AJ49" s="198"/>
      <c r="AK49" s="198"/>
      <c r="AL49" s="381"/>
      <c r="AM49" s="103">
        <v>10</v>
      </c>
      <c r="AN49" s="376"/>
      <c r="AO49" s="384"/>
      <c r="AQ49" s="381"/>
      <c r="AR49" s="103">
        <v>10</v>
      </c>
      <c r="AT49" s="384"/>
      <c r="AU49" s="381"/>
      <c r="AV49" s="103">
        <v>10</v>
      </c>
      <c r="AX49" s="384"/>
      <c r="AY49" s="381"/>
      <c r="AZ49" s="103">
        <v>10</v>
      </c>
      <c r="BB49" s="384"/>
      <c r="BC49" s="381"/>
      <c r="BD49" s="103">
        <v>10</v>
      </c>
      <c r="BF49" s="384"/>
      <c r="BJ49" s="381"/>
      <c r="BK49" s="103">
        <v>10</v>
      </c>
      <c r="BM49" s="384"/>
      <c r="BP49" s="168"/>
      <c r="BQ49" s="103">
        <v>10</v>
      </c>
      <c r="BR49" s="165" t="s">
        <v>366</v>
      </c>
      <c r="BS49" s="384"/>
    </row>
    <row r="50" spans="5:71" ht="14.4" customHeight="1" x14ac:dyDescent="0.3">
      <c r="E50" s="188">
        <v>9</v>
      </c>
      <c r="F50" s="186" t="s">
        <v>258</v>
      </c>
      <c r="G50" s="188">
        <v>9</v>
      </c>
      <c r="H50" s="186" t="s">
        <v>258</v>
      </c>
      <c r="I50" s="188">
        <v>9</v>
      </c>
      <c r="J50" s="186" t="s">
        <v>258</v>
      </c>
      <c r="K50" s="188">
        <v>9</v>
      </c>
      <c r="L50" s="187" t="s">
        <v>258</v>
      </c>
      <c r="Q50" s="188">
        <v>9</v>
      </c>
      <c r="R50" s="187" t="s">
        <v>258</v>
      </c>
      <c r="T50" s="188">
        <v>9</v>
      </c>
      <c r="U50" s="187" t="s">
        <v>258</v>
      </c>
      <c r="X50" s="381"/>
      <c r="Y50" s="103">
        <v>9</v>
      </c>
      <c r="Z50" s="101"/>
      <c r="AA50" s="384"/>
      <c r="AB50" s="198"/>
      <c r="AC50" s="381"/>
      <c r="AD50" s="103">
        <v>9</v>
      </c>
      <c r="AE50" s="101"/>
      <c r="AF50" s="384"/>
      <c r="AG50" s="198"/>
      <c r="AH50" s="198"/>
      <c r="AI50" s="198"/>
      <c r="AJ50" s="198"/>
      <c r="AK50" s="198"/>
      <c r="AL50" s="381"/>
      <c r="AM50" s="103">
        <v>9</v>
      </c>
      <c r="AN50" s="101"/>
      <c r="AO50" s="384"/>
      <c r="AQ50" s="381"/>
      <c r="AR50" s="103">
        <v>9</v>
      </c>
      <c r="AS50" s="101"/>
      <c r="AT50" s="384"/>
      <c r="AU50" s="381"/>
      <c r="AV50" s="103">
        <v>9</v>
      </c>
      <c r="AW50" s="101"/>
      <c r="AX50" s="384"/>
      <c r="AY50" s="381"/>
      <c r="AZ50" s="103">
        <v>9</v>
      </c>
      <c r="BA50" s="101"/>
      <c r="BB50" s="384"/>
      <c r="BC50" s="381"/>
      <c r="BD50" s="103">
        <v>9</v>
      </c>
      <c r="BE50" s="101"/>
      <c r="BF50" s="384"/>
      <c r="BJ50" s="381"/>
      <c r="BK50" s="103">
        <v>9</v>
      </c>
      <c r="BL50" s="101"/>
      <c r="BM50" s="384"/>
      <c r="BP50" s="168"/>
      <c r="BQ50" s="103">
        <v>9</v>
      </c>
      <c r="BR50" s="165" t="s">
        <v>367</v>
      </c>
      <c r="BS50" s="384"/>
    </row>
    <row r="51" spans="5:71" ht="14.4" customHeight="1" x14ac:dyDescent="0.3">
      <c r="E51" s="188">
        <v>8</v>
      </c>
      <c r="F51" s="101"/>
      <c r="G51" s="188">
        <v>8</v>
      </c>
      <c r="H51" s="101"/>
      <c r="I51" s="188">
        <v>8</v>
      </c>
      <c r="J51" s="101"/>
      <c r="K51" s="188">
        <v>8</v>
      </c>
      <c r="L51" s="181"/>
      <c r="Q51" s="188">
        <v>8</v>
      </c>
      <c r="R51" s="181"/>
      <c r="T51" s="188">
        <v>8</v>
      </c>
      <c r="U51" s="181"/>
      <c r="X51" s="381"/>
      <c r="Y51" s="103">
        <v>8</v>
      </c>
      <c r="Z51" s="375" t="s">
        <v>368</v>
      </c>
      <c r="AA51" s="384"/>
      <c r="AB51" s="198"/>
      <c r="AC51" s="381"/>
      <c r="AD51" s="103">
        <v>8</v>
      </c>
      <c r="AE51" s="375" t="s">
        <v>368</v>
      </c>
      <c r="AF51" s="384"/>
      <c r="AG51" s="198"/>
      <c r="AH51" s="198"/>
      <c r="AI51" s="198"/>
      <c r="AJ51" s="198"/>
      <c r="AK51" s="198"/>
      <c r="AL51" s="381"/>
      <c r="AM51" s="103">
        <v>8</v>
      </c>
      <c r="AN51" s="375" t="s">
        <v>369</v>
      </c>
      <c r="AO51" s="384"/>
      <c r="AQ51" s="381"/>
      <c r="AR51" s="103">
        <v>8</v>
      </c>
      <c r="AT51" s="384"/>
      <c r="AU51" s="381"/>
      <c r="AV51" s="103">
        <v>8</v>
      </c>
      <c r="AX51" s="384"/>
      <c r="AY51" s="381"/>
      <c r="AZ51" s="103">
        <v>8</v>
      </c>
      <c r="BB51" s="384"/>
      <c r="BC51" s="381"/>
      <c r="BD51" s="103">
        <v>8</v>
      </c>
      <c r="BF51" s="384"/>
      <c r="BJ51" s="381"/>
      <c r="BK51" s="103">
        <v>8</v>
      </c>
      <c r="BM51" s="384"/>
      <c r="BP51" s="168"/>
      <c r="BQ51" s="103">
        <v>8</v>
      </c>
      <c r="BR51" s="165" t="s">
        <v>370</v>
      </c>
      <c r="BS51" s="384"/>
    </row>
    <row r="52" spans="5:71" ht="14.4" customHeight="1" x14ac:dyDescent="0.3">
      <c r="E52" s="188">
        <v>7</v>
      </c>
      <c r="F52" s="101"/>
      <c r="G52" s="188">
        <v>7</v>
      </c>
      <c r="H52" s="101"/>
      <c r="I52" s="188">
        <v>7</v>
      </c>
      <c r="J52" s="101"/>
      <c r="K52" s="188">
        <v>7</v>
      </c>
      <c r="L52" s="181"/>
      <c r="Q52" s="188">
        <v>7</v>
      </c>
      <c r="R52" s="181"/>
      <c r="T52" s="188">
        <v>7</v>
      </c>
      <c r="U52" s="107"/>
      <c r="X52" s="381"/>
      <c r="Y52" s="103">
        <v>7</v>
      </c>
      <c r="Z52" s="376"/>
      <c r="AA52" s="384"/>
      <c r="AB52" s="198"/>
      <c r="AC52" s="381"/>
      <c r="AD52" s="103">
        <v>7</v>
      </c>
      <c r="AE52" s="376"/>
      <c r="AF52" s="384"/>
      <c r="AG52" s="198"/>
      <c r="AH52" s="198"/>
      <c r="AI52" s="198"/>
      <c r="AJ52" s="198"/>
      <c r="AK52" s="198"/>
      <c r="AL52" s="381"/>
      <c r="AM52" s="103">
        <v>7</v>
      </c>
      <c r="AN52" s="376"/>
      <c r="AO52" s="384"/>
      <c r="AQ52" s="381"/>
      <c r="AR52" s="103">
        <v>7</v>
      </c>
      <c r="AS52" s="101"/>
      <c r="AT52" s="384"/>
      <c r="AU52" s="381"/>
      <c r="AV52" s="103">
        <v>7</v>
      </c>
      <c r="AW52" s="101"/>
      <c r="AX52" s="384"/>
      <c r="AY52" s="381"/>
      <c r="AZ52" s="103">
        <v>7</v>
      </c>
      <c r="BA52" s="101"/>
      <c r="BB52" s="384"/>
      <c r="BC52" s="381"/>
      <c r="BD52" s="103">
        <v>7</v>
      </c>
      <c r="BE52" s="101"/>
      <c r="BF52" s="384"/>
      <c r="BJ52" s="381"/>
      <c r="BK52" s="103">
        <v>7</v>
      </c>
      <c r="BL52" s="101"/>
      <c r="BM52" s="384"/>
      <c r="BP52" s="168"/>
      <c r="BQ52" s="103">
        <v>7</v>
      </c>
      <c r="BR52" s="165" t="s">
        <v>371</v>
      </c>
      <c r="BS52" s="384"/>
    </row>
    <row r="53" spans="5:71" ht="14.4" customHeight="1" x14ac:dyDescent="0.3">
      <c r="E53" s="188">
        <v>6</v>
      </c>
      <c r="F53" s="101"/>
      <c r="G53" s="188">
        <v>6</v>
      </c>
      <c r="H53" s="101"/>
      <c r="I53" s="188">
        <v>6</v>
      </c>
      <c r="J53" s="101"/>
      <c r="K53" s="188">
        <v>6</v>
      </c>
      <c r="L53" s="181"/>
      <c r="Q53" s="188">
        <v>6</v>
      </c>
      <c r="R53" s="181"/>
      <c r="T53" s="188">
        <v>6</v>
      </c>
      <c r="U53" s="107"/>
      <c r="X53" s="381"/>
      <c r="Y53" s="103">
        <v>6</v>
      </c>
      <c r="Z53" s="101"/>
      <c r="AA53" s="384"/>
      <c r="AB53" s="198"/>
      <c r="AC53" s="381"/>
      <c r="AD53" s="103">
        <v>6</v>
      </c>
      <c r="AE53" s="101"/>
      <c r="AF53" s="384"/>
      <c r="AG53" s="198"/>
      <c r="AH53" s="198"/>
      <c r="AI53" s="198"/>
      <c r="AJ53" s="198"/>
      <c r="AK53" s="198"/>
      <c r="AL53" s="381"/>
      <c r="AM53" s="103">
        <v>6</v>
      </c>
      <c r="AN53" s="101"/>
      <c r="AO53" s="384"/>
      <c r="AQ53" s="381"/>
      <c r="AR53" s="103">
        <v>6</v>
      </c>
      <c r="AS53" s="101"/>
      <c r="AT53" s="384"/>
      <c r="AU53" s="381"/>
      <c r="AV53" s="103">
        <v>6</v>
      </c>
      <c r="AW53" s="101"/>
      <c r="AX53" s="384"/>
      <c r="AY53" s="381"/>
      <c r="AZ53" s="103">
        <v>6</v>
      </c>
      <c r="BA53" s="101"/>
      <c r="BB53" s="384"/>
      <c r="BC53" s="381"/>
      <c r="BD53" s="103">
        <v>6</v>
      </c>
      <c r="BE53" s="101"/>
      <c r="BF53" s="384"/>
      <c r="BJ53" s="381"/>
      <c r="BK53" s="103">
        <v>6</v>
      </c>
      <c r="BL53" s="101"/>
      <c r="BM53" s="384"/>
      <c r="BP53" s="168"/>
      <c r="BQ53" s="103">
        <v>6</v>
      </c>
      <c r="BR53" s="165" t="s">
        <v>372</v>
      </c>
      <c r="BS53" s="384"/>
    </row>
    <row r="54" spans="5:71" ht="14.4" customHeight="1" x14ac:dyDescent="0.3">
      <c r="E54" s="188">
        <v>5</v>
      </c>
      <c r="F54" s="101"/>
      <c r="G54" s="188">
        <v>5</v>
      </c>
      <c r="H54" s="101"/>
      <c r="I54" s="188">
        <v>5</v>
      </c>
      <c r="J54" s="101"/>
      <c r="K54" s="188">
        <v>5</v>
      </c>
      <c r="L54" s="101"/>
      <c r="Q54" s="188">
        <v>5</v>
      </c>
      <c r="R54" s="181"/>
      <c r="T54" s="188">
        <v>5</v>
      </c>
      <c r="U54" s="107"/>
      <c r="X54" s="381"/>
      <c r="Y54" s="103">
        <v>5</v>
      </c>
      <c r="Z54" s="101"/>
      <c r="AA54" s="384"/>
      <c r="AB54" s="198"/>
      <c r="AC54" s="381"/>
      <c r="AD54" s="103">
        <v>5</v>
      </c>
      <c r="AE54" s="101"/>
      <c r="AF54" s="384"/>
      <c r="AG54" s="198"/>
      <c r="AH54" s="198"/>
      <c r="AI54" s="198"/>
      <c r="AJ54" s="198"/>
      <c r="AK54" s="198"/>
      <c r="AL54" s="381"/>
      <c r="AM54" s="103">
        <v>5</v>
      </c>
      <c r="AN54" s="101"/>
      <c r="AO54" s="384"/>
      <c r="AQ54" s="381"/>
      <c r="AR54" s="103">
        <v>5</v>
      </c>
      <c r="AS54" s="101"/>
      <c r="AT54" s="384"/>
      <c r="AU54" s="381"/>
      <c r="AV54" s="103">
        <v>5</v>
      </c>
      <c r="AW54" s="101"/>
      <c r="AX54" s="384"/>
      <c r="AY54" s="381"/>
      <c r="AZ54" s="103">
        <v>5</v>
      </c>
      <c r="BA54" s="101"/>
      <c r="BB54" s="384"/>
      <c r="BC54" s="381"/>
      <c r="BD54" s="103">
        <v>5</v>
      </c>
      <c r="BE54" s="101"/>
      <c r="BF54" s="384"/>
      <c r="BJ54" s="381"/>
      <c r="BK54" s="103">
        <v>5</v>
      </c>
      <c r="BL54" s="101"/>
      <c r="BM54" s="384"/>
      <c r="BP54" s="168"/>
      <c r="BQ54" s="103">
        <v>5</v>
      </c>
      <c r="BR54" s="165" t="s">
        <v>373</v>
      </c>
      <c r="BS54" s="384"/>
    </row>
    <row r="55" spans="5:71" ht="14.4" customHeight="1" x14ac:dyDescent="0.3">
      <c r="E55" s="188">
        <v>4</v>
      </c>
      <c r="F55" s="101"/>
      <c r="G55" s="188">
        <v>4</v>
      </c>
      <c r="H55" s="101"/>
      <c r="I55" s="188">
        <v>4</v>
      </c>
      <c r="J55" s="101"/>
      <c r="K55" s="188">
        <v>4</v>
      </c>
      <c r="L55" s="101"/>
      <c r="Q55" s="188">
        <v>4</v>
      </c>
      <c r="R55" s="181"/>
      <c r="T55" s="188">
        <v>4</v>
      </c>
      <c r="U55" s="107"/>
      <c r="X55" s="381"/>
      <c r="Y55" s="103">
        <v>4</v>
      </c>
      <c r="Z55" s="101"/>
      <c r="AA55" s="384"/>
      <c r="AB55" s="198"/>
      <c r="AC55" s="381"/>
      <c r="AD55" s="103">
        <v>4</v>
      </c>
      <c r="AE55" s="101"/>
      <c r="AF55" s="384"/>
      <c r="AG55" s="198"/>
      <c r="AH55" s="198"/>
      <c r="AI55" s="198"/>
      <c r="AJ55" s="198"/>
      <c r="AK55" s="198"/>
      <c r="AL55" s="381"/>
      <c r="AM55" s="103">
        <v>4</v>
      </c>
      <c r="AN55" s="101"/>
      <c r="AO55" s="384"/>
      <c r="AQ55" s="381"/>
      <c r="AR55" s="103">
        <v>4</v>
      </c>
      <c r="AS55" s="101"/>
      <c r="AT55" s="384"/>
      <c r="AU55" s="381"/>
      <c r="AV55" s="103">
        <v>4</v>
      </c>
      <c r="AW55" s="101"/>
      <c r="AX55" s="384"/>
      <c r="AY55" s="381"/>
      <c r="AZ55" s="103">
        <v>4</v>
      </c>
      <c r="BA55" s="101"/>
      <c r="BB55" s="384"/>
      <c r="BC55" s="381"/>
      <c r="BD55" s="103">
        <v>4</v>
      </c>
      <c r="BE55" s="101"/>
      <c r="BF55" s="384"/>
      <c r="BJ55" s="381"/>
      <c r="BK55" s="103">
        <v>4</v>
      </c>
      <c r="BL55" s="101"/>
      <c r="BM55" s="384"/>
      <c r="BP55" s="168"/>
      <c r="BQ55" s="103">
        <v>4</v>
      </c>
      <c r="BR55"/>
      <c r="BS55" s="384"/>
    </row>
    <row r="56" spans="5:71" ht="14.4" customHeight="1" x14ac:dyDescent="0.3">
      <c r="E56" s="188">
        <v>3</v>
      </c>
      <c r="F56" s="101"/>
      <c r="G56" s="188">
        <v>3</v>
      </c>
      <c r="H56" s="101"/>
      <c r="I56" s="188">
        <v>3</v>
      </c>
      <c r="J56" s="101"/>
      <c r="K56" s="188">
        <v>3</v>
      </c>
      <c r="L56" s="101"/>
      <c r="Q56" s="188">
        <v>3</v>
      </c>
      <c r="R56" s="181"/>
      <c r="T56" s="188">
        <v>3</v>
      </c>
      <c r="U56" s="107"/>
      <c r="X56" s="381"/>
      <c r="Y56" s="103">
        <v>3</v>
      </c>
      <c r="Z56" s="101"/>
      <c r="AA56" s="384"/>
      <c r="AB56" s="198"/>
      <c r="AC56" s="381"/>
      <c r="AD56" s="103">
        <v>3</v>
      </c>
      <c r="AE56" s="101"/>
      <c r="AF56" s="384"/>
      <c r="AG56" s="198"/>
      <c r="AH56" s="198"/>
      <c r="AI56" s="198"/>
      <c r="AJ56" s="198"/>
      <c r="AK56" s="198"/>
      <c r="AL56" s="381"/>
      <c r="AM56" s="103">
        <v>3</v>
      </c>
      <c r="AN56" s="101"/>
      <c r="AO56" s="384"/>
      <c r="AQ56" s="381"/>
      <c r="AR56" s="103">
        <v>3</v>
      </c>
      <c r="AS56" s="101"/>
      <c r="AT56" s="384"/>
      <c r="AU56" s="381"/>
      <c r="AV56" s="103">
        <v>3</v>
      </c>
      <c r="AW56" s="101"/>
      <c r="AX56" s="384"/>
      <c r="AY56" s="381"/>
      <c r="AZ56" s="103">
        <v>3</v>
      </c>
      <c r="BA56" s="101"/>
      <c r="BB56" s="384"/>
      <c r="BC56" s="381"/>
      <c r="BD56" s="103">
        <v>3</v>
      </c>
      <c r="BE56" s="101"/>
      <c r="BF56" s="384"/>
      <c r="BJ56" s="381"/>
      <c r="BK56" s="103">
        <v>3</v>
      </c>
      <c r="BL56" s="101"/>
      <c r="BM56" s="384"/>
      <c r="BP56" s="168"/>
      <c r="BQ56" s="103">
        <v>3</v>
      </c>
      <c r="BR56" s="101"/>
      <c r="BS56" s="384"/>
    </row>
    <row r="57" spans="5:71" ht="14.4" customHeight="1" x14ac:dyDescent="0.3">
      <c r="E57" s="188">
        <v>2</v>
      </c>
      <c r="F57" s="101"/>
      <c r="G57" s="188">
        <v>2</v>
      </c>
      <c r="H57" s="101"/>
      <c r="I57" s="188">
        <v>2</v>
      </c>
      <c r="J57" s="101"/>
      <c r="K57" s="188">
        <v>2</v>
      </c>
      <c r="L57" s="101"/>
      <c r="Q57" s="188">
        <v>2</v>
      </c>
      <c r="R57" s="181"/>
      <c r="T57" s="188">
        <v>2</v>
      </c>
      <c r="U57" s="101"/>
      <c r="X57" s="381"/>
      <c r="Y57" s="103">
        <v>2</v>
      </c>
      <c r="Z57" s="101"/>
      <c r="AA57" s="384"/>
      <c r="AB57" s="198"/>
      <c r="AC57" s="381"/>
      <c r="AD57" s="103">
        <v>2</v>
      </c>
      <c r="AE57" s="101"/>
      <c r="AF57" s="384"/>
      <c r="AG57" s="198"/>
      <c r="AH57" s="198"/>
      <c r="AI57" s="198"/>
      <c r="AJ57" s="198"/>
      <c r="AK57" s="198"/>
      <c r="AL57" s="381"/>
      <c r="AM57" s="103">
        <v>2</v>
      </c>
      <c r="AN57" s="101"/>
      <c r="AO57" s="384"/>
      <c r="AQ57" s="381"/>
      <c r="AR57" s="103">
        <v>2</v>
      </c>
      <c r="AS57" s="101"/>
      <c r="AT57" s="384"/>
      <c r="AU57" s="381"/>
      <c r="AV57" s="103">
        <v>2</v>
      </c>
      <c r="AW57" s="101"/>
      <c r="AX57" s="384"/>
      <c r="AY57" s="381"/>
      <c r="AZ57" s="103">
        <v>2</v>
      </c>
      <c r="BA57" s="101"/>
      <c r="BB57" s="384"/>
      <c r="BC57" s="381"/>
      <c r="BD57" s="103">
        <v>2</v>
      </c>
      <c r="BE57" s="101"/>
      <c r="BF57" s="384"/>
      <c r="BJ57" s="381"/>
      <c r="BK57" s="103">
        <v>2</v>
      </c>
      <c r="BL57" s="101"/>
      <c r="BM57" s="384"/>
      <c r="BP57" s="168"/>
      <c r="BQ57" s="103">
        <v>2</v>
      </c>
      <c r="BR57" s="101"/>
      <c r="BS57" s="384"/>
    </row>
    <row r="58" spans="5:71" ht="14.7" customHeight="1" x14ac:dyDescent="0.3">
      <c r="E58" s="194">
        <v>1</v>
      </c>
      <c r="F58" s="101"/>
      <c r="G58" s="194">
        <v>1</v>
      </c>
      <c r="H58" s="101"/>
      <c r="I58" s="194">
        <v>1</v>
      </c>
      <c r="J58" s="101"/>
      <c r="K58" s="194">
        <v>1</v>
      </c>
      <c r="L58" s="101"/>
      <c r="Q58" s="194">
        <v>1</v>
      </c>
      <c r="R58" s="181"/>
      <c r="T58" s="194">
        <v>1</v>
      </c>
      <c r="U58" s="101"/>
      <c r="X58" s="382"/>
      <c r="Y58" s="104">
        <v>1</v>
      </c>
      <c r="Z58" s="145"/>
      <c r="AA58" s="385"/>
      <c r="AB58" s="199"/>
      <c r="AC58" s="382"/>
      <c r="AD58" s="104">
        <v>1</v>
      </c>
      <c r="AE58" s="145"/>
      <c r="AF58" s="385"/>
      <c r="AG58" s="199"/>
      <c r="AH58" s="199"/>
      <c r="AI58" s="199"/>
      <c r="AJ58" s="199"/>
      <c r="AK58" s="199"/>
      <c r="AL58" s="382"/>
      <c r="AM58" s="104">
        <v>1</v>
      </c>
      <c r="AN58" s="145"/>
      <c r="AO58" s="385"/>
      <c r="AQ58" s="382"/>
      <c r="AR58" s="104">
        <v>1</v>
      </c>
      <c r="AS58" s="145"/>
      <c r="AT58" s="385"/>
      <c r="AU58" s="382"/>
      <c r="AV58" s="104">
        <v>1</v>
      </c>
      <c r="AW58" s="145"/>
      <c r="AX58" s="385"/>
      <c r="AY58" s="382"/>
      <c r="AZ58" s="104">
        <v>1</v>
      </c>
      <c r="BA58" s="145"/>
      <c r="BB58" s="385"/>
      <c r="BC58" s="382"/>
      <c r="BD58" s="104">
        <v>1</v>
      </c>
      <c r="BE58" s="145"/>
      <c r="BF58" s="385"/>
      <c r="BJ58" s="382"/>
      <c r="BK58" s="104">
        <v>1</v>
      </c>
      <c r="BL58" s="145"/>
      <c r="BM58" s="385"/>
      <c r="BP58" s="169"/>
      <c r="BQ58" s="104">
        <v>1</v>
      </c>
      <c r="BR58" s="145"/>
      <c r="BS58" s="385"/>
    </row>
    <row r="59" spans="5:71" ht="14.4" x14ac:dyDescent="0.3">
      <c r="Y59" s="27" t="s">
        <v>374</v>
      </c>
      <c r="Z59" s="27" t="s">
        <v>62</v>
      </c>
      <c r="AD59" s="27" t="s">
        <v>374</v>
      </c>
      <c r="AE59" s="27" t="s">
        <v>62</v>
      </c>
      <c r="AM59" s="27" t="s">
        <v>374</v>
      </c>
      <c r="AN59" s="27" t="s">
        <v>62</v>
      </c>
      <c r="AR59" s="27" t="s">
        <v>374</v>
      </c>
      <c r="AS59" s="27" t="s">
        <v>62</v>
      </c>
      <c r="AV59" s="27" t="s">
        <v>374</v>
      </c>
      <c r="AW59" s="27" t="s">
        <v>62</v>
      </c>
      <c r="AZ59" s="27" t="s">
        <v>374</v>
      </c>
      <c r="BA59" s="27" t="s">
        <v>62</v>
      </c>
      <c r="BD59" s="27" t="s">
        <v>374</v>
      </c>
      <c r="BE59" s="27" t="s">
        <v>62</v>
      </c>
      <c r="BK59" s="27" t="s">
        <v>374</v>
      </c>
      <c r="BL59" s="27" t="s">
        <v>62</v>
      </c>
      <c r="BQ59" s="27" t="s">
        <v>374</v>
      </c>
      <c r="BR59" s="27" t="s">
        <v>62</v>
      </c>
    </row>
  </sheetData>
  <mergeCells count="127">
    <mergeCell ref="AE51:AE52"/>
    <mergeCell ref="Z48:Z49"/>
    <mergeCell ref="AN48:AN49"/>
    <mergeCell ref="Z51:Z52"/>
    <mergeCell ref="AN51:AN52"/>
    <mergeCell ref="R21:R22"/>
    <mergeCell ref="R24:R25"/>
    <mergeCell ref="R27:R28"/>
    <mergeCell ref="R30:R31"/>
    <mergeCell ref="Z42:Z43"/>
    <mergeCell ref="AN42:AN43"/>
    <mergeCell ref="U37:U38"/>
    <mergeCell ref="U40:U41"/>
    <mergeCell ref="U43:U44"/>
    <mergeCell ref="U46:U47"/>
    <mergeCell ref="Z36:Z37"/>
    <mergeCell ref="AN36:AN37"/>
    <mergeCell ref="AC11:AC58"/>
    <mergeCell ref="AF11:AF58"/>
    <mergeCell ref="AE27:AE28"/>
    <mergeCell ref="AE30:AE31"/>
    <mergeCell ref="AE33:AE34"/>
    <mergeCell ref="AE36:AE37"/>
    <mergeCell ref="Z45:Z46"/>
    <mergeCell ref="AN45:AN46"/>
    <mergeCell ref="AS45:AS46"/>
    <mergeCell ref="AW45:AW46"/>
    <mergeCell ref="BA45:BA46"/>
    <mergeCell ref="BE45:BE46"/>
    <mergeCell ref="BL45:BL46"/>
    <mergeCell ref="AE45:AE46"/>
    <mergeCell ref="AE48:AE49"/>
    <mergeCell ref="Z39:Z40"/>
    <mergeCell ref="AN39:AN40"/>
    <mergeCell ref="AS39:AS40"/>
    <mergeCell ref="AW39:AW40"/>
    <mergeCell ref="BA39:BA40"/>
    <mergeCell ref="BE39:BE40"/>
    <mergeCell ref="BL39:BL40"/>
    <mergeCell ref="AE39:AE40"/>
    <mergeCell ref="AE42:AE43"/>
    <mergeCell ref="BE42:BE43"/>
    <mergeCell ref="BL42:BL43"/>
    <mergeCell ref="BM11:BM58"/>
    <mergeCell ref="AT11:AT58"/>
    <mergeCell ref="AU11:AU58"/>
    <mergeCell ref="AS26:AS27"/>
    <mergeCell ref="BB11:BB58"/>
    <mergeCell ref="BC11:BC58"/>
    <mergeCell ref="BF11:BF58"/>
    <mergeCell ref="BJ11:BJ58"/>
    <mergeCell ref="AS30:AS31"/>
    <mergeCell ref="BA36:BA37"/>
    <mergeCell ref="AS42:AS43"/>
    <mergeCell ref="AW42:AW43"/>
    <mergeCell ref="BA42:BA43"/>
    <mergeCell ref="BE36:BE37"/>
    <mergeCell ref="BL36:BL37"/>
    <mergeCell ref="Z33:Z34"/>
    <mergeCell ref="AN33:AN34"/>
    <mergeCell ref="AS33:AS34"/>
    <mergeCell ref="BS11:BS58"/>
    <mergeCell ref="BR14:BR15"/>
    <mergeCell ref="BR17:BR18"/>
    <mergeCell ref="BL18:BL19"/>
    <mergeCell ref="BL21:BL22"/>
    <mergeCell ref="AW22:AW23"/>
    <mergeCell ref="BL24:BL25"/>
    <mergeCell ref="AW26:AW27"/>
    <mergeCell ref="BL27:BL28"/>
    <mergeCell ref="AW30:AW31"/>
    <mergeCell ref="BA30:BA31"/>
    <mergeCell ref="BE30:BE31"/>
    <mergeCell ref="BL30:BL31"/>
    <mergeCell ref="AW33:AW34"/>
    <mergeCell ref="BA33:BA34"/>
    <mergeCell ref="BE33:BE34"/>
    <mergeCell ref="BL33:BL34"/>
    <mergeCell ref="AX11:AX58"/>
    <mergeCell ref="AY11:AY58"/>
    <mergeCell ref="AS36:AS37"/>
    <mergeCell ref="AW36:AW37"/>
    <mergeCell ref="F21:F22"/>
    <mergeCell ref="H21:H22"/>
    <mergeCell ref="J21:J22"/>
    <mergeCell ref="L21:L22"/>
    <mergeCell ref="X11:X58"/>
    <mergeCell ref="AA11:AA58"/>
    <mergeCell ref="AL11:AL58"/>
    <mergeCell ref="AO11:AO58"/>
    <mergeCell ref="AQ11:AQ58"/>
    <mergeCell ref="Z27:Z28"/>
    <mergeCell ref="AN27:AN28"/>
    <mergeCell ref="Z30:Z31"/>
    <mergeCell ref="AN30:AN31"/>
    <mergeCell ref="F24:F25"/>
    <mergeCell ref="H24:H25"/>
    <mergeCell ref="J24:J25"/>
    <mergeCell ref="L24:L25"/>
    <mergeCell ref="F30:F31"/>
    <mergeCell ref="H30:H31"/>
    <mergeCell ref="J30:J31"/>
    <mergeCell ref="L30:L31"/>
    <mergeCell ref="F27:F28"/>
    <mergeCell ref="H27:H28"/>
    <mergeCell ref="J27:J28"/>
    <mergeCell ref="L27:L28"/>
    <mergeCell ref="F40:F41"/>
    <mergeCell ref="H40:H41"/>
    <mergeCell ref="J40:J41"/>
    <mergeCell ref="L40:L41"/>
    <mergeCell ref="R40:R41"/>
    <mergeCell ref="F37:F38"/>
    <mergeCell ref="H37:H38"/>
    <mergeCell ref="J37:J38"/>
    <mergeCell ref="L37:L38"/>
    <mergeCell ref="R37:R38"/>
    <mergeCell ref="F43:F44"/>
    <mergeCell ref="H43:H44"/>
    <mergeCell ref="J43:J44"/>
    <mergeCell ref="L43:L44"/>
    <mergeCell ref="R43:R44"/>
    <mergeCell ref="F46:F47"/>
    <mergeCell ref="H46:H47"/>
    <mergeCell ref="J46:J47"/>
    <mergeCell ref="L46:L47"/>
    <mergeCell ref="R46:R4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08DA-E8C8-4D5C-BA92-1167494E587F}">
  <dimension ref="A1:J48"/>
  <sheetViews>
    <sheetView topLeftCell="A39" zoomScale="130" zoomScaleNormal="130" workbookViewId="0">
      <selection activeCell="A46" sqref="A46"/>
    </sheetView>
  </sheetViews>
  <sheetFormatPr defaultRowHeight="14.4" x14ac:dyDescent="0.3"/>
  <cols>
    <col min="1" max="1" width="20.5546875" customWidth="1"/>
    <col min="2" max="2" width="66.88671875" customWidth="1"/>
    <col min="3" max="3" width="17.77734375" bestFit="1" customWidth="1"/>
    <col min="4" max="4" width="9.109375" bestFit="1" customWidth="1"/>
    <col min="5" max="5" width="14.109375" bestFit="1" customWidth="1"/>
    <col min="6" max="6" width="9.109375" bestFit="1" customWidth="1"/>
    <col min="7" max="7" width="15.88671875" customWidth="1"/>
  </cols>
  <sheetData>
    <row r="1" spans="1:7" ht="15" customHeight="1" x14ac:dyDescent="0.3">
      <c r="E1" s="388" t="s">
        <v>375</v>
      </c>
      <c r="F1" s="388"/>
      <c r="G1" s="388"/>
    </row>
    <row r="2" spans="1:7" x14ac:dyDescent="0.3">
      <c r="A2" s="213" t="s">
        <v>376</v>
      </c>
      <c r="B2" s="213"/>
      <c r="C2" s="213"/>
      <c r="D2" s="213"/>
      <c r="E2" s="214">
        <f>E16+E23+E31+E42</f>
        <v>47480.51</v>
      </c>
      <c r="G2" s="214">
        <f>G16+G23+G31+G42</f>
        <v>60269.480303030308</v>
      </c>
    </row>
    <row r="3" spans="1:7" x14ac:dyDescent="0.3">
      <c r="A3" s="215"/>
      <c r="B3" s="215"/>
      <c r="C3" s="215"/>
      <c r="D3" s="215"/>
      <c r="E3" s="215"/>
    </row>
    <row r="4" spans="1:7" x14ac:dyDescent="0.3">
      <c r="A4" s="216" t="s">
        <v>377</v>
      </c>
      <c r="B4" s="217"/>
      <c r="C4" s="218" t="s">
        <v>378</v>
      </c>
      <c r="D4" s="218" t="s">
        <v>379</v>
      </c>
      <c r="E4" s="219" t="s">
        <v>380</v>
      </c>
    </row>
    <row r="5" spans="1:7" x14ac:dyDescent="0.3">
      <c r="A5" s="220" t="s">
        <v>381</v>
      </c>
      <c r="B5" s="221" t="s">
        <v>382</v>
      </c>
      <c r="C5" s="222">
        <v>4941</v>
      </c>
      <c r="D5" s="223">
        <v>1</v>
      </c>
      <c r="E5" s="224">
        <f t="shared" ref="E5:E15" si="0">C5*D5</f>
        <v>4941</v>
      </c>
    </row>
    <row r="6" spans="1:7" x14ac:dyDescent="0.3">
      <c r="A6" s="225" t="s">
        <v>383</v>
      </c>
      <c r="B6" s="226" t="s">
        <v>383</v>
      </c>
      <c r="C6" s="227">
        <v>50</v>
      </c>
      <c r="D6" s="228">
        <v>1</v>
      </c>
      <c r="E6" s="229">
        <f t="shared" si="0"/>
        <v>50</v>
      </c>
    </row>
    <row r="7" spans="1:7" ht="28.8" x14ac:dyDescent="0.3">
      <c r="A7" s="225" t="s">
        <v>384</v>
      </c>
      <c r="B7" s="230" t="s">
        <v>385</v>
      </c>
      <c r="C7" s="231">
        <v>3995</v>
      </c>
      <c r="D7" s="232">
        <v>1</v>
      </c>
      <c r="E7" s="229">
        <f t="shared" si="0"/>
        <v>3995</v>
      </c>
    </row>
    <row r="8" spans="1:7" x14ac:dyDescent="0.3">
      <c r="A8" s="220" t="s">
        <v>386</v>
      </c>
      <c r="B8" s="233" t="s">
        <v>387</v>
      </c>
      <c r="C8" s="234">
        <v>11408</v>
      </c>
      <c r="D8" s="235">
        <v>1</v>
      </c>
      <c r="E8" s="229">
        <f t="shared" si="0"/>
        <v>11408</v>
      </c>
    </row>
    <row r="9" spans="1:7" x14ac:dyDescent="0.3">
      <c r="A9" s="236" t="s">
        <v>388</v>
      </c>
      <c r="B9" s="237" t="s">
        <v>389</v>
      </c>
      <c r="C9" s="234">
        <v>150</v>
      </c>
      <c r="D9" s="235">
        <v>0</v>
      </c>
      <c r="E9" s="229">
        <f t="shared" si="0"/>
        <v>0</v>
      </c>
    </row>
    <row r="10" spans="1:7" x14ac:dyDescent="0.3">
      <c r="A10" s="220" t="s">
        <v>390</v>
      </c>
      <c r="B10" s="233" t="s">
        <v>391</v>
      </c>
      <c r="C10" s="234">
        <v>1234</v>
      </c>
      <c r="D10" s="235">
        <v>1</v>
      </c>
      <c r="E10" s="229">
        <f t="shared" si="0"/>
        <v>1234</v>
      </c>
    </row>
    <row r="11" spans="1:7" ht="28.8" x14ac:dyDescent="0.3">
      <c r="A11" s="225" t="s">
        <v>392</v>
      </c>
      <c r="B11" s="230" t="s">
        <v>393</v>
      </c>
      <c r="C11" s="231">
        <v>83.16</v>
      </c>
      <c r="D11" s="232">
        <v>15</v>
      </c>
      <c r="E11" s="229">
        <f t="shared" si="0"/>
        <v>1247.3999999999999</v>
      </c>
    </row>
    <row r="12" spans="1:7" x14ac:dyDescent="0.3">
      <c r="A12" s="220" t="s">
        <v>394</v>
      </c>
      <c r="B12" s="233" t="s">
        <v>395</v>
      </c>
      <c r="C12" s="234">
        <v>12.88</v>
      </c>
      <c r="D12" s="235">
        <v>15</v>
      </c>
      <c r="E12" s="229">
        <f t="shared" si="0"/>
        <v>193.20000000000002</v>
      </c>
    </row>
    <row r="13" spans="1:7" x14ac:dyDescent="0.3">
      <c r="A13" s="220" t="s">
        <v>396</v>
      </c>
      <c r="B13" s="233" t="s">
        <v>397</v>
      </c>
      <c r="C13" s="234">
        <v>47.7</v>
      </c>
      <c r="D13" s="235">
        <v>4</v>
      </c>
      <c r="E13" s="229">
        <f t="shared" si="0"/>
        <v>190.8</v>
      </c>
    </row>
    <row r="14" spans="1:7" x14ac:dyDescent="0.3">
      <c r="A14" s="220" t="s">
        <v>398</v>
      </c>
      <c r="B14" s="238" t="s">
        <v>399</v>
      </c>
      <c r="C14" s="234">
        <v>936</v>
      </c>
      <c r="D14" s="235">
        <v>1</v>
      </c>
      <c r="E14" s="229">
        <f t="shared" si="0"/>
        <v>936</v>
      </c>
    </row>
    <row r="15" spans="1:7" x14ac:dyDescent="0.3">
      <c r="A15" s="220" t="s">
        <v>400</v>
      </c>
      <c r="B15" s="239" t="s">
        <v>401</v>
      </c>
      <c r="C15" s="234">
        <v>2000</v>
      </c>
      <c r="D15" s="235">
        <v>1</v>
      </c>
      <c r="E15" s="229">
        <f t="shared" si="0"/>
        <v>2000</v>
      </c>
    </row>
    <row r="16" spans="1:7" x14ac:dyDescent="0.3">
      <c r="A16" s="240"/>
      <c r="B16" s="241" t="s">
        <v>402</v>
      </c>
      <c r="C16" s="242"/>
      <c r="D16" s="243"/>
      <c r="E16" s="244">
        <f>SUM(E5:E15)</f>
        <v>26195.4</v>
      </c>
      <c r="F16" s="245">
        <v>0.12</v>
      </c>
      <c r="G16" s="246">
        <f>E16/(1-F16)</f>
        <v>29767.5</v>
      </c>
    </row>
    <row r="17" spans="1:10" x14ac:dyDescent="0.3">
      <c r="A17" s="240"/>
      <c r="B17" s="247"/>
      <c r="C17" s="242"/>
      <c r="D17" s="243"/>
      <c r="E17" s="243"/>
    </row>
    <row r="18" spans="1:10" x14ac:dyDescent="0.3">
      <c r="A18" s="389" t="s">
        <v>403</v>
      </c>
      <c r="B18" s="390"/>
      <c r="C18" s="243"/>
      <c r="D18" s="243"/>
      <c r="E18" s="243"/>
    </row>
    <row r="19" spans="1:10" x14ac:dyDescent="0.3">
      <c r="A19" s="243"/>
      <c r="B19" s="248" t="s">
        <v>404</v>
      </c>
      <c r="C19" s="249">
        <v>118.37</v>
      </c>
      <c r="D19" s="250">
        <v>2</v>
      </c>
      <c r="E19" s="251">
        <f>C19*D19</f>
        <v>236.74</v>
      </c>
    </row>
    <row r="20" spans="1:10" x14ac:dyDescent="0.3">
      <c r="A20" s="243"/>
      <c r="B20" s="248" t="s">
        <v>405</v>
      </c>
      <c r="C20" s="249">
        <v>901.36</v>
      </c>
      <c r="D20" s="252">
        <v>2</v>
      </c>
      <c r="E20" s="251">
        <f>C20*D20</f>
        <v>1802.72</v>
      </c>
    </row>
    <row r="21" spans="1:10" x14ac:dyDescent="0.3">
      <c r="A21" s="243"/>
      <c r="B21" s="248" t="s">
        <v>406</v>
      </c>
      <c r="C21" s="249">
        <v>3521.62</v>
      </c>
      <c r="D21" s="253">
        <v>2</v>
      </c>
      <c r="E21" s="251">
        <f>C21*D21</f>
        <v>7043.24</v>
      </c>
    </row>
    <row r="22" spans="1:10" x14ac:dyDescent="0.3">
      <c r="A22" s="243"/>
      <c r="B22" s="248" t="s">
        <v>399</v>
      </c>
      <c r="C22" s="249">
        <v>147.66999999999999</v>
      </c>
      <c r="D22" s="253">
        <v>2</v>
      </c>
      <c r="E22" s="251">
        <f>C22*D22</f>
        <v>295.33999999999997</v>
      </c>
    </row>
    <row r="23" spans="1:10" x14ac:dyDescent="0.3">
      <c r="A23" s="243"/>
      <c r="B23" s="254" t="s">
        <v>407</v>
      </c>
      <c r="C23" s="243"/>
      <c r="D23" s="243"/>
      <c r="E23" s="255">
        <f>SUM(E19:E22)</f>
        <v>9378.0400000000009</v>
      </c>
      <c r="F23" s="245">
        <v>0.12</v>
      </c>
      <c r="G23" s="246">
        <f>E23/(1-F23)</f>
        <v>10656.863636363638</v>
      </c>
    </row>
    <row r="24" spans="1:10" x14ac:dyDescent="0.3">
      <c r="A24" s="243"/>
      <c r="B24" s="243"/>
      <c r="C24" s="243"/>
      <c r="D24" s="243"/>
      <c r="E24" s="243"/>
    </row>
    <row r="25" spans="1:10" x14ac:dyDescent="0.3">
      <c r="A25" s="243"/>
      <c r="B25" s="243"/>
      <c r="C25" s="243"/>
      <c r="D25" s="243"/>
      <c r="E25" s="243"/>
    </row>
    <row r="26" spans="1:10" x14ac:dyDescent="0.3">
      <c r="A26" s="256"/>
      <c r="B26" s="257" t="s">
        <v>408</v>
      </c>
      <c r="C26" s="243"/>
      <c r="D26" s="243"/>
      <c r="E26" s="243"/>
    </row>
    <row r="27" spans="1:10" x14ac:dyDescent="0.3">
      <c r="A27" s="258" t="s">
        <v>409</v>
      </c>
      <c r="B27" s="259" t="s">
        <v>410</v>
      </c>
      <c r="C27" s="260">
        <v>0</v>
      </c>
      <c r="D27" s="253">
        <v>1</v>
      </c>
      <c r="E27" s="261">
        <f>C27*D27</f>
        <v>0</v>
      </c>
    </row>
    <row r="28" spans="1:10" x14ac:dyDescent="0.3">
      <c r="A28" s="258" t="s">
        <v>411</v>
      </c>
      <c r="B28" s="262" t="s">
        <v>412</v>
      </c>
      <c r="C28" s="263">
        <v>1723.08</v>
      </c>
      <c r="D28" s="253">
        <v>1</v>
      </c>
      <c r="E28" s="261">
        <f>C28*D28</f>
        <v>1723.08</v>
      </c>
    </row>
    <row r="29" spans="1:10" x14ac:dyDescent="0.3">
      <c r="A29" s="236" t="s">
        <v>413</v>
      </c>
      <c r="B29" s="264" t="s">
        <v>414</v>
      </c>
      <c r="C29" s="263">
        <v>9959.99</v>
      </c>
      <c r="D29" s="253">
        <v>1</v>
      </c>
      <c r="E29" s="261">
        <f>C29*D29</f>
        <v>9959.99</v>
      </c>
    </row>
    <row r="30" spans="1:10" x14ac:dyDescent="0.3">
      <c r="A30" s="265"/>
      <c r="B30" s="266" t="s">
        <v>415</v>
      </c>
      <c r="C30" s="260">
        <f>86+138</f>
        <v>224</v>
      </c>
      <c r="D30" s="253">
        <v>1</v>
      </c>
      <c r="E30" s="261">
        <f>C30*D30</f>
        <v>224</v>
      </c>
    </row>
    <row r="31" spans="1:10" x14ac:dyDescent="0.3">
      <c r="A31" s="243"/>
      <c r="B31" s="267" t="s">
        <v>416</v>
      </c>
      <c r="C31" s="267"/>
      <c r="D31" s="267"/>
      <c r="E31" s="268">
        <f>SUM(E27:E30)</f>
        <v>11907.07</v>
      </c>
      <c r="F31" s="245">
        <v>0.4</v>
      </c>
      <c r="G31" s="246">
        <f>E31/(1-F31)</f>
        <v>19845.116666666669</v>
      </c>
      <c r="J31" s="269">
        <f>E31+E28</f>
        <v>13630.15</v>
      </c>
    </row>
    <row r="32" spans="1:10" x14ac:dyDescent="0.3">
      <c r="A32" s="215"/>
      <c r="B32" s="215"/>
      <c r="C32" s="215"/>
      <c r="D32" s="270"/>
      <c r="E32" s="215"/>
    </row>
    <row r="33" spans="1:8" x14ac:dyDescent="0.3">
      <c r="A33" s="271"/>
      <c r="B33" s="272" t="s">
        <v>417</v>
      </c>
      <c r="C33" s="215"/>
      <c r="D33" s="270"/>
      <c r="E33" s="270"/>
    </row>
    <row r="34" spans="1:8" x14ac:dyDescent="0.3">
      <c r="A34" s="391" t="s">
        <v>418</v>
      </c>
      <c r="B34" s="248" t="s">
        <v>419</v>
      </c>
      <c r="C34" s="273">
        <v>35680.19</v>
      </c>
      <c r="D34" s="266">
        <v>0</v>
      </c>
      <c r="E34" s="274">
        <f t="shared" ref="E34:E41" si="1">C34*D34</f>
        <v>0</v>
      </c>
    </row>
    <row r="35" spans="1:8" x14ac:dyDescent="0.3">
      <c r="A35" s="392"/>
      <c r="B35" s="248" t="s">
        <v>420</v>
      </c>
      <c r="C35" s="273">
        <v>569.5</v>
      </c>
      <c r="D35" s="266">
        <v>0</v>
      </c>
      <c r="E35" s="274">
        <f t="shared" si="1"/>
        <v>0</v>
      </c>
    </row>
    <row r="36" spans="1:8" x14ac:dyDescent="0.3">
      <c r="A36" s="392"/>
      <c r="B36" s="248" t="s">
        <v>421</v>
      </c>
      <c r="C36" s="273">
        <v>1893.03</v>
      </c>
      <c r="D36" s="266">
        <v>0</v>
      </c>
      <c r="E36" s="274">
        <f t="shared" si="1"/>
        <v>0</v>
      </c>
    </row>
    <row r="37" spans="1:8" x14ac:dyDescent="0.3">
      <c r="A37" s="392"/>
      <c r="B37" s="248" t="s">
        <v>422</v>
      </c>
      <c r="C37" s="273">
        <v>1213.32</v>
      </c>
      <c r="D37" s="266">
        <v>0</v>
      </c>
      <c r="E37" s="274">
        <f t="shared" si="1"/>
        <v>0</v>
      </c>
    </row>
    <row r="38" spans="1:8" x14ac:dyDescent="0.3">
      <c r="A38" s="392"/>
      <c r="B38" s="248" t="s">
        <v>399</v>
      </c>
      <c r="C38" s="273">
        <v>1759</v>
      </c>
      <c r="D38" s="266">
        <v>0</v>
      </c>
      <c r="E38" s="274">
        <f t="shared" si="1"/>
        <v>0</v>
      </c>
    </row>
    <row r="39" spans="1:8" ht="27.6" x14ac:dyDescent="0.3">
      <c r="A39" s="392"/>
      <c r="B39" s="248" t="s">
        <v>423</v>
      </c>
      <c r="C39" s="273">
        <v>1055.3900000000001</v>
      </c>
      <c r="D39" s="266">
        <v>0</v>
      </c>
      <c r="E39" s="274">
        <f t="shared" si="1"/>
        <v>0</v>
      </c>
    </row>
    <row r="40" spans="1:8" x14ac:dyDescent="0.3">
      <c r="A40" s="392"/>
      <c r="B40" s="248" t="s">
        <v>424</v>
      </c>
      <c r="C40" s="273">
        <v>0</v>
      </c>
      <c r="D40" s="266">
        <v>0</v>
      </c>
      <c r="E40" s="274">
        <f t="shared" si="1"/>
        <v>0</v>
      </c>
    </row>
    <row r="41" spans="1:8" x14ac:dyDescent="0.3">
      <c r="A41" s="392"/>
      <c r="B41" s="248" t="s">
        <v>425</v>
      </c>
      <c r="C41" s="273">
        <v>6737.47</v>
      </c>
      <c r="D41" s="266">
        <v>0</v>
      </c>
      <c r="E41" s="274">
        <f t="shared" si="1"/>
        <v>0</v>
      </c>
    </row>
    <row r="42" spans="1:8" x14ac:dyDescent="0.3">
      <c r="A42" s="215"/>
      <c r="B42" s="215"/>
      <c r="C42" s="215"/>
      <c r="D42" s="215"/>
      <c r="E42" s="275">
        <f>SUM(E34:E41)</f>
        <v>0</v>
      </c>
      <c r="F42" s="245">
        <v>0.4</v>
      </c>
      <c r="G42" s="246">
        <f>E42/(1-40%)</f>
        <v>0</v>
      </c>
    </row>
    <row r="44" spans="1:8" x14ac:dyDescent="0.3">
      <c r="A44" s="213" t="s">
        <v>426</v>
      </c>
      <c r="B44" s="276"/>
      <c r="C44" s="276"/>
      <c r="D44" s="276"/>
      <c r="E44" s="214">
        <f>SUM(E46:E48)</f>
        <v>10882</v>
      </c>
      <c r="G44" s="214">
        <f>E44/(1-12%)</f>
        <v>12365.90909090909</v>
      </c>
    </row>
    <row r="45" spans="1:8" x14ac:dyDescent="0.3">
      <c r="A45" s="277" t="s">
        <v>427</v>
      </c>
      <c r="B45" s="277" t="s">
        <v>14</v>
      </c>
      <c r="C45" s="277" t="s">
        <v>428</v>
      </c>
      <c r="D45" s="277" t="s">
        <v>429</v>
      </c>
      <c r="E45" s="277" t="s">
        <v>6</v>
      </c>
      <c r="G45" s="44"/>
      <c r="H45" s="44"/>
    </row>
    <row r="46" spans="1:8" x14ac:dyDescent="0.3">
      <c r="A46" s="278" t="s">
        <v>430</v>
      </c>
      <c r="B46" s="279" t="s">
        <v>431</v>
      </c>
      <c r="C46" s="273">
        <v>3642</v>
      </c>
      <c r="D46" s="278">
        <v>1</v>
      </c>
      <c r="E46" s="273">
        <f>D46*C46</f>
        <v>3642</v>
      </c>
      <c r="G46" s="280"/>
      <c r="H46" s="281"/>
    </row>
    <row r="47" spans="1:8" x14ac:dyDescent="0.3">
      <c r="A47" s="278" t="s">
        <v>430</v>
      </c>
      <c r="B47" s="279" t="s">
        <v>432</v>
      </c>
      <c r="C47" s="273">
        <v>450</v>
      </c>
      <c r="D47" s="278">
        <v>1</v>
      </c>
      <c r="E47" s="273">
        <f>D47*C47</f>
        <v>450</v>
      </c>
      <c r="G47" s="280"/>
      <c r="H47" s="281"/>
    </row>
    <row r="48" spans="1:8" ht="28.8" x14ac:dyDescent="0.3">
      <c r="A48" s="278" t="s">
        <v>430</v>
      </c>
      <c r="B48" s="279" t="s">
        <v>433</v>
      </c>
      <c r="C48" s="273">
        <v>3395</v>
      </c>
      <c r="D48" s="278">
        <v>2</v>
      </c>
      <c r="E48" s="273">
        <f>D48*C48</f>
        <v>6790</v>
      </c>
      <c r="G48" s="280"/>
      <c r="H48" s="281"/>
    </row>
  </sheetData>
  <mergeCells count="3">
    <mergeCell ref="E1:G1"/>
    <mergeCell ref="A18:B18"/>
    <mergeCell ref="A34:A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FB2FA-6A79-4A88-ACA0-5CF06D59A5DB}">
  <dimension ref="A1:P68"/>
  <sheetViews>
    <sheetView tabSelected="1" topLeftCell="B1" zoomScaleNormal="100" workbookViewId="0">
      <selection activeCell="C12" sqref="C12"/>
    </sheetView>
  </sheetViews>
  <sheetFormatPr defaultColWidth="9.109375" defaultRowHeight="14.4" x14ac:dyDescent="0.3"/>
  <cols>
    <col min="1" max="1" width="0" hidden="1" customWidth="1"/>
    <col min="2" max="2" width="50.5546875" bestFit="1" customWidth="1"/>
    <col min="3" max="3" width="33.77734375" bestFit="1" customWidth="1"/>
    <col min="4" max="4" width="50.5546875" customWidth="1"/>
    <col min="5" max="5" width="16.5546875" customWidth="1"/>
    <col min="6" max="6" width="15.5546875" customWidth="1"/>
    <col min="7" max="7" width="14.88671875" customWidth="1"/>
    <col min="8" max="8" width="19.88671875" hidden="1" customWidth="1"/>
    <col min="9" max="9" width="21.5546875" customWidth="1"/>
    <col min="10" max="10" width="17.44140625" bestFit="1" customWidth="1"/>
    <col min="11" max="11" width="36.21875" customWidth="1"/>
    <col min="13" max="13" width="16.44140625" bestFit="1" customWidth="1"/>
    <col min="14" max="14" width="20" bestFit="1" customWidth="1"/>
    <col min="15" max="15" width="15.44140625" bestFit="1" customWidth="1"/>
    <col min="16" max="16" width="12" bestFit="1" customWidth="1"/>
  </cols>
  <sheetData>
    <row r="1" spans="1:11" ht="15" thickBot="1" x14ac:dyDescent="0.35">
      <c r="B1" s="282" t="s">
        <v>434</v>
      </c>
      <c r="C1" s="283" t="s">
        <v>54</v>
      </c>
      <c r="D1" s="283" t="s">
        <v>55</v>
      </c>
      <c r="E1" s="284" t="s">
        <v>429</v>
      </c>
      <c r="F1" s="284" t="s">
        <v>435</v>
      </c>
      <c r="G1" s="284" t="s">
        <v>436</v>
      </c>
      <c r="H1" s="284" t="s">
        <v>6</v>
      </c>
      <c r="I1" s="284" t="s">
        <v>9</v>
      </c>
      <c r="J1" s="284" t="s">
        <v>437</v>
      </c>
      <c r="K1" s="283" t="s">
        <v>10</v>
      </c>
    </row>
    <row r="2" spans="1:11" ht="15" thickBot="1" x14ac:dyDescent="0.35">
      <c r="B2" s="285" t="s">
        <v>438</v>
      </c>
      <c r="C2" s="286"/>
      <c r="D2" s="286"/>
      <c r="E2" s="287"/>
      <c r="F2" s="288"/>
      <c r="G2" s="288"/>
      <c r="H2" s="289">
        <f>SUM(H3:H4)</f>
        <v>0</v>
      </c>
      <c r="I2" s="289">
        <f>SUM(I3:I4)</f>
        <v>0</v>
      </c>
      <c r="J2" s="290" t="e">
        <f>(I2-H2)/I2</f>
        <v>#DIV/0!</v>
      </c>
      <c r="K2" s="291"/>
    </row>
    <row r="3" spans="1:11" s="215" customFormat="1" ht="58.2" hidden="1" thickBot="1" x14ac:dyDescent="0.35">
      <c r="A3" s="215" t="s">
        <v>439</v>
      </c>
      <c r="B3" s="292" t="s">
        <v>440</v>
      </c>
      <c r="C3" s="293" t="s">
        <v>58</v>
      </c>
      <c r="D3" s="294" t="s">
        <v>59</v>
      </c>
      <c r="E3" s="295"/>
      <c r="F3" s="296">
        <v>59450</v>
      </c>
      <c r="G3" s="296">
        <f>F3/(1-J3)</f>
        <v>82569.444444444453</v>
      </c>
      <c r="H3" s="297">
        <f>F3*E3</f>
        <v>0</v>
      </c>
      <c r="I3" s="297">
        <f>G3*E3</f>
        <v>0</v>
      </c>
      <c r="J3" s="298">
        <v>0.28000000000000003</v>
      </c>
      <c r="K3" s="299" t="s">
        <v>441</v>
      </c>
    </row>
    <row r="4" spans="1:11" ht="43.8" hidden="1" thickBot="1" x14ac:dyDescent="0.35">
      <c r="A4" s="215" t="s">
        <v>439</v>
      </c>
      <c r="B4" s="292" t="s">
        <v>442</v>
      </c>
      <c r="C4" s="293" t="s">
        <v>118</v>
      </c>
      <c r="D4" s="294" t="s">
        <v>119</v>
      </c>
      <c r="E4" s="295"/>
      <c r="F4" s="296">
        <v>1346.11</v>
      </c>
      <c r="G4" s="296">
        <f t="shared" ref="G4" si="0">F4/(1-J4)</f>
        <v>1583.6588235294116</v>
      </c>
      <c r="H4" s="297">
        <f>F4*E4</f>
        <v>0</v>
      </c>
      <c r="I4" s="297">
        <f>G4*E4</f>
        <v>0</v>
      </c>
      <c r="J4" s="298">
        <v>0.15</v>
      </c>
      <c r="K4" s="299"/>
    </row>
    <row r="5" spans="1:11" ht="15" thickBot="1" x14ac:dyDescent="0.35">
      <c r="B5" s="292"/>
      <c r="C5" s="293"/>
      <c r="D5" s="293"/>
      <c r="E5" s="300"/>
      <c r="F5" s="296"/>
      <c r="G5" s="296"/>
      <c r="H5" s="297"/>
      <c r="I5" s="297"/>
      <c r="J5" s="301"/>
      <c r="K5" s="299"/>
    </row>
    <row r="6" spans="1:11" ht="15" thickBot="1" x14ac:dyDescent="0.35">
      <c r="B6" s="285" t="s">
        <v>443</v>
      </c>
      <c r="C6" s="286"/>
      <c r="D6" s="286"/>
      <c r="E6" s="287"/>
      <c r="F6" s="288"/>
      <c r="G6" s="288"/>
      <c r="H6" s="289">
        <f>SUM(H7:H11)</f>
        <v>5763246.7200000007</v>
      </c>
      <c r="I6" s="289">
        <f>SUM(I7:I11)</f>
        <v>8206199.9249999998</v>
      </c>
      <c r="J6" s="290">
        <f>(I6-H6)/I6</f>
        <v>0.29769603803553435</v>
      </c>
      <c r="K6" s="302"/>
    </row>
    <row r="7" spans="1:11" ht="15" hidden="1" thickBot="1" x14ac:dyDescent="0.35">
      <c r="B7" s="292" t="s">
        <v>444</v>
      </c>
      <c r="C7" s="293"/>
      <c r="D7" s="293"/>
      <c r="E7" s="300"/>
      <c r="F7" s="296">
        <v>38733.24</v>
      </c>
      <c r="G7" s="296">
        <v>48417</v>
      </c>
      <c r="H7" s="297">
        <f>F7*E7</f>
        <v>0</v>
      </c>
      <c r="I7" s="297">
        <f>G7*E7</f>
        <v>0</v>
      </c>
      <c r="J7" s="298">
        <f>(G7-F7)/G7</f>
        <v>0.2000074354049198</v>
      </c>
      <c r="K7" s="299"/>
    </row>
    <row r="8" spans="1:11" ht="15" thickBot="1" x14ac:dyDescent="0.35">
      <c r="A8" s="215" t="s">
        <v>445</v>
      </c>
      <c r="B8" s="292" t="s">
        <v>446</v>
      </c>
      <c r="C8" s="293" t="s">
        <v>65</v>
      </c>
      <c r="D8" s="293" t="s">
        <v>66</v>
      </c>
      <c r="E8" s="295">
        <v>66</v>
      </c>
      <c r="F8" s="296">
        <v>38733.24</v>
      </c>
      <c r="G8" s="296">
        <f t="shared" ref="G8:G11" si="1">F8/(1-J8)</f>
        <v>48416.549999999996</v>
      </c>
      <c r="H8" s="297">
        <f>F8*E8</f>
        <v>2556393.84</v>
      </c>
      <c r="I8" s="297">
        <f>G8*E8</f>
        <v>3195492.3</v>
      </c>
      <c r="J8" s="298">
        <v>0.2</v>
      </c>
      <c r="K8" s="299">
        <v>142560</v>
      </c>
    </row>
    <row r="9" spans="1:11" ht="29.4" thickBot="1" x14ac:dyDescent="0.35">
      <c r="A9" s="215" t="s">
        <v>445</v>
      </c>
      <c r="B9" s="292" t="s">
        <v>132</v>
      </c>
      <c r="C9" s="292" t="s">
        <v>132</v>
      </c>
      <c r="D9" s="294" t="s">
        <v>133</v>
      </c>
      <c r="E9" s="295">
        <v>1056</v>
      </c>
      <c r="F9" s="296">
        <v>859.11</v>
      </c>
      <c r="G9" s="296">
        <f t="shared" si="1"/>
        <v>1342.359375</v>
      </c>
      <c r="H9" s="297">
        <f>F9*E9</f>
        <v>907220.16</v>
      </c>
      <c r="I9" s="297">
        <f>G9*E9</f>
        <v>1417531.5</v>
      </c>
      <c r="J9" s="298">
        <v>0.36</v>
      </c>
      <c r="K9" s="299"/>
    </row>
    <row r="10" spans="1:11" ht="29.4" thickBot="1" x14ac:dyDescent="0.35">
      <c r="A10" s="215" t="s">
        <v>445</v>
      </c>
      <c r="B10" s="292" t="s">
        <v>135</v>
      </c>
      <c r="C10" s="292" t="s">
        <v>135</v>
      </c>
      <c r="D10" s="294" t="s">
        <v>136</v>
      </c>
      <c r="E10" s="295">
        <v>2552</v>
      </c>
      <c r="F10" s="296">
        <f>831.11+70</f>
        <v>901.11</v>
      </c>
      <c r="G10" s="296">
        <f t="shared" si="1"/>
        <v>1407.984375</v>
      </c>
      <c r="H10" s="297">
        <f>F10*E10</f>
        <v>2299632.7200000002</v>
      </c>
      <c r="I10" s="297">
        <f>G10*E10</f>
        <v>3593176.125</v>
      </c>
      <c r="J10" s="298">
        <v>0.36</v>
      </c>
      <c r="K10" s="299"/>
    </row>
    <row r="11" spans="1:11" ht="15" hidden="1" thickBot="1" x14ac:dyDescent="0.35">
      <c r="A11" s="215" t="s">
        <v>445</v>
      </c>
      <c r="B11" s="292" t="s">
        <v>447</v>
      </c>
      <c r="C11" s="293"/>
      <c r="D11" s="293"/>
      <c r="E11" s="295"/>
      <c r="F11" s="296">
        <f>611.11+150</f>
        <v>761.11</v>
      </c>
      <c r="G11" s="296">
        <f t="shared" si="1"/>
        <v>951.38749999999993</v>
      </c>
      <c r="H11" s="297">
        <f>F11*E11</f>
        <v>0</v>
      </c>
      <c r="I11" s="297">
        <f>G11*E11</f>
        <v>0</v>
      </c>
      <c r="J11" s="298">
        <v>0.2</v>
      </c>
      <c r="K11" s="299"/>
    </row>
    <row r="12" spans="1:11" ht="15" thickBot="1" x14ac:dyDescent="0.35">
      <c r="B12" s="292"/>
      <c r="C12" s="293"/>
      <c r="D12" s="293"/>
      <c r="E12" s="295"/>
      <c r="F12" s="296"/>
      <c r="G12" s="296"/>
      <c r="H12" s="297"/>
      <c r="I12" s="297"/>
      <c r="J12" s="301"/>
      <c r="K12" s="299"/>
    </row>
    <row r="13" spans="1:11" ht="15" thickBot="1" x14ac:dyDescent="0.35">
      <c r="B13" s="285" t="s">
        <v>448</v>
      </c>
      <c r="C13" s="286"/>
      <c r="D13" s="286"/>
      <c r="E13" s="287"/>
      <c r="F13" s="288"/>
      <c r="G13" s="288"/>
      <c r="H13" s="289">
        <f>SUM(H14:H22)</f>
        <v>15535592.879999999</v>
      </c>
      <c r="I13" s="289">
        <f>SUM(I14:I22)</f>
        <v>19433934.269518714</v>
      </c>
      <c r="J13" s="290">
        <f>(I13-H13)/I13</f>
        <v>0.20059455463081891</v>
      </c>
      <c r="K13" s="299"/>
    </row>
    <row r="14" spans="1:11" ht="29.4" hidden="1" thickBot="1" x14ac:dyDescent="0.35">
      <c r="B14" s="292" t="s">
        <v>449</v>
      </c>
      <c r="C14" s="293" t="s">
        <v>450</v>
      </c>
      <c r="D14" s="294" t="s">
        <v>451</v>
      </c>
      <c r="E14" s="300"/>
      <c r="F14" s="296">
        <v>2588</v>
      </c>
      <c r="G14" s="296">
        <f>F14/(1-18%)</f>
        <v>3156.0975609756097</v>
      </c>
      <c r="H14" s="297">
        <f t="shared" ref="H14:H20" si="2">F14*E14</f>
        <v>0</v>
      </c>
      <c r="I14" s="297">
        <f t="shared" ref="I14:I20" si="3">G14*E14</f>
        <v>0</v>
      </c>
      <c r="J14" s="298">
        <f>(G14-F14)/G14</f>
        <v>0.17999999999999997</v>
      </c>
      <c r="K14" s="299"/>
    </row>
    <row r="15" spans="1:11" ht="15" thickBot="1" x14ac:dyDescent="0.35">
      <c r="A15" s="215" t="s">
        <v>445</v>
      </c>
      <c r="B15" s="292" t="s">
        <v>452</v>
      </c>
      <c r="C15" s="293" t="s">
        <v>77</v>
      </c>
      <c r="D15" s="293" t="s">
        <v>78</v>
      </c>
      <c r="E15" s="300">
        <v>12</v>
      </c>
      <c r="F15" s="296">
        <v>3066</v>
      </c>
      <c r="G15" s="296">
        <f t="shared" ref="G15" si="4">F15/(1-J15)</f>
        <v>3607.0588235294117</v>
      </c>
      <c r="H15" s="297">
        <f t="shared" si="2"/>
        <v>36792</v>
      </c>
      <c r="I15" s="297">
        <f t="shared" si="3"/>
        <v>43284.705882352937</v>
      </c>
      <c r="J15" s="298">
        <v>0.15</v>
      </c>
      <c r="K15" s="299"/>
    </row>
    <row r="16" spans="1:11" ht="29.4" hidden="1" thickBot="1" x14ac:dyDescent="0.35">
      <c r="A16" s="215" t="s">
        <v>445</v>
      </c>
      <c r="B16" s="292" t="s">
        <v>453</v>
      </c>
      <c r="C16" s="293" t="s">
        <v>454</v>
      </c>
      <c r="D16" s="294" t="s">
        <v>455</v>
      </c>
      <c r="E16" s="300"/>
      <c r="F16" s="296">
        <v>24835.72</v>
      </c>
      <c r="G16" s="296">
        <v>28222</v>
      </c>
      <c r="H16" s="297">
        <f t="shared" si="2"/>
        <v>0</v>
      </c>
      <c r="I16" s="297">
        <f t="shared" si="3"/>
        <v>0</v>
      </c>
      <c r="J16" s="298">
        <f>(G16-F16)/G16</f>
        <v>0.11998724399404716</v>
      </c>
      <c r="K16" s="299"/>
    </row>
    <row r="17" spans="1:16" ht="15" thickBot="1" x14ac:dyDescent="0.35">
      <c r="A17" s="215" t="s">
        <v>445</v>
      </c>
      <c r="B17" s="292" t="s">
        <v>446</v>
      </c>
      <c r="C17" s="293" t="s">
        <v>65</v>
      </c>
      <c r="D17" s="293" t="s">
        <v>66</v>
      </c>
      <c r="E17" s="300">
        <v>4</v>
      </c>
      <c r="F17" s="296">
        <v>38733.24</v>
      </c>
      <c r="G17" s="296">
        <f t="shared" ref="G17:G22" si="5">F17/(1-J17)</f>
        <v>48416.549999999996</v>
      </c>
      <c r="H17" s="297">
        <f t="shared" si="2"/>
        <v>154932.96</v>
      </c>
      <c r="I17" s="297">
        <f t="shared" si="3"/>
        <v>193666.19999999998</v>
      </c>
      <c r="J17" s="298">
        <v>0.2</v>
      </c>
      <c r="K17" s="299">
        <v>142560</v>
      </c>
    </row>
    <row r="18" spans="1:16" ht="15" hidden="1" thickBot="1" x14ac:dyDescent="0.35">
      <c r="A18" s="215" t="s">
        <v>445</v>
      </c>
      <c r="B18" s="292" t="s">
        <v>444</v>
      </c>
      <c r="C18" s="293"/>
      <c r="D18" s="293"/>
      <c r="E18" s="300"/>
      <c r="F18" s="296">
        <v>38733.24</v>
      </c>
      <c r="G18" s="296">
        <v>48417</v>
      </c>
      <c r="H18" s="297">
        <f t="shared" si="2"/>
        <v>0</v>
      </c>
      <c r="I18" s="297">
        <f t="shared" si="3"/>
        <v>0</v>
      </c>
      <c r="J18" s="298">
        <f>(G18-F18)/G18</f>
        <v>0.2000074354049198</v>
      </c>
      <c r="K18" s="299"/>
    </row>
    <row r="19" spans="1:16" ht="15" thickBot="1" x14ac:dyDescent="0.35">
      <c r="A19" s="215" t="s">
        <v>445</v>
      </c>
      <c r="B19" s="292" t="s">
        <v>456</v>
      </c>
      <c r="C19" s="293" t="s">
        <v>184</v>
      </c>
      <c r="D19" s="294" t="s">
        <v>185</v>
      </c>
      <c r="E19" s="300">
        <v>24</v>
      </c>
      <c r="F19" s="296">
        <v>324.36</v>
      </c>
      <c r="G19" s="296">
        <f t="shared" si="5"/>
        <v>368.59090909090912</v>
      </c>
      <c r="H19" s="297">
        <f t="shared" si="2"/>
        <v>7784.64</v>
      </c>
      <c r="I19" s="297">
        <f t="shared" si="3"/>
        <v>8846.1818181818198</v>
      </c>
      <c r="J19" s="298">
        <v>0.12</v>
      </c>
      <c r="K19" s="299"/>
    </row>
    <row r="20" spans="1:16" ht="15" hidden="1" thickBot="1" x14ac:dyDescent="0.35">
      <c r="A20" s="215" t="s">
        <v>445</v>
      </c>
      <c r="B20" s="292" t="s">
        <v>447</v>
      </c>
      <c r="C20" s="293"/>
      <c r="D20" s="293"/>
      <c r="E20" s="300"/>
      <c r="F20" s="296">
        <f>611.11+150</f>
        <v>761.11</v>
      </c>
      <c r="G20" s="296">
        <f t="shared" si="5"/>
        <v>951.38749999999993</v>
      </c>
      <c r="H20" s="297">
        <f t="shared" si="2"/>
        <v>0</v>
      </c>
      <c r="I20" s="297">
        <f t="shared" si="3"/>
        <v>0</v>
      </c>
      <c r="J20" s="298">
        <v>0.2</v>
      </c>
      <c r="K20" s="299"/>
    </row>
    <row r="21" spans="1:16" ht="29.4" hidden="1" thickBot="1" x14ac:dyDescent="0.35">
      <c r="A21" s="215" t="s">
        <v>445</v>
      </c>
      <c r="B21" s="292" t="s">
        <v>457</v>
      </c>
      <c r="C21" s="293" t="s">
        <v>132</v>
      </c>
      <c r="D21" s="303" t="s">
        <v>133</v>
      </c>
      <c r="E21" s="300"/>
      <c r="F21" s="296">
        <v>859.11</v>
      </c>
      <c r="G21" s="296">
        <f t="shared" si="5"/>
        <v>1342.359375</v>
      </c>
      <c r="H21" s="297">
        <v>15278412.24</v>
      </c>
      <c r="I21" s="297">
        <v>19098026.18181818</v>
      </c>
      <c r="J21" s="298">
        <v>0.36</v>
      </c>
      <c r="K21" s="299"/>
    </row>
    <row r="22" spans="1:16" ht="29.4" thickBot="1" x14ac:dyDescent="0.35">
      <c r="A22" s="215" t="s">
        <v>445</v>
      </c>
      <c r="B22" s="292" t="s">
        <v>135</v>
      </c>
      <c r="C22" s="293" t="s">
        <v>135</v>
      </c>
      <c r="D22" s="294" t="s">
        <v>136</v>
      </c>
      <c r="E22" s="300">
        <v>64</v>
      </c>
      <c r="F22" s="296">
        <f>831.11+70</f>
        <v>901.11</v>
      </c>
      <c r="G22" s="296">
        <f t="shared" si="5"/>
        <v>1407.984375</v>
      </c>
      <c r="H22" s="297">
        <f>F22*E22</f>
        <v>57671.040000000001</v>
      </c>
      <c r="I22" s="297">
        <f>G22*E22</f>
        <v>90111</v>
      </c>
      <c r="J22" s="298">
        <v>0.36</v>
      </c>
      <c r="K22" s="299"/>
    </row>
    <row r="23" spans="1:16" ht="15" thickBot="1" x14ac:dyDescent="0.35">
      <c r="B23" s="292"/>
      <c r="C23" s="293"/>
      <c r="D23" s="293"/>
      <c r="E23" s="300"/>
      <c r="F23" s="296"/>
      <c r="G23" s="296"/>
      <c r="H23" s="297"/>
      <c r="I23" s="297"/>
      <c r="J23" s="301"/>
      <c r="K23" s="299"/>
    </row>
    <row r="24" spans="1:16" ht="15" thickBot="1" x14ac:dyDescent="0.35">
      <c r="B24" s="285" t="s">
        <v>458</v>
      </c>
      <c r="C24" s="286"/>
      <c r="D24" s="286"/>
      <c r="E24" s="304"/>
      <c r="F24" s="305"/>
      <c r="G24" s="305"/>
      <c r="H24" s="289">
        <f>SUM(H25:H31)</f>
        <v>0</v>
      </c>
      <c r="I24" s="289">
        <f>SUM(I25:I31)</f>
        <v>0</v>
      </c>
      <c r="J24" s="290" t="e">
        <f>(I24-H24)/I24</f>
        <v>#DIV/0!</v>
      </c>
      <c r="K24" s="291"/>
    </row>
    <row r="25" spans="1:16" ht="29.4" hidden="1" thickBot="1" x14ac:dyDescent="0.35">
      <c r="A25" s="215" t="s">
        <v>439</v>
      </c>
      <c r="B25" s="292" t="s">
        <v>459</v>
      </c>
      <c r="C25" s="293" t="s">
        <v>460</v>
      </c>
      <c r="D25" s="294" t="s">
        <v>461</v>
      </c>
      <c r="E25" s="300"/>
      <c r="F25" s="296">
        <f>'[6]Rack BOM'!E2</f>
        <v>47480.51</v>
      </c>
      <c r="G25" s="296">
        <f>'[6]Rack BOM'!G2</f>
        <v>60269.480303030308</v>
      </c>
      <c r="H25" s="297">
        <f>F25*E25</f>
        <v>0</v>
      </c>
      <c r="I25" s="297">
        <f>G25*E25</f>
        <v>0</v>
      </c>
      <c r="J25" s="298">
        <f>(G25-F25)/G25</f>
        <v>0.21219645894951056</v>
      </c>
      <c r="K25" s="299"/>
      <c r="M25" s="306">
        <f>I25/I40</f>
        <v>0</v>
      </c>
      <c r="N25" s="307">
        <f>'[7]Rack BOM'!G42</f>
        <v>81513.166666666672</v>
      </c>
      <c r="O25" s="307">
        <f>N25*E25</f>
        <v>0</v>
      </c>
      <c r="P25" s="306">
        <f>O25/I40</f>
        <v>0</v>
      </c>
    </row>
    <row r="26" spans="1:16" ht="15" hidden="1" thickBot="1" x14ac:dyDescent="0.35">
      <c r="A26" s="215" t="s">
        <v>439</v>
      </c>
      <c r="B26" s="292" t="s">
        <v>462</v>
      </c>
      <c r="C26" s="293" t="s">
        <v>110</v>
      </c>
      <c r="D26" s="293"/>
      <c r="E26" s="300"/>
      <c r="F26" s="296">
        <v>277</v>
      </c>
      <c r="G26" s="296">
        <f t="shared" ref="G26:G28" si="6">F26/(1-J26)</f>
        <v>369.33333333333331</v>
      </c>
      <c r="H26" s="297">
        <f>F26*E26</f>
        <v>0</v>
      </c>
      <c r="I26" s="297">
        <f>G26*E26</f>
        <v>0</v>
      </c>
      <c r="J26" s="298">
        <v>0.25</v>
      </c>
      <c r="K26" s="299"/>
    </row>
    <row r="27" spans="1:16" ht="43.8" hidden="1" thickBot="1" x14ac:dyDescent="0.35">
      <c r="A27" s="215" t="s">
        <v>439</v>
      </c>
      <c r="B27" s="292" t="s">
        <v>463</v>
      </c>
      <c r="C27" s="293" t="s">
        <v>464</v>
      </c>
      <c r="D27" s="294" t="s">
        <v>465</v>
      </c>
      <c r="E27" s="300"/>
      <c r="F27" s="308">
        <v>307</v>
      </c>
      <c r="G27" s="296">
        <f t="shared" si="6"/>
        <v>409.33333333333331</v>
      </c>
      <c r="H27" s="297"/>
      <c r="I27" s="297"/>
      <c r="J27" s="298">
        <v>0.25</v>
      </c>
      <c r="K27" s="299"/>
    </row>
    <row r="28" spans="1:16" ht="29.4" hidden="1" thickBot="1" x14ac:dyDescent="0.35">
      <c r="A28" s="215" t="s">
        <v>439</v>
      </c>
      <c r="B28" s="292" t="s">
        <v>466</v>
      </c>
      <c r="C28" s="293"/>
      <c r="D28" s="294" t="s">
        <v>467</v>
      </c>
      <c r="E28" s="300"/>
      <c r="F28" s="296">
        <v>298.02</v>
      </c>
      <c r="G28" s="296">
        <f t="shared" si="6"/>
        <v>397.35999999999996</v>
      </c>
      <c r="H28" s="297">
        <f>F28*E28</f>
        <v>0</v>
      </c>
      <c r="I28" s="297">
        <f>G28*E28</f>
        <v>0</v>
      </c>
      <c r="J28" s="298">
        <v>0.25</v>
      </c>
      <c r="K28" s="299"/>
    </row>
    <row r="29" spans="1:16" ht="15" hidden="1" thickBot="1" x14ac:dyDescent="0.35">
      <c r="A29" s="215" t="s">
        <v>468</v>
      </c>
      <c r="B29" s="292"/>
      <c r="C29" s="293"/>
      <c r="D29" s="293" t="s">
        <v>469</v>
      </c>
      <c r="E29" s="300"/>
      <c r="F29" s="296"/>
      <c r="G29" s="296"/>
      <c r="H29" s="297"/>
      <c r="I29" s="297"/>
      <c r="J29" s="298"/>
      <c r="K29" s="299"/>
    </row>
    <row r="30" spans="1:16" ht="15" hidden="1" thickBot="1" x14ac:dyDescent="0.35">
      <c r="B30" s="292"/>
      <c r="C30" s="293"/>
      <c r="D30" s="293"/>
      <c r="E30" s="300"/>
      <c r="F30" s="296"/>
      <c r="G30" s="296"/>
      <c r="H30" s="297"/>
      <c r="I30" s="297"/>
      <c r="J30" s="301"/>
      <c r="K30" s="299"/>
    </row>
    <row r="31" spans="1:16" ht="15" hidden="1" thickBot="1" x14ac:dyDescent="0.35">
      <c r="A31" s="215" t="s">
        <v>445</v>
      </c>
      <c r="B31" s="292" t="s">
        <v>470</v>
      </c>
      <c r="C31" s="293" t="s">
        <v>471</v>
      </c>
      <c r="D31" s="293" t="s">
        <v>472</v>
      </c>
      <c r="E31" s="300">
        <v>0</v>
      </c>
      <c r="F31" s="296"/>
      <c r="G31" s="296"/>
      <c r="H31" s="297"/>
      <c r="I31" s="297"/>
      <c r="J31" s="298" t="e">
        <f>(G31-F31)/G31</f>
        <v>#DIV/0!</v>
      </c>
      <c r="K31" s="299"/>
    </row>
    <row r="32" spans="1:16" ht="29.4" hidden="1" thickBot="1" x14ac:dyDescent="0.35">
      <c r="A32" s="215" t="s">
        <v>473</v>
      </c>
      <c r="B32" s="292" t="s">
        <v>474</v>
      </c>
      <c r="C32" s="293" t="s">
        <v>475</v>
      </c>
      <c r="D32" s="294" t="s">
        <v>197</v>
      </c>
      <c r="E32" s="300">
        <v>0</v>
      </c>
      <c r="F32" s="296"/>
      <c r="G32" s="296"/>
      <c r="H32" s="297"/>
      <c r="I32" s="297"/>
      <c r="J32" s="301">
        <v>0.25</v>
      </c>
      <c r="K32" s="299"/>
    </row>
    <row r="33" spans="1:14" ht="15" hidden="1" thickBot="1" x14ac:dyDescent="0.35">
      <c r="B33" s="292"/>
      <c r="C33" s="293"/>
      <c r="D33" s="293"/>
      <c r="E33" s="309"/>
      <c r="F33" s="296"/>
      <c r="G33" s="296"/>
      <c r="H33" s="297"/>
      <c r="I33" s="297"/>
      <c r="J33" s="301"/>
      <c r="K33" s="299"/>
    </row>
    <row r="34" spans="1:14" ht="15" thickBot="1" x14ac:dyDescent="0.35">
      <c r="A34" s="215" t="s">
        <v>445</v>
      </c>
      <c r="B34" s="292" t="s">
        <v>470</v>
      </c>
      <c r="C34" s="293" t="s">
        <v>471</v>
      </c>
      <c r="D34" s="293" t="s">
        <v>476</v>
      </c>
      <c r="E34" s="300">
        <v>1</v>
      </c>
      <c r="F34" s="296"/>
      <c r="G34" s="296"/>
      <c r="H34" s="297">
        <f>F34*E34</f>
        <v>0</v>
      </c>
      <c r="I34" s="297"/>
      <c r="J34" s="298" t="e">
        <f>(G34-F34)/G34</f>
        <v>#DIV/0!</v>
      </c>
      <c r="K34" s="299" t="s">
        <v>477</v>
      </c>
    </row>
    <row r="35" spans="1:14" ht="29.4" thickBot="1" x14ac:dyDescent="0.35">
      <c r="A35" s="215" t="s">
        <v>473</v>
      </c>
      <c r="B35" s="292" t="s">
        <v>474</v>
      </c>
      <c r="C35" s="293" t="s">
        <v>475</v>
      </c>
      <c r="D35" s="294" t="s">
        <v>197</v>
      </c>
      <c r="E35" s="300">
        <v>0</v>
      </c>
      <c r="F35" s="296"/>
      <c r="G35" s="296"/>
      <c r="H35" s="297">
        <f>F35*E35</f>
        <v>0</v>
      </c>
      <c r="I35" s="297"/>
      <c r="J35" s="301">
        <v>0.25</v>
      </c>
      <c r="K35" s="299"/>
    </row>
    <row r="36" spans="1:14" ht="15" thickBot="1" x14ac:dyDescent="0.35">
      <c r="B36" s="292"/>
      <c r="C36" s="293"/>
      <c r="D36" s="293"/>
      <c r="E36" s="309"/>
      <c r="F36" s="296"/>
      <c r="G36" s="296"/>
      <c r="H36" s="297"/>
      <c r="I36" s="297"/>
      <c r="J36" s="301"/>
      <c r="K36" s="299"/>
    </row>
    <row r="37" spans="1:14" ht="15" thickBot="1" x14ac:dyDescent="0.35">
      <c r="A37" s="215" t="s">
        <v>445</v>
      </c>
      <c r="B37" s="292" t="s">
        <v>470</v>
      </c>
      <c r="C37" s="293" t="s">
        <v>471</v>
      </c>
      <c r="D37" s="293" t="s">
        <v>478</v>
      </c>
      <c r="E37" s="300">
        <v>10</v>
      </c>
      <c r="F37" s="296">
        <f>'[6]Rack BOM'!E44</f>
        <v>10882</v>
      </c>
      <c r="G37" s="296">
        <f>'[6]Rack BOM'!G44</f>
        <v>12365.90909090909</v>
      </c>
      <c r="H37" s="297">
        <f>F37*E37</f>
        <v>108820</v>
      </c>
      <c r="I37" s="297">
        <f>G37*E37</f>
        <v>123659.0909090909</v>
      </c>
      <c r="J37" s="298">
        <f>(G37-F37)/G37</f>
        <v>0.11999999999999994</v>
      </c>
      <c r="K37" s="299"/>
    </row>
    <row r="38" spans="1:14" ht="29.4" thickBot="1" x14ac:dyDescent="0.35">
      <c r="A38" s="215" t="s">
        <v>473</v>
      </c>
      <c r="B38" s="292" t="s">
        <v>474</v>
      </c>
      <c r="C38" s="293" t="s">
        <v>475</v>
      </c>
      <c r="D38" s="294" t="s">
        <v>197</v>
      </c>
      <c r="E38" s="300">
        <v>8</v>
      </c>
      <c r="F38" s="296">
        <v>277</v>
      </c>
      <c r="G38" s="296">
        <f t="shared" ref="G38" si="7">F38/(1-J38)</f>
        <v>369.33333333333331</v>
      </c>
      <c r="H38" s="297">
        <f>F38*E38</f>
        <v>2216</v>
      </c>
      <c r="I38" s="297">
        <f>G38*E38</f>
        <v>2954.6666666666665</v>
      </c>
      <c r="J38" s="301">
        <v>0.25</v>
      </c>
      <c r="K38" s="299"/>
    </row>
    <row r="39" spans="1:14" ht="15" thickBot="1" x14ac:dyDescent="0.35">
      <c r="B39" s="292"/>
      <c r="C39" s="293"/>
      <c r="D39" s="293"/>
      <c r="E39" s="309"/>
      <c r="F39" s="296"/>
      <c r="G39" s="296"/>
      <c r="H39" s="297"/>
      <c r="I39" s="297"/>
      <c r="J39" s="301"/>
      <c r="K39" s="299"/>
    </row>
    <row r="40" spans="1:14" x14ac:dyDescent="0.3">
      <c r="B40" s="310" t="s">
        <v>232</v>
      </c>
      <c r="C40" s="310"/>
      <c r="D40" s="310"/>
      <c r="E40" s="311"/>
      <c r="F40" s="312"/>
      <c r="G40" s="312"/>
      <c r="H40" s="313">
        <f>SUM(H2,H6,H13,H24)</f>
        <v>21298839.600000001</v>
      </c>
      <c r="I40" s="313">
        <f>SUM(I2,I6,I13,I24)</f>
        <v>27640134.194518715</v>
      </c>
      <c r="J40" s="314">
        <f>(I40-H40)/I40</f>
        <v>0.22942343730647477</v>
      </c>
      <c r="K40" s="89"/>
    </row>
    <row r="41" spans="1:14" x14ac:dyDescent="0.3">
      <c r="H41" s="269"/>
      <c r="I41" s="269"/>
      <c r="N41" s="315"/>
    </row>
    <row r="42" spans="1:14" x14ac:dyDescent="0.3">
      <c r="B42" s="316" t="s">
        <v>55</v>
      </c>
      <c r="C42" s="316"/>
      <c r="D42" s="316"/>
      <c r="E42" s="316" t="s">
        <v>429</v>
      </c>
      <c r="F42" s="316"/>
      <c r="G42" s="316"/>
      <c r="H42" s="317" t="s">
        <v>6</v>
      </c>
      <c r="I42" s="317" t="s">
        <v>9</v>
      </c>
      <c r="J42" s="316" t="s">
        <v>479</v>
      </c>
      <c r="N42" s="315"/>
    </row>
    <row r="43" spans="1:14" x14ac:dyDescent="0.3">
      <c r="B43" s="107" t="str">
        <f>B2</f>
        <v>Networking E-W</v>
      </c>
      <c r="C43" s="107"/>
      <c r="D43" s="107"/>
      <c r="E43" s="107"/>
      <c r="F43" s="107"/>
      <c r="G43" s="107"/>
      <c r="H43" s="318">
        <f>H2</f>
        <v>0</v>
      </c>
      <c r="I43" s="318">
        <f>I2</f>
        <v>0</v>
      </c>
      <c r="J43" s="319" t="e">
        <f>(I43-H43)/I43</f>
        <v>#DIV/0!</v>
      </c>
    </row>
    <row r="44" spans="1:14" x14ac:dyDescent="0.3">
      <c r="B44" s="107" t="str">
        <f>B6</f>
        <v>Networking N-S</v>
      </c>
      <c r="C44" s="107"/>
      <c r="D44" s="107"/>
      <c r="E44" s="107"/>
      <c r="F44" s="107"/>
      <c r="G44" s="107"/>
      <c r="H44" s="318">
        <f>H6</f>
        <v>5763246.7200000007</v>
      </c>
      <c r="I44" s="318">
        <f>I6</f>
        <v>8206199.9249999998</v>
      </c>
      <c r="J44" s="319">
        <f>(I44-H44)/I44</f>
        <v>0.29769603803553435</v>
      </c>
      <c r="N44" s="306"/>
    </row>
    <row r="45" spans="1:14" x14ac:dyDescent="0.3">
      <c r="B45" s="107" t="str">
        <f>B13</f>
        <v>OOB Network</v>
      </c>
      <c r="C45" s="107"/>
      <c r="D45" s="107"/>
      <c r="E45" s="107"/>
      <c r="F45" s="107"/>
      <c r="G45" s="107"/>
      <c r="H45" s="318">
        <f>H13</f>
        <v>15535592.879999999</v>
      </c>
      <c r="I45" s="318">
        <f>I13</f>
        <v>19433934.269518714</v>
      </c>
      <c r="J45" s="319">
        <f>(I45-H45)/I45</f>
        <v>0.20059455463081891</v>
      </c>
    </row>
    <row r="46" spans="1:14" x14ac:dyDescent="0.3">
      <c r="B46" s="107" t="str">
        <f>B24</f>
        <v>Networking Rack Infrastructure</v>
      </c>
      <c r="C46" s="107"/>
      <c r="D46" s="107"/>
      <c r="E46" s="107"/>
      <c r="F46" s="107"/>
      <c r="G46" s="107"/>
      <c r="H46" s="318">
        <f>H24</f>
        <v>0</v>
      </c>
      <c r="I46" s="318">
        <f>I24</f>
        <v>0</v>
      </c>
      <c r="J46" s="319" t="e">
        <f>(I46-H46)/I46</f>
        <v>#DIV/0!</v>
      </c>
    </row>
    <row r="47" spans="1:14" x14ac:dyDescent="0.3">
      <c r="B47" s="320" t="s">
        <v>480</v>
      </c>
      <c r="C47" s="321"/>
      <c r="D47" s="321"/>
      <c r="E47" s="322"/>
      <c r="F47" s="321"/>
      <c r="G47" s="321"/>
      <c r="H47" s="323">
        <f>SUM(H43:H46)</f>
        <v>21298839.600000001</v>
      </c>
      <c r="I47" s="323">
        <f>SUM(I43:I46)</f>
        <v>27640134.194518715</v>
      </c>
      <c r="J47" s="324">
        <f>(I47-H47)/I47</f>
        <v>0.22942343730647477</v>
      </c>
    </row>
    <row r="48" spans="1:14" x14ac:dyDescent="0.3">
      <c r="B48" s="325"/>
      <c r="C48" s="325"/>
      <c r="D48" s="325"/>
      <c r="H48" s="269"/>
      <c r="I48" s="269"/>
    </row>
    <row r="49" spans="1:11" x14ac:dyDescent="0.3">
      <c r="B49" s="326" t="s">
        <v>481</v>
      </c>
      <c r="C49" s="326"/>
      <c r="D49" s="326"/>
      <c r="E49" s="327"/>
      <c r="F49" s="327"/>
      <c r="G49" s="327"/>
      <c r="H49" s="328">
        <f>I49*(1-J49)</f>
        <v>0</v>
      </c>
      <c r="I49" s="328"/>
      <c r="J49" s="314">
        <v>0.35</v>
      </c>
    </row>
    <row r="50" spans="1:11" x14ac:dyDescent="0.3">
      <c r="B50" s="326" t="s">
        <v>482</v>
      </c>
      <c r="C50" s="326"/>
      <c r="D50" s="326"/>
      <c r="E50" s="327"/>
      <c r="F50" s="327"/>
      <c r="G50" s="327"/>
      <c r="H50" s="328">
        <f>I50*(1-J50)</f>
        <v>0</v>
      </c>
      <c r="I50" s="328"/>
      <c r="J50" s="314">
        <v>0.4</v>
      </c>
    </row>
    <row r="51" spans="1:11" x14ac:dyDescent="0.3">
      <c r="B51" s="325"/>
      <c r="C51" s="325"/>
      <c r="D51" s="325"/>
    </row>
    <row r="52" spans="1:11" x14ac:dyDescent="0.3">
      <c r="B52" s="325"/>
      <c r="C52" s="325"/>
      <c r="D52" s="325"/>
    </row>
    <row r="53" spans="1:11" x14ac:dyDescent="0.3">
      <c r="B53" s="329" t="s">
        <v>483</v>
      </c>
      <c r="C53" s="330"/>
      <c r="D53" s="330"/>
      <c r="E53" s="331"/>
      <c r="F53" s="330"/>
      <c r="G53" s="330"/>
    </row>
    <row r="54" spans="1:11" x14ac:dyDescent="0.3">
      <c r="B54" s="332" t="s">
        <v>484</v>
      </c>
      <c r="C54" s="332"/>
      <c r="D54" s="332"/>
      <c r="E54" s="333">
        <v>0</v>
      </c>
      <c r="F54" s="107"/>
      <c r="G54" s="107"/>
    </row>
    <row r="55" spans="1:11" x14ac:dyDescent="0.3">
      <c r="B55" s="332" t="s">
        <v>485</v>
      </c>
      <c r="C55" s="332"/>
      <c r="D55" s="332"/>
      <c r="E55" s="333"/>
      <c r="F55" s="107"/>
      <c r="G55" s="107"/>
    </row>
    <row r="56" spans="1:11" x14ac:dyDescent="0.3">
      <c r="B56" s="332" t="s">
        <v>486</v>
      </c>
      <c r="C56" s="332"/>
      <c r="D56" s="332"/>
      <c r="E56" s="332"/>
      <c r="F56" s="107"/>
      <c r="G56" s="107"/>
    </row>
    <row r="57" spans="1:11" x14ac:dyDescent="0.3">
      <c r="B57" s="332" t="s">
        <v>487</v>
      </c>
      <c r="C57" s="332"/>
      <c r="D57" s="332"/>
      <c r="E57" s="332"/>
      <c r="F57" s="107"/>
      <c r="G57" s="107"/>
    </row>
    <row r="58" spans="1:11" x14ac:dyDescent="0.3">
      <c r="B58" s="332" t="s">
        <v>488</v>
      </c>
      <c r="C58" s="332"/>
      <c r="D58" s="332"/>
      <c r="E58" s="333">
        <v>528</v>
      </c>
      <c r="F58" s="107"/>
      <c r="G58" s="334"/>
    </row>
    <row r="59" spans="1:11" x14ac:dyDescent="0.3">
      <c r="B59" s="332" t="s">
        <v>489</v>
      </c>
      <c r="C59" s="332"/>
      <c r="D59" s="332"/>
      <c r="E59" s="332"/>
      <c r="F59" s="107"/>
      <c r="G59" s="334"/>
    </row>
    <row r="60" spans="1:11" x14ac:dyDescent="0.3">
      <c r="B60" s="332" t="s">
        <v>490</v>
      </c>
      <c r="C60" s="332"/>
      <c r="D60" s="332"/>
      <c r="E60" s="332"/>
      <c r="F60" s="107"/>
      <c r="G60" s="334"/>
    </row>
    <row r="61" spans="1:11" x14ac:dyDescent="0.3">
      <c r="B61" s="335" t="s">
        <v>491</v>
      </c>
      <c r="C61" s="335"/>
      <c r="D61" s="335"/>
      <c r="E61" s="335"/>
      <c r="F61" s="336"/>
      <c r="G61" s="337"/>
    </row>
    <row r="62" spans="1:11" x14ac:dyDescent="0.3">
      <c r="B62" s="335" t="s">
        <v>492</v>
      </c>
      <c r="C62" s="335"/>
      <c r="D62" s="335"/>
      <c r="E62" s="335"/>
      <c r="F62" s="336"/>
      <c r="G62" s="337"/>
    </row>
    <row r="63" spans="1:11" ht="29.4" thickBot="1" x14ac:dyDescent="0.35">
      <c r="A63" t="s">
        <v>493</v>
      </c>
      <c r="B63" s="292" t="s">
        <v>121</v>
      </c>
      <c r="C63" s="293" t="s">
        <v>121</v>
      </c>
      <c r="D63" s="294" t="s">
        <v>122</v>
      </c>
      <c r="E63" s="295">
        <v>2208</v>
      </c>
      <c r="F63" s="296">
        <v>133.56</v>
      </c>
      <c r="G63" s="296">
        <f>F63/(1-J63)</f>
        <v>151.77272727272728</v>
      </c>
      <c r="H63" s="297">
        <f>F63*E63</f>
        <v>294900.47999999998</v>
      </c>
      <c r="I63" s="297">
        <f>G63*E63</f>
        <v>335114.18181818182</v>
      </c>
      <c r="J63" s="298">
        <v>0.12</v>
      </c>
      <c r="K63" s="299"/>
    </row>
    <row r="64" spans="1:11" ht="15" thickBot="1" x14ac:dyDescent="0.35">
      <c r="A64" t="s">
        <v>493</v>
      </c>
      <c r="B64" s="293" t="s">
        <v>173</v>
      </c>
      <c r="C64" s="293" t="s">
        <v>173</v>
      </c>
      <c r="D64" s="294" t="s">
        <v>174</v>
      </c>
      <c r="E64" s="295"/>
      <c r="F64" s="296"/>
      <c r="G64" s="296"/>
      <c r="H64" s="297"/>
      <c r="I64" s="297"/>
      <c r="J64" s="298"/>
      <c r="K64" s="299"/>
    </row>
    <row r="65" spans="1:11" ht="29.4" thickBot="1" x14ac:dyDescent="0.35">
      <c r="A65" t="s">
        <v>493</v>
      </c>
      <c r="B65" s="292" t="s">
        <v>190</v>
      </c>
      <c r="C65" s="293" t="s">
        <v>190</v>
      </c>
      <c r="D65" s="294" t="s">
        <v>191</v>
      </c>
      <c r="E65" s="295">
        <v>16</v>
      </c>
      <c r="F65" s="296">
        <v>45</v>
      </c>
      <c r="G65" s="296">
        <f>F65/(1-J65)</f>
        <v>51.136363636363633</v>
      </c>
      <c r="H65" s="297">
        <f t="shared" ref="H65:H66" si="8">F65*E65</f>
        <v>720</v>
      </c>
      <c r="I65" s="297">
        <f t="shared" ref="I65:I66" si="9">G65*E65</f>
        <v>818.18181818181813</v>
      </c>
      <c r="J65" s="298">
        <v>0.12</v>
      </c>
      <c r="K65" s="299"/>
    </row>
    <row r="66" spans="1:11" ht="29.4" thickBot="1" x14ac:dyDescent="0.35">
      <c r="A66" t="s">
        <v>493</v>
      </c>
      <c r="B66" s="292" t="s">
        <v>187</v>
      </c>
      <c r="C66" s="293" t="s">
        <v>187</v>
      </c>
      <c r="D66" s="294" t="s">
        <v>188</v>
      </c>
      <c r="E66" s="295">
        <v>16</v>
      </c>
      <c r="F66" s="296">
        <v>65.87</v>
      </c>
      <c r="G66" s="296">
        <f>F66/(1-J66)</f>
        <v>74.852272727272734</v>
      </c>
      <c r="H66" s="297">
        <f t="shared" si="8"/>
        <v>1053.92</v>
      </c>
      <c r="I66" s="297">
        <f t="shared" si="9"/>
        <v>1197.6363636363637</v>
      </c>
      <c r="J66" s="298">
        <v>0.12</v>
      </c>
      <c r="K66" s="299"/>
    </row>
    <row r="67" spans="1:11" ht="29.4" thickBot="1" x14ac:dyDescent="0.35">
      <c r="A67" t="s">
        <v>493</v>
      </c>
      <c r="B67" s="292" t="s">
        <v>121</v>
      </c>
      <c r="C67" s="293" t="s">
        <v>121</v>
      </c>
      <c r="D67" s="294" t="s">
        <v>122</v>
      </c>
      <c r="E67" s="295">
        <v>24</v>
      </c>
      <c r="F67" s="296">
        <v>133.56</v>
      </c>
      <c r="G67" s="296">
        <f>F67/(1-J67)</f>
        <v>151.77272727272728</v>
      </c>
      <c r="H67" s="297">
        <f>F67*E67</f>
        <v>3205.44</v>
      </c>
      <c r="I67" s="297">
        <f>G67*E67</f>
        <v>3642.545454545455</v>
      </c>
      <c r="J67" s="298">
        <v>0.12</v>
      </c>
      <c r="K67" s="299"/>
    </row>
    <row r="68" spans="1:11" x14ac:dyDescent="0.3">
      <c r="B68" s="338"/>
      <c r="C68" s="338"/>
      <c r="D68" s="338"/>
    </row>
  </sheetData>
  <pageMargins left="0.7" right="0.7" top="0.75" bottom="0.75" header="0.3" footer="0.3"/>
  <headerFooter>
    <oddFooter>&amp;L_x000D_&amp;1#&amp;"Aptos"&amp;7&amp;K737373 Internal Use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77734375" style="1" customWidth="1"/>
    <col min="2" max="2" width="12.44140625" style="1" customWidth="1"/>
    <col min="3" max="3" width="12.77734375" style="1" customWidth="1"/>
    <col min="4" max="4" width="54.5546875" style="1" customWidth="1"/>
    <col min="5" max="5" width="11.7773437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494</v>
      </c>
    </row>
    <row r="3" spans="1:14" x14ac:dyDescent="0.3">
      <c r="A3" s="1" t="s">
        <v>495</v>
      </c>
    </row>
    <row r="4" spans="1:14" x14ac:dyDescent="0.3">
      <c r="A4" s="1" t="s">
        <v>496</v>
      </c>
    </row>
    <row r="5" spans="1:14" x14ac:dyDescent="0.3">
      <c r="A5" s="1" t="s">
        <v>497</v>
      </c>
    </row>
    <row r="6" spans="1:14" x14ac:dyDescent="0.3">
      <c r="A6" s="1" t="s">
        <v>498</v>
      </c>
    </row>
    <row r="7" spans="1:14" ht="43.2" x14ac:dyDescent="0.3">
      <c r="A7" s="2" t="s">
        <v>499</v>
      </c>
    </row>
    <row r="8" spans="1:14" x14ac:dyDescent="0.3">
      <c r="A8" s="3"/>
      <c r="B8" s="3" t="s">
        <v>500</v>
      </c>
      <c r="C8" s="3" t="s">
        <v>501</v>
      </c>
      <c r="D8" s="3" t="s">
        <v>502</v>
      </c>
      <c r="E8" s="3" t="s">
        <v>503</v>
      </c>
      <c r="F8" s="3" t="s">
        <v>504</v>
      </c>
      <c r="G8" s="3" t="s">
        <v>505</v>
      </c>
      <c r="H8" s="3" t="s">
        <v>506</v>
      </c>
      <c r="I8" s="3" t="s">
        <v>507</v>
      </c>
      <c r="J8" s="3" t="s">
        <v>508</v>
      </c>
      <c r="K8" s="3" t="s">
        <v>509</v>
      </c>
      <c r="L8" s="3" t="s">
        <v>510</v>
      </c>
      <c r="M8" s="3" t="s">
        <v>511</v>
      </c>
      <c r="N8" s="3" t="s">
        <v>512</v>
      </c>
    </row>
    <row r="9" spans="1:14" x14ac:dyDescent="0.3">
      <c r="B9" s="1" t="s">
        <v>513</v>
      </c>
      <c r="C9" s="1" t="s">
        <v>514</v>
      </c>
      <c r="D9" s="1" t="s">
        <v>515</v>
      </c>
      <c r="E9" s="1">
        <v>8</v>
      </c>
      <c r="F9" s="4">
        <v>326247.63</v>
      </c>
      <c r="G9" s="4">
        <v>2609981.04</v>
      </c>
    </row>
    <row r="10" spans="1:14" x14ac:dyDescent="0.3">
      <c r="H10" s="1" t="s">
        <v>516</v>
      </c>
      <c r="I10" s="1" t="s">
        <v>517</v>
      </c>
      <c r="J10" s="1" t="s">
        <v>518</v>
      </c>
      <c r="K10" s="4">
        <v>4496.13</v>
      </c>
      <c r="L10" s="1" t="s">
        <v>519</v>
      </c>
      <c r="M10" s="1">
        <v>1</v>
      </c>
    </row>
    <row r="11" spans="1:14" x14ac:dyDescent="0.3">
      <c r="H11" s="1" t="s">
        <v>520</v>
      </c>
      <c r="I11" s="1" t="s">
        <v>521</v>
      </c>
      <c r="J11" s="1" t="s">
        <v>522</v>
      </c>
      <c r="K11" s="4">
        <v>0</v>
      </c>
      <c r="L11" s="1" t="s">
        <v>523</v>
      </c>
      <c r="M11" s="1">
        <v>1</v>
      </c>
    </row>
    <row r="12" spans="1:14" x14ac:dyDescent="0.3">
      <c r="H12" s="1" t="s">
        <v>524</v>
      </c>
      <c r="I12" s="1" t="s">
        <v>525</v>
      </c>
      <c r="J12" s="1" t="s">
        <v>526</v>
      </c>
      <c r="K12" s="4">
        <v>0</v>
      </c>
      <c r="L12" s="1" t="s">
        <v>527</v>
      </c>
      <c r="M12" s="1">
        <v>1</v>
      </c>
    </row>
    <row r="13" spans="1:14" x14ac:dyDescent="0.3">
      <c r="H13" s="1" t="s">
        <v>528</v>
      </c>
      <c r="I13" s="1" t="s">
        <v>529</v>
      </c>
      <c r="J13" s="1" t="s">
        <v>530</v>
      </c>
      <c r="K13" s="4">
        <v>0</v>
      </c>
      <c r="L13" s="1" t="s">
        <v>531</v>
      </c>
      <c r="M13" s="1">
        <v>1</v>
      </c>
    </row>
    <row r="14" spans="1:14" x14ac:dyDescent="0.3">
      <c r="H14" s="1" t="s">
        <v>532</v>
      </c>
      <c r="I14" s="1" t="s">
        <v>533</v>
      </c>
      <c r="J14" s="1" t="s">
        <v>534</v>
      </c>
      <c r="K14" s="4">
        <v>99</v>
      </c>
      <c r="L14" s="1" t="s">
        <v>535</v>
      </c>
      <c r="M14" s="1">
        <v>1</v>
      </c>
    </row>
    <row r="15" spans="1:14" x14ac:dyDescent="0.3">
      <c r="H15" s="1" t="s">
        <v>536</v>
      </c>
      <c r="I15" s="1" t="s">
        <v>537</v>
      </c>
      <c r="J15" s="1" t="s">
        <v>538</v>
      </c>
      <c r="K15" s="4">
        <v>1080</v>
      </c>
      <c r="L15" s="1" t="s">
        <v>539</v>
      </c>
      <c r="M15" s="1">
        <v>1</v>
      </c>
    </row>
    <row r="16" spans="1:14" x14ac:dyDescent="0.3">
      <c r="H16" s="1" t="s">
        <v>540</v>
      </c>
      <c r="I16" s="1" t="s">
        <v>541</v>
      </c>
      <c r="J16" s="1" t="s">
        <v>542</v>
      </c>
      <c r="K16" s="4">
        <v>10645</v>
      </c>
      <c r="L16" s="1" t="s">
        <v>543</v>
      </c>
      <c r="M16" s="1">
        <v>1</v>
      </c>
    </row>
    <row r="17" spans="8:13" x14ac:dyDescent="0.3">
      <c r="H17" s="1" t="s">
        <v>544</v>
      </c>
      <c r="I17" s="1" t="s">
        <v>545</v>
      </c>
      <c r="J17" s="1" t="s">
        <v>546</v>
      </c>
      <c r="K17" s="4">
        <v>157.4</v>
      </c>
      <c r="L17" s="1" t="s">
        <v>547</v>
      </c>
      <c r="M17" s="1">
        <v>1</v>
      </c>
    </row>
    <row r="18" spans="8:13" x14ac:dyDescent="0.3">
      <c r="H18" s="1" t="s">
        <v>548</v>
      </c>
      <c r="I18" s="1" t="s">
        <v>549</v>
      </c>
      <c r="J18" s="1" t="s">
        <v>550</v>
      </c>
      <c r="K18" s="4">
        <v>0</v>
      </c>
      <c r="L18" s="1" t="s">
        <v>551</v>
      </c>
      <c r="M18" s="1">
        <v>1</v>
      </c>
    </row>
    <row r="19" spans="8:13" x14ac:dyDescent="0.3">
      <c r="H19" s="1" t="s">
        <v>552</v>
      </c>
      <c r="I19" s="1" t="s">
        <v>553</v>
      </c>
      <c r="J19" s="1" t="s">
        <v>554</v>
      </c>
      <c r="K19" s="4">
        <v>0</v>
      </c>
      <c r="L19" s="1" t="s">
        <v>555</v>
      </c>
      <c r="M19" s="1">
        <v>1</v>
      </c>
    </row>
    <row r="20" spans="8:13" x14ac:dyDescent="0.3">
      <c r="H20" s="1" t="s">
        <v>556</v>
      </c>
      <c r="I20" s="1" t="s">
        <v>557</v>
      </c>
      <c r="J20" s="1" t="s">
        <v>558</v>
      </c>
      <c r="K20" s="4">
        <v>25824</v>
      </c>
      <c r="L20" s="1" t="s">
        <v>559</v>
      </c>
      <c r="M20" s="1">
        <v>12</v>
      </c>
    </row>
    <row r="21" spans="8:13" x14ac:dyDescent="0.3">
      <c r="H21" s="1" t="s">
        <v>560</v>
      </c>
      <c r="I21" s="1" t="s">
        <v>561</v>
      </c>
      <c r="J21" s="1" t="s">
        <v>562</v>
      </c>
      <c r="K21" s="4">
        <v>0</v>
      </c>
      <c r="L21" s="1" t="s">
        <v>563</v>
      </c>
      <c r="M21" s="1">
        <v>1</v>
      </c>
    </row>
    <row r="22" spans="8:13" x14ac:dyDescent="0.3">
      <c r="H22" s="1" t="s">
        <v>564</v>
      </c>
      <c r="I22" s="1" t="s">
        <v>565</v>
      </c>
      <c r="J22" s="1" t="s">
        <v>566</v>
      </c>
      <c r="K22" s="4">
        <v>0</v>
      </c>
      <c r="L22" s="1" t="s">
        <v>567</v>
      </c>
      <c r="M22" s="1">
        <v>1</v>
      </c>
    </row>
    <row r="23" spans="8:13" x14ac:dyDescent="0.3">
      <c r="H23" s="1" t="s">
        <v>568</v>
      </c>
      <c r="I23" s="1" t="s">
        <v>569</v>
      </c>
      <c r="J23" s="1" t="s">
        <v>570</v>
      </c>
      <c r="K23" s="4">
        <v>0</v>
      </c>
      <c r="L23" s="1" t="s">
        <v>571</v>
      </c>
      <c r="M23" s="1">
        <v>1</v>
      </c>
    </row>
    <row r="24" spans="8:13" x14ac:dyDescent="0.3">
      <c r="H24" s="1" t="s">
        <v>572</v>
      </c>
      <c r="I24" s="1" t="s">
        <v>573</v>
      </c>
      <c r="J24" s="1" t="s">
        <v>574</v>
      </c>
      <c r="K24" s="4">
        <v>253785.98</v>
      </c>
      <c r="L24" s="1" t="s">
        <v>575</v>
      </c>
      <c r="M24" s="1">
        <v>14</v>
      </c>
    </row>
    <row r="25" spans="8:13" x14ac:dyDescent="0.3">
      <c r="H25" s="1" t="s">
        <v>576</v>
      </c>
      <c r="I25" s="1" t="s">
        <v>577</v>
      </c>
      <c r="J25" s="1" t="s">
        <v>578</v>
      </c>
      <c r="K25" s="4">
        <v>0</v>
      </c>
      <c r="L25" s="1" t="s">
        <v>579</v>
      </c>
      <c r="M25" s="1">
        <v>1</v>
      </c>
    </row>
    <row r="26" spans="8:13" x14ac:dyDescent="0.3">
      <c r="H26" s="1" t="s">
        <v>580</v>
      </c>
      <c r="I26" s="1" t="s">
        <v>581</v>
      </c>
      <c r="J26" s="1" t="s">
        <v>582</v>
      </c>
      <c r="K26" s="4">
        <v>0</v>
      </c>
      <c r="L26" s="1" t="s">
        <v>583</v>
      </c>
      <c r="M26" s="1">
        <v>1</v>
      </c>
    </row>
    <row r="27" spans="8:13" x14ac:dyDescent="0.3">
      <c r="H27" s="1" t="s">
        <v>584</v>
      </c>
      <c r="I27" s="1" t="s">
        <v>585</v>
      </c>
      <c r="J27" s="1" t="s">
        <v>586</v>
      </c>
      <c r="K27" s="4">
        <v>299</v>
      </c>
      <c r="L27" s="1" t="s">
        <v>587</v>
      </c>
      <c r="M27" s="1">
        <v>1</v>
      </c>
    </row>
    <row r="28" spans="8:13" x14ac:dyDescent="0.3">
      <c r="H28" s="1" t="s">
        <v>588</v>
      </c>
      <c r="I28" s="1" t="s">
        <v>589</v>
      </c>
      <c r="J28" s="1" t="s">
        <v>590</v>
      </c>
      <c r="K28" s="4">
        <v>1429</v>
      </c>
      <c r="L28" s="1" t="s">
        <v>591</v>
      </c>
      <c r="M28" s="1">
        <v>1</v>
      </c>
    </row>
    <row r="29" spans="8:13" x14ac:dyDescent="0.3">
      <c r="H29" s="1" t="s">
        <v>592</v>
      </c>
      <c r="I29" s="1" t="s">
        <v>593</v>
      </c>
      <c r="J29" s="1" t="s">
        <v>594</v>
      </c>
      <c r="K29" s="4">
        <v>70</v>
      </c>
      <c r="L29" s="1" t="s">
        <v>595</v>
      </c>
      <c r="M29" s="1">
        <v>2</v>
      </c>
    </row>
    <row r="30" spans="8:13" x14ac:dyDescent="0.3">
      <c r="H30" s="1" t="s">
        <v>596</v>
      </c>
      <c r="I30" s="1" t="s">
        <v>597</v>
      </c>
      <c r="J30" s="1" t="s">
        <v>598</v>
      </c>
      <c r="K30" s="4">
        <v>1147.5999999999999</v>
      </c>
      <c r="L30" s="1" t="s">
        <v>599</v>
      </c>
      <c r="M30" s="1">
        <v>1</v>
      </c>
    </row>
    <row r="31" spans="8:13" x14ac:dyDescent="0.3">
      <c r="H31" s="1" t="s">
        <v>600</v>
      </c>
      <c r="I31" s="1" t="s">
        <v>601</v>
      </c>
      <c r="J31" s="1" t="s">
        <v>602</v>
      </c>
      <c r="K31" s="4">
        <v>0</v>
      </c>
      <c r="L31" s="1" t="s">
        <v>603</v>
      </c>
      <c r="M31" s="1">
        <v>1</v>
      </c>
    </row>
    <row r="32" spans="8:13" x14ac:dyDescent="0.3">
      <c r="H32" s="1" t="s">
        <v>604</v>
      </c>
      <c r="I32" s="1" t="s">
        <v>605</v>
      </c>
      <c r="J32" s="1" t="s">
        <v>606</v>
      </c>
      <c r="K32" s="4">
        <v>709</v>
      </c>
      <c r="L32" s="1" t="s">
        <v>607</v>
      </c>
      <c r="M32" s="1">
        <v>1</v>
      </c>
    </row>
    <row r="33" spans="8:13" x14ac:dyDescent="0.3">
      <c r="H33" s="1" t="s">
        <v>608</v>
      </c>
      <c r="I33" s="1" t="s">
        <v>609</v>
      </c>
      <c r="J33" s="1" t="s">
        <v>610</v>
      </c>
      <c r="K33" s="4">
        <v>139</v>
      </c>
      <c r="L33" s="1" t="s">
        <v>611</v>
      </c>
      <c r="M33" s="1">
        <v>1</v>
      </c>
    </row>
    <row r="34" spans="8:13" x14ac:dyDescent="0.3">
      <c r="H34" s="1" t="s">
        <v>608</v>
      </c>
      <c r="I34" s="1" t="s">
        <v>612</v>
      </c>
      <c r="J34" s="1" t="s">
        <v>613</v>
      </c>
      <c r="K34" s="4">
        <v>18938</v>
      </c>
      <c r="L34" s="1" t="s">
        <v>614</v>
      </c>
      <c r="M34" s="1">
        <v>2</v>
      </c>
    </row>
    <row r="35" spans="8:13" x14ac:dyDescent="0.3">
      <c r="H35" s="1" t="s">
        <v>615</v>
      </c>
      <c r="I35" s="1" t="s">
        <v>616</v>
      </c>
      <c r="J35" s="1" t="s">
        <v>617</v>
      </c>
      <c r="K35" s="4">
        <v>49</v>
      </c>
      <c r="L35" s="1" t="s">
        <v>618</v>
      </c>
      <c r="M35" s="1">
        <v>1</v>
      </c>
    </row>
    <row r="36" spans="8:13" x14ac:dyDescent="0.3">
      <c r="H36" s="1" t="s">
        <v>619</v>
      </c>
      <c r="I36" s="1" t="s">
        <v>620</v>
      </c>
      <c r="J36" s="1" t="s">
        <v>621</v>
      </c>
      <c r="K36" s="4">
        <v>4070</v>
      </c>
      <c r="L36" s="1" t="s">
        <v>622</v>
      </c>
      <c r="M36" s="1">
        <v>1</v>
      </c>
    </row>
    <row r="37" spans="8:13" x14ac:dyDescent="0.3">
      <c r="H37" s="1" t="s">
        <v>623</v>
      </c>
      <c r="I37" s="1" t="s">
        <v>624</v>
      </c>
      <c r="J37" s="1" t="s">
        <v>625</v>
      </c>
      <c r="K37" s="4">
        <v>0</v>
      </c>
      <c r="L37" s="1" t="s">
        <v>626</v>
      </c>
      <c r="M37" s="1">
        <v>1</v>
      </c>
    </row>
    <row r="38" spans="8:13" x14ac:dyDescent="0.3">
      <c r="H38" s="1" t="s">
        <v>627</v>
      </c>
      <c r="I38" s="1" t="s">
        <v>628</v>
      </c>
      <c r="J38" s="1" t="s">
        <v>629</v>
      </c>
      <c r="K38" s="4">
        <v>0</v>
      </c>
      <c r="L38" s="1" t="s">
        <v>630</v>
      </c>
      <c r="M38" s="1">
        <v>1</v>
      </c>
    </row>
    <row r="39" spans="8:13" x14ac:dyDescent="0.3">
      <c r="H39" s="1" t="s">
        <v>631</v>
      </c>
      <c r="I39" s="1" t="s">
        <v>632</v>
      </c>
      <c r="J39" s="1" t="s">
        <v>633</v>
      </c>
      <c r="K39" s="4">
        <v>0</v>
      </c>
      <c r="L39" s="1" t="s">
        <v>634</v>
      </c>
      <c r="M39" s="1">
        <v>1</v>
      </c>
    </row>
    <row r="40" spans="8:13" x14ac:dyDescent="0.3">
      <c r="H40" s="1" t="s">
        <v>631</v>
      </c>
      <c r="I40" s="1" t="s">
        <v>635</v>
      </c>
      <c r="J40" s="1" t="s">
        <v>636</v>
      </c>
      <c r="K40" s="4">
        <v>99</v>
      </c>
      <c r="L40" s="1" t="s">
        <v>637</v>
      </c>
      <c r="M40" s="1">
        <v>1</v>
      </c>
    </row>
    <row r="41" spans="8:13" x14ac:dyDescent="0.3">
      <c r="H41" s="1" t="s">
        <v>631</v>
      </c>
      <c r="I41" s="1" t="s">
        <v>638</v>
      </c>
      <c r="J41" s="1" t="s">
        <v>639</v>
      </c>
      <c r="K41" s="4">
        <v>1288</v>
      </c>
      <c r="L41" s="1" t="s">
        <v>640</v>
      </c>
      <c r="M41" s="1">
        <v>1</v>
      </c>
    </row>
    <row r="42" spans="8:13" x14ac:dyDescent="0.3">
      <c r="H42" s="1" t="s">
        <v>641</v>
      </c>
      <c r="I42" s="1" t="s">
        <v>642</v>
      </c>
      <c r="J42" s="1" t="s">
        <v>643</v>
      </c>
      <c r="K42" s="4">
        <v>0</v>
      </c>
      <c r="L42" s="1" t="s">
        <v>644</v>
      </c>
      <c r="M42" s="1">
        <v>1</v>
      </c>
    </row>
    <row r="43" spans="8:13" x14ac:dyDescent="0.3">
      <c r="H43" s="1" t="s">
        <v>645</v>
      </c>
      <c r="I43" s="1" t="s">
        <v>646</v>
      </c>
      <c r="J43" s="1" t="s">
        <v>647</v>
      </c>
      <c r="K43" s="4">
        <v>0</v>
      </c>
      <c r="L43" s="1" t="s">
        <v>648</v>
      </c>
      <c r="M43" s="1">
        <v>1</v>
      </c>
    </row>
    <row r="44" spans="8:13" x14ac:dyDescent="0.3">
      <c r="H44" s="1" t="s">
        <v>649</v>
      </c>
      <c r="I44" s="1" t="s">
        <v>650</v>
      </c>
      <c r="J44" s="1" t="s">
        <v>651</v>
      </c>
      <c r="K44" s="4">
        <v>0</v>
      </c>
      <c r="L44" s="1" t="s">
        <v>652</v>
      </c>
      <c r="M44" s="1">
        <v>1</v>
      </c>
    </row>
    <row r="45" spans="8:13" x14ac:dyDescent="0.3">
      <c r="H45" s="1" t="s">
        <v>653</v>
      </c>
      <c r="I45" s="1" t="s">
        <v>654</v>
      </c>
      <c r="J45" s="1" t="s">
        <v>655</v>
      </c>
      <c r="K45" s="4">
        <v>187.51</v>
      </c>
      <c r="L45" s="1" t="s">
        <v>656</v>
      </c>
      <c r="M45" s="1">
        <v>1</v>
      </c>
    </row>
    <row r="46" spans="8:13" x14ac:dyDescent="0.3">
      <c r="H46" s="1" t="s">
        <v>657</v>
      </c>
      <c r="I46" s="1" t="s">
        <v>658</v>
      </c>
      <c r="J46" s="1" t="s">
        <v>659</v>
      </c>
      <c r="K46" s="4">
        <v>0</v>
      </c>
      <c r="L46" s="1" t="s">
        <v>660</v>
      </c>
      <c r="M46" s="1">
        <v>1</v>
      </c>
    </row>
    <row r="47" spans="8:13" x14ac:dyDescent="0.3">
      <c r="H47" s="1" t="s">
        <v>661</v>
      </c>
      <c r="I47" s="1" t="s">
        <v>662</v>
      </c>
      <c r="J47" s="1" t="s">
        <v>663</v>
      </c>
      <c r="K47" s="4">
        <v>10</v>
      </c>
      <c r="L47" s="1" t="s">
        <v>664</v>
      </c>
      <c r="M47" s="1">
        <v>1</v>
      </c>
    </row>
    <row r="48" spans="8:13" x14ac:dyDescent="0.3">
      <c r="H48" s="1" t="s">
        <v>665</v>
      </c>
      <c r="I48" s="1" t="s">
        <v>666</v>
      </c>
      <c r="J48" s="1" t="s">
        <v>667</v>
      </c>
      <c r="K48" s="4">
        <v>99</v>
      </c>
      <c r="L48" s="1" t="s">
        <v>668</v>
      </c>
      <c r="M48" s="1">
        <v>1</v>
      </c>
    </row>
    <row r="49" spans="1:13" x14ac:dyDescent="0.3">
      <c r="H49" s="1" t="s">
        <v>669</v>
      </c>
      <c r="I49" s="1" t="s">
        <v>670</v>
      </c>
      <c r="J49" s="1" t="s">
        <v>671</v>
      </c>
      <c r="K49" s="4">
        <v>0</v>
      </c>
      <c r="L49" s="1" t="s">
        <v>672</v>
      </c>
      <c r="M49" s="1">
        <v>1</v>
      </c>
    </row>
    <row r="50" spans="1:13" x14ac:dyDescent="0.3">
      <c r="H50" s="1" t="s">
        <v>673</v>
      </c>
      <c r="I50" s="1" t="s">
        <v>674</v>
      </c>
      <c r="J50" s="1" t="s">
        <v>675</v>
      </c>
      <c r="K50" s="4">
        <v>0</v>
      </c>
      <c r="L50" s="1" t="s">
        <v>676</v>
      </c>
      <c r="M50" s="1">
        <v>1</v>
      </c>
    </row>
    <row r="51" spans="1:13" x14ac:dyDescent="0.3">
      <c r="H51" s="1" t="s">
        <v>677</v>
      </c>
      <c r="I51" s="1" t="s">
        <v>678</v>
      </c>
      <c r="J51" s="1" t="s">
        <v>679</v>
      </c>
      <c r="K51" s="4">
        <v>0</v>
      </c>
      <c r="L51" s="1" t="s">
        <v>680</v>
      </c>
      <c r="M51" s="1">
        <v>1</v>
      </c>
    </row>
    <row r="52" spans="1:13" x14ac:dyDescent="0.3">
      <c r="H52" s="1" t="s">
        <v>681</v>
      </c>
      <c r="I52" s="1" t="s">
        <v>682</v>
      </c>
      <c r="J52" s="1" t="s">
        <v>683</v>
      </c>
      <c r="K52" s="4">
        <v>1626.01</v>
      </c>
      <c r="L52" s="1" t="s">
        <v>684</v>
      </c>
      <c r="M52" s="1">
        <v>1</v>
      </c>
    </row>
    <row r="53" spans="1:13" x14ac:dyDescent="0.3">
      <c r="H53" s="1" t="s">
        <v>685</v>
      </c>
      <c r="I53" s="1" t="s">
        <v>686</v>
      </c>
      <c r="J53" s="1" t="s">
        <v>687</v>
      </c>
      <c r="K53" s="4">
        <v>0</v>
      </c>
      <c r="L53" s="1" t="s">
        <v>688</v>
      </c>
      <c r="M53" s="1">
        <v>1</v>
      </c>
    </row>
    <row r="54" spans="1:13" x14ac:dyDescent="0.3">
      <c r="B54" s="1" t="s">
        <v>513</v>
      </c>
      <c r="C54" s="1" t="s">
        <v>514</v>
      </c>
      <c r="D54" s="1" t="s">
        <v>689</v>
      </c>
      <c r="E54" s="1">
        <v>480</v>
      </c>
      <c r="F54" s="4">
        <v>1125</v>
      </c>
      <c r="G54" s="4">
        <v>540000</v>
      </c>
      <c r="L54" s="1" t="s">
        <v>690</v>
      </c>
    </row>
    <row r="55" spans="1:13" x14ac:dyDescent="0.3">
      <c r="B55" s="1" t="s">
        <v>513</v>
      </c>
      <c r="C55" s="1" t="s">
        <v>514</v>
      </c>
      <c r="D55" s="1" t="s">
        <v>691</v>
      </c>
      <c r="E55" s="1">
        <v>1</v>
      </c>
      <c r="F55" s="4">
        <v>25000</v>
      </c>
      <c r="G55" s="4">
        <v>25000</v>
      </c>
      <c r="L55" s="1" t="s">
        <v>692</v>
      </c>
    </row>
    <row r="58" spans="1:13" x14ac:dyDescent="0.3">
      <c r="A58" s="1" t="s">
        <v>693</v>
      </c>
    </row>
  </sheetData>
  <pageMargins left="0.75" right="0.75" top="0.75" bottom="0.5" header="0.5" footer="0.7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77734375" style="1" customWidth="1"/>
    <col min="2" max="2" width="12.44140625" style="1" customWidth="1"/>
    <col min="3" max="3" width="12.77734375" style="1" customWidth="1"/>
    <col min="4" max="4" width="44.21875" style="1" customWidth="1"/>
    <col min="5" max="5" width="11.77734375" style="1" customWidth="1"/>
    <col min="6" max="6" width="14.109375" style="1" customWidth="1"/>
    <col min="7" max="7" width="18.88671875" style="1" customWidth="1"/>
    <col min="8" max="8" width="46.109375" style="1" customWidth="1"/>
    <col min="9" max="9" width="10.7773437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694</v>
      </c>
    </row>
    <row r="3" spans="1:14" x14ac:dyDescent="0.3">
      <c r="A3" s="1" t="s">
        <v>695</v>
      </c>
    </row>
    <row r="4" spans="1:14" x14ac:dyDescent="0.3">
      <c r="A4" s="1" t="s">
        <v>496</v>
      </c>
    </row>
    <row r="5" spans="1:14" x14ac:dyDescent="0.3">
      <c r="A5" s="1" t="s">
        <v>696</v>
      </c>
    </row>
    <row r="6" spans="1:14" x14ac:dyDescent="0.3">
      <c r="A6" s="1" t="s">
        <v>697</v>
      </c>
    </row>
    <row r="7" spans="1:14" ht="43.2" x14ac:dyDescent="0.3">
      <c r="A7" s="2" t="s">
        <v>499</v>
      </c>
    </row>
    <row r="8" spans="1:14" x14ac:dyDescent="0.3">
      <c r="A8" s="3"/>
      <c r="B8" s="3" t="s">
        <v>500</v>
      </c>
      <c r="C8" s="3" t="s">
        <v>501</v>
      </c>
      <c r="D8" s="3" t="s">
        <v>502</v>
      </c>
      <c r="E8" s="3" t="s">
        <v>503</v>
      </c>
      <c r="F8" s="3" t="s">
        <v>504</v>
      </c>
      <c r="G8" s="3" t="s">
        <v>505</v>
      </c>
      <c r="H8" s="3" t="s">
        <v>506</v>
      </c>
      <c r="I8" s="3" t="s">
        <v>507</v>
      </c>
      <c r="J8" s="3" t="s">
        <v>508</v>
      </c>
      <c r="K8" s="3" t="s">
        <v>509</v>
      </c>
      <c r="L8" s="3" t="s">
        <v>510</v>
      </c>
      <c r="M8" s="3" t="s">
        <v>511</v>
      </c>
      <c r="N8" s="3" t="s">
        <v>512</v>
      </c>
    </row>
    <row r="9" spans="1:14" x14ac:dyDescent="0.3">
      <c r="B9" s="1" t="s">
        <v>513</v>
      </c>
      <c r="C9" s="1" t="s">
        <v>698</v>
      </c>
      <c r="D9" s="1" t="s">
        <v>699</v>
      </c>
      <c r="E9" s="1">
        <v>2</v>
      </c>
      <c r="F9" s="4">
        <v>95460.32</v>
      </c>
      <c r="G9" s="4">
        <v>190920.64</v>
      </c>
    </row>
    <row r="10" spans="1:14" x14ac:dyDescent="0.3">
      <c r="H10" s="1" t="s">
        <v>700</v>
      </c>
      <c r="I10" s="1" t="s">
        <v>701</v>
      </c>
      <c r="J10" s="1" t="s">
        <v>702</v>
      </c>
      <c r="K10" s="4">
        <v>5014</v>
      </c>
      <c r="L10" s="1" t="s">
        <v>703</v>
      </c>
      <c r="M10" s="1">
        <v>1</v>
      </c>
    </row>
    <row r="11" spans="1:14" x14ac:dyDescent="0.3">
      <c r="H11" s="1" t="s">
        <v>532</v>
      </c>
      <c r="I11" s="1" t="s">
        <v>533</v>
      </c>
      <c r="J11" s="1" t="s">
        <v>534</v>
      </c>
      <c r="K11" s="4">
        <v>99</v>
      </c>
      <c r="L11" s="1" t="s">
        <v>535</v>
      </c>
      <c r="M11" s="1">
        <v>1</v>
      </c>
    </row>
    <row r="12" spans="1:14" x14ac:dyDescent="0.3">
      <c r="H12" s="1" t="s">
        <v>536</v>
      </c>
      <c r="I12" s="1" t="s">
        <v>704</v>
      </c>
      <c r="J12" s="1" t="s">
        <v>705</v>
      </c>
      <c r="K12" s="4">
        <v>580</v>
      </c>
      <c r="L12" s="1" t="s">
        <v>706</v>
      </c>
      <c r="M12" s="1">
        <v>1</v>
      </c>
    </row>
    <row r="13" spans="1:14" x14ac:dyDescent="0.3">
      <c r="H13" s="1" t="s">
        <v>540</v>
      </c>
      <c r="I13" s="1" t="s">
        <v>707</v>
      </c>
      <c r="J13" s="1" t="s">
        <v>708</v>
      </c>
      <c r="K13" s="4">
        <v>8199</v>
      </c>
      <c r="L13" s="1" t="s">
        <v>709</v>
      </c>
      <c r="M13" s="1">
        <v>1</v>
      </c>
    </row>
    <row r="14" spans="1:14" x14ac:dyDescent="0.3">
      <c r="H14" s="1" t="s">
        <v>710</v>
      </c>
      <c r="I14" s="1" t="s">
        <v>711</v>
      </c>
      <c r="J14" s="1" t="s">
        <v>708</v>
      </c>
      <c r="K14" s="4">
        <v>8199</v>
      </c>
      <c r="L14" s="1" t="s">
        <v>712</v>
      </c>
      <c r="M14" s="1">
        <v>1</v>
      </c>
    </row>
    <row r="15" spans="1:14" x14ac:dyDescent="0.3">
      <c r="H15" s="1" t="s">
        <v>713</v>
      </c>
      <c r="I15" s="1" t="s">
        <v>714</v>
      </c>
      <c r="J15" s="1" t="s">
        <v>715</v>
      </c>
      <c r="K15" s="4">
        <v>0</v>
      </c>
      <c r="L15" s="1" t="s">
        <v>716</v>
      </c>
      <c r="M15" s="1">
        <v>1</v>
      </c>
    </row>
    <row r="16" spans="1:14" x14ac:dyDescent="0.3">
      <c r="H16" s="1" t="s">
        <v>544</v>
      </c>
      <c r="I16" s="1" t="s">
        <v>717</v>
      </c>
      <c r="J16" s="1" t="s">
        <v>718</v>
      </c>
      <c r="K16" s="4">
        <v>217.45</v>
      </c>
      <c r="L16" s="1" t="s">
        <v>719</v>
      </c>
      <c r="M16" s="1">
        <v>1</v>
      </c>
    </row>
    <row r="17" spans="8:13" x14ac:dyDescent="0.3">
      <c r="H17" s="1" t="s">
        <v>548</v>
      </c>
      <c r="I17" s="1" t="s">
        <v>720</v>
      </c>
      <c r="J17" s="1" t="s">
        <v>550</v>
      </c>
      <c r="K17" s="4">
        <v>0</v>
      </c>
      <c r="L17" s="1" t="s">
        <v>721</v>
      </c>
      <c r="M17" s="1">
        <v>1</v>
      </c>
    </row>
    <row r="18" spans="8:13" x14ac:dyDescent="0.3">
      <c r="H18" s="1" t="s">
        <v>552</v>
      </c>
      <c r="I18" s="1" t="s">
        <v>553</v>
      </c>
      <c r="J18" s="1" t="s">
        <v>554</v>
      </c>
      <c r="K18" s="4">
        <v>0</v>
      </c>
      <c r="L18" s="1" t="s">
        <v>555</v>
      </c>
      <c r="M18" s="1">
        <v>1</v>
      </c>
    </row>
    <row r="19" spans="8:13" x14ac:dyDescent="0.3">
      <c r="H19" s="1" t="s">
        <v>556</v>
      </c>
      <c r="I19" s="1" t="s">
        <v>722</v>
      </c>
      <c r="J19" s="1" t="s">
        <v>723</v>
      </c>
      <c r="K19" s="4">
        <v>36576</v>
      </c>
      <c r="L19" s="1" t="s">
        <v>724</v>
      </c>
      <c r="M19" s="1">
        <v>32</v>
      </c>
    </row>
    <row r="20" spans="8:13" x14ac:dyDescent="0.3">
      <c r="H20" s="1" t="s">
        <v>560</v>
      </c>
      <c r="I20" s="1" t="s">
        <v>725</v>
      </c>
      <c r="J20" s="1" t="s">
        <v>726</v>
      </c>
      <c r="K20" s="4">
        <v>0</v>
      </c>
      <c r="L20" s="1" t="s">
        <v>727</v>
      </c>
      <c r="M20" s="1">
        <v>1</v>
      </c>
    </row>
    <row r="21" spans="8:13" x14ac:dyDescent="0.3">
      <c r="H21" s="1" t="s">
        <v>564</v>
      </c>
      <c r="I21" s="1" t="s">
        <v>728</v>
      </c>
      <c r="J21" s="1" t="s">
        <v>729</v>
      </c>
      <c r="K21" s="4">
        <v>3349</v>
      </c>
      <c r="L21" s="1" t="s">
        <v>730</v>
      </c>
      <c r="M21" s="1">
        <v>1</v>
      </c>
    </row>
    <row r="22" spans="8:13" x14ac:dyDescent="0.3">
      <c r="H22" s="1" t="s">
        <v>568</v>
      </c>
      <c r="I22" s="1" t="s">
        <v>731</v>
      </c>
      <c r="J22" s="1" t="s">
        <v>732</v>
      </c>
      <c r="K22" s="4">
        <v>10678.32</v>
      </c>
      <c r="L22" s="1" t="s">
        <v>733</v>
      </c>
      <c r="M22" s="1">
        <v>2</v>
      </c>
    </row>
    <row r="23" spans="8:13" x14ac:dyDescent="0.3">
      <c r="H23" s="1" t="s">
        <v>576</v>
      </c>
      <c r="I23" s="1" t="s">
        <v>734</v>
      </c>
      <c r="J23" s="1" t="s">
        <v>735</v>
      </c>
      <c r="K23" s="4">
        <v>0</v>
      </c>
      <c r="L23" s="1" t="s">
        <v>736</v>
      </c>
      <c r="M23" s="1">
        <v>1</v>
      </c>
    </row>
    <row r="24" spans="8:13" x14ac:dyDescent="0.3">
      <c r="H24" s="1" t="s">
        <v>580</v>
      </c>
      <c r="I24" s="1" t="s">
        <v>581</v>
      </c>
      <c r="J24" s="1" t="s">
        <v>582</v>
      </c>
      <c r="K24" s="4">
        <v>0</v>
      </c>
      <c r="L24" s="1" t="s">
        <v>583</v>
      </c>
      <c r="M24" s="1">
        <v>1</v>
      </c>
    </row>
    <row r="25" spans="8:13" x14ac:dyDescent="0.3">
      <c r="H25" s="1" t="s">
        <v>580</v>
      </c>
      <c r="I25" s="1" t="s">
        <v>737</v>
      </c>
      <c r="J25" s="1" t="s">
        <v>738</v>
      </c>
      <c r="K25" s="4">
        <v>0</v>
      </c>
      <c r="L25" s="1" t="s">
        <v>739</v>
      </c>
      <c r="M25" s="1">
        <v>1</v>
      </c>
    </row>
    <row r="26" spans="8:13" x14ac:dyDescent="0.3">
      <c r="H26" s="1" t="s">
        <v>584</v>
      </c>
      <c r="I26" s="1" t="s">
        <v>740</v>
      </c>
      <c r="J26" s="1" t="s">
        <v>741</v>
      </c>
      <c r="K26" s="4">
        <v>299</v>
      </c>
      <c r="L26" s="1" t="s">
        <v>742</v>
      </c>
      <c r="M26" s="1">
        <v>1</v>
      </c>
    </row>
    <row r="27" spans="8:13" x14ac:dyDescent="0.3">
      <c r="H27" s="1" t="s">
        <v>588</v>
      </c>
      <c r="I27" s="1" t="s">
        <v>589</v>
      </c>
      <c r="J27" s="1" t="s">
        <v>590</v>
      </c>
      <c r="K27" s="4">
        <v>1429</v>
      </c>
      <c r="L27" s="1" t="s">
        <v>591</v>
      </c>
      <c r="M27" s="1">
        <v>1</v>
      </c>
    </row>
    <row r="28" spans="8:13" x14ac:dyDescent="0.3">
      <c r="H28" s="1" t="s">
        <v>592</v>
      </c>
      <c r="I28" s="1" t="s">
        <v>593</v>
      </c>
      <c r="J28" s="1" t="s">
        <v>594</v>
      </c>
      <c r="K28" s="4">
        <v>70</v>
      </c>
      <c r="L28" s="1" t="s">
        <v>595</v>
      </c>
      <c r="M28" s="1">
        <v>2</v>
      </c>
    </row>
    <row r="29" spans="8:13" x14ac:dyDescent="0.3">
      <c r="H29" s="1" t="s">
        <v>596</v>
      </c>
      <c r="I29" s="1" t="s">
        <v>743</v>
      </c>
      <c r="J29" s="1" t="s">
        <v>744</v>
      </c>
      <c r="K29" s="4">
        <v>808.03</v>
      </c>
      <c r="L29" s="1" t="s">
        <v>745</v>
      </c>
      <c r="M29" s="1">
        <v>1</v>
      </c>
    </row>
    <row r="30" spans="8:13" x14ac:dyDescent="0.3">
      <c r="H30" s="1" t="s">
        <v>600</v>
      </c>
      <c r="I30" s="1" t="s">
        <v>746</v>
      </c>
      <c r="J30" s="1" t="s">
        <v>747</v>
      </c>
      <c r="K30" s="4">
        <v>450</v>
      </c>
      <c r="L30" s="1" t="s">
        <v>748</v>
      </c>
      <c r="M30" s="1">
        <v>1</v>
      </c>
    </row>
    <row r="31" spans="8:13" x14ac:dyDescent="0.3">
      <c r="H31" s="1" t="s">
        <v>631</v>
      </c>
      <c r="I31" s="1" t="s">
        <v>632</v>
      </c>
      <c r="J31" s="1" t="s">
        <v>633</v>
      </c>
      <c r="K31" s="4">
        <v>0</v>
      </c>
      <c r="L31" s="1" t="s">
        <v>634</v>
      </c>
      <c r="M31" s="1">
        <v>1</v>
      </c>
    </row>
    <row r="32" spans="8:13" x14ac:dyDescent="0.3">
      <c r="H32" s="1" t="s">
        <v>631</v>
      </c>
      <c r="I32" s="1" t="s">
        <v>635</v>
      </c>
      <c r="J32" s="1" t="s">
        <v>636</v>
      </c>
      <c r="K32" s="4">
        <v>99</v>
      </c>
      <c r="L32" s="1" t="s">
        <v>637</v>
      </c>
      <c r="M32" s="1">
        <v>1</v>
      </c>
    </row>
    <row r="33" spans="8:13" x14ac:dyDescent="0.3">
      <c r="H33" s="1" t="s">
        <v>631</v>
      </c>
      <c r="I33" s="1" t="s">
        <v>638</v>
      </c>
      <c r="J33" s="1" t="s">
        <v>639</v>
      </c>
      <c r="K33" s="4">
        <v>1288</v>
      </c>
      <c r="L33" s="1" t="s">
        <v>640</v>
      </c>
      <c r="M33" s="1">
        <v>1</v>
      </c>
    </row>
    <row r="34" spans="8:13" x14ac:dyDescent="0.3">
      <c r="H34" s="1" t="s">
        <v>604</v>
      </c>
      <c r="I34" s="1" t="s">
        <v>749</v>
      </c>
      <c r="J34" s="1" t="s">
        <v>750</v>
      </c>
      <c r="K34" s="4">
        <v>3224</v>
      </c>
      <c r="L34" s="1" t="s">
        <v>751</v>
      </c>
      <c r="M34" s="1">
        <v>1</v>
      </c>
    </row>
    <row r="35" spans="8:13" x14ac:dyDescent="0.3">
      <c r="H35" s="1" t="s">
        <v>608</v>
      </c>
      <c r="I35" s="1" t="s">
        <v>752</v>
      </c>
      <c r="J35" s="1" t="s">
        <v>753</v>
      </c>
      <c r="K35" s="4">
        <v>0</v>
      </c>
      <c r="L35" s="1" t="s">
        <v>754</v>
      </c>
      <c r="M35" s="1">
        <v>1</v>
      </c>
    </row>
    <row r="36" spans="8:13" x14ac:dyDescent="0.3">
      <c r="H36" s="1" t="s">
        <v>608</v>
      </c>
      <c r="I36" s="1" t="s">
        <v>755</v>
      </c>
      <c r="J36" s="1" t="s">
        <v>756</v>
      </c>
      <c r="K36" s="4">
        <v>8712</v>
      </c>
      <c r="L36" s="1" t="s">
        <v>757</v>
      </c>
      <c r="M36" s="1">
        <v>2</v>
      </c>
    </row>
    <row r="37" spans="8:13" x14ac:dyDescent="0.3">
      <c r="H37" s="1" t="s">
        <v>615</v>
      </c>
      <c r="I37" s="1" t="s">
        <v>758</v>
      </c>
      <c r="J37" s="1" t="s">
        <v>759</v>
      </c>
      <c r="K37" s="4">
        <v>49</v>
      </c>
      <c r="L37" s="1" t="s">
        <v>760</v>
      </c>
      <c r="M37" s="1">
        <v>1</v>
      </c>
    </row>
    <row r="38" spans="8:13" x14ac:dyDescent="0.3">
      <c r="H38" s="1" t="s">
        <v>619</v>
      </c>
      <c r="I38" s="1" t="s">
        <v>761</v>
      </c>
      <c r="J38" s="1" t="s">
        <v>762</v>
      </c>
      <c r="K38" s="4">
        <v>2700</v>
      </c>
      <c r="L38" s="1" t="s">
        <v>763</v>
      </c>
      <c r="M38" s="1">
        <v>1</v>
      </c>
    </row>
    <row r="39" spans="8:13" x14ac:dyDescent="0.3">
      <c r="H39" s="1" t="s">
        <v>641</v>
      </c>
      <c r="I39" s="1" t="s">
        <v>642</v>
      </c>
      <c r="J39" s="1" t="s">
        <v>643</v>
      </c>
      <c r="K39" s="4">
        <v>0</v>
      </c>
      <c r="L39" s="1" t="s">
        <v>644</v>
      </c>
      <c r="M39" s="1">
        <v>1</v>
      </c>
    </row>
    <row r="40" spans="8:13" x14ac:dyDescent="0.3">
      <c r="H40" s="1" t="s">
        <v>645</v>
      </c>
      <c r="I40" s="1" t="s">
        <v>764</v>
      </c>
      <c r="J40" s="1" t="s">
        <v>765</v>
      </c>
      <c r="K40" s="4">
        <v>0</v>
      </c>
      <c r="L40" s="1" t="s">
        <v>766</v>
      </c>
      <c r="M40" s="1">
        <v>1</v>
      </c>
    </row>
    <row r="41" spans="8:13" x14ac:dyDescent="0.3">
      <c r="H41" s="1" t="s">
        <v>649</v>
      </c>
      <c r="I41" s="1" t="s">
        <v>650</v>
      </c>
      <c r="J41" s="1" t="s">
        <v>651</v>
      </c>
      <c r="K41" s="4">
        <v>0</v>
      </c>
      <c r="L41" s="1" t="s">
        <v>652</v>
      </c>
      <c r="M41" s="1">
        <v>1</v>
      </c>
    </row>
    <row r="42" spans="8:13" x14ac:dyDescent="0.3">
      <c r="H42" s="1" t="s">
        <v>673</v>
      </c>
      <c r="I42" s="1" t="s">
        <v>674</v>
      </c>
      <c r="J42" s="1" t="s">
        <v>675</v>
      </c>
      <c r="K42" s="4">
        <v>0</v>
      </c>
      <c r="L42" s="1" t="s">
        <v>676</v>
      </c>
      <c r="M42" s="1">
        <v>1</v>
      </c>
    </row>
    <row r="43" spans="8:13" x14ac:dyDescent="0.3">
      <c r="H43" s="1" t="s">
        <v>623</v>
      </c>
      <c r="I43" s="1" t="s">
        <v>624</v>
      </c>
      <c r="J43" s="1" t="s">
        <v>625</v>
      </c>
      <c r="K43" s="4">
        <v>0</v>
      </c>
      <c r="L43" s="1" t="s">
        <v>626</v>
      </c>
      <c r="M43" s="1">
        <v>1</v>
      </c>
    </row>
    <row r="44" spans="8:13" x14ac:dyDescent="0.3">
      <c r="H44" s="1" t="s">
        <v>627</v>
      </c>
      <c r="I44" s="1" t="s">
        <v>628</v>
      </c>
      <c r="J44" s="1" t="s">
        <v>629</v>
      </c>
      <c r="K44" s="4">
        <v>0</v>
      </c>
      <c r="L44" s="1" t="s">
        <v>630</v>
      </c>
      <c r="M44" s="1">
        <v>1</v>
      </c>
    </row>
    <row r="45" spans="8:13" x14ac:dyDescent="0.3">
      <c r="H45" s="1" t="s">
        <v>653</v>
      </c>
      <c r="I45" s="1" t="s">
        <v>654</v>
      </c>
      <c r="J45" s="1" t="s">
        <v>655</v>
      </c>
      <c r="K45" s="4">
        <v>187.51</v>
      </c>
      <c r="L45" s="1" t="s">
        <v>656</v>
      </c>
      <c r="M45" s="1">
        <v>1</v>
      </c>
    </row>
    <row r="46" spans="8:13" x14ac:dyDescent="0.3">
      <c r="H46" s="1" t="s">
        <v>657</v>
      </c>
      <c r="I46" s="1" t="s">
        <v>658</v>
      </c>
      <c r="J46" s="1" t="s">
        <v>659</v>
      </c>
      <c r="K46" s="4">
        <v>0</v>
      </c>
      <c r="L46" s="1" t="s">
        <v>660</v>
      </c>
      <c r="M46" s="1">
        <v>1</v>
      </c>
    </row>
    <row r="47" spans="8:13" x14ac:dyDescent="0.3">
      <c r="H47" s="1" t="s">
        <v>661</v>
      </c>
      <c r="I47" s="1" t="s">
        <v>767</v>
      </c>
      <c r="J47" s="1" t="s">
        <v>768</v>
      </c>
      <c r="K47" s="4">
        <v>49</v>
      </c>
      <c r="L47" s="1" t="s">
        <v>769</v>
      </c>
      <c r="M47" s="1">
        <v>1</v>
      </c>
    </row>
    <row r="48" spans="8:13" x14ac:dyDescent="0.3">
      <c r="H48" s="1" t="s">
        <v>665</v>
      </c>
      <c r="I48" s="1" t="s">
        <v>770</v>
      </c>
      <c r="J48" s="1" t="s">
        <v>771</v>
      </c>
      <c r="K48" s="4">
        <v>99</v>
      </c>
      <c r="L48" s="1" t="s">
        <v>772</v>
      </c>
      <c r="M48" s="1">
        <v>1</v>
      </c>
    </row>
    <row r="49" spans="2:13" x14ac:dyDescent="0.3">
      <c r="H49" s="1" t="s">
        <v>669</v>
      </c>
      <c r="I49" s="1" t="s">
        <v>773</v>
      </c>
      <c r="J49" s="1" t="s">
        <v>774</v>
      </c>
      <c r="K49" s="4">
        <v>0</v>
      </c>
      <c r="L49" s="1" t="s">
        <v>775</v>
      </c>
      <c r="M49" s="1">
        <v>1</v>
      </c>
    </row>
    <row r="50" spans="2:13" x14ac:dyDescent="0.3">
      <c r="H50" s="1" t="s">
        <v>677</v>
      </c>
      <c r="I50" s="1" t="s">
        <v>678</v>
      </c>
      <c r="J50" s="1" t="s">
        <v>679</v>
      </c>
      <c r="K50" s="4">
        <v>0</v>
      </c>
      <c r="L50" s="1" t="s">
        <v>680</v>
      </c>
      <c r="M50" s="1">
        <v>1</v>
      </c>
    </row>
    <row r="51" spans="2:13" x14ac:dyDescent="0.3">
      <c r="H51" s="1" t="s">
        <v>776</v>
      </c>
      <c r="I51" s="1" t="s">
        <v>777</v>
      </c>
      <c r="J51" s="1" t="s">
        <v>683</v>
      </c>
      <c r="K51" s="4">
        <v>3085.01</v>
      </c>
      <c r="L51" s="1" t="s">
        <v>778</v>
      </c>
      <c r="M51" s="1">
        <v>1</v>
      </c>
    </row>
    <row r="52" spans="2:13" x14ac:dyDescent="0.3">
      <c r="B52" s="1" t="s">
        <v>513</v>
      </c>
      <c r="C52" s="1" t="s">
        <v>698</v>
      </c>
      <c r="D52" s="1" t="s">
        <v>779</v>
      </c>
      <c r="E52" s="1">
        <v>4</v>
      </c>
      <c r="F52" s="4">
        <v>88222.32</v>
      </c>
      <c r="G52" s="4">
        <v>352889.28</v>
      </c>
    </row>
    <row r="53" spans="2:13" x14ac:dyDescent="0.3">
      <c r="H53" s="1" t="s">
        <v>700</v>
      </c>
      <c r="I53" s="1" t="s">
        <v>701</v>
      </c>
      <c r="J53" s="1" t="s">
        <v>702</v>
      </c>
      <c r="K53" s="4">
        <v>5014</v>
      </c>
      <c r="L53" s="1" t="s">
        <v>703</v>
      </c>
      <c r="M53" s="1">
        <v>1</v>
      </c>
    </row>
    <row r="54" spans="2:13" x14ac:dyDescent="0.3">
      <c r="H54" s="1" t="s">
        <v>532</v>
      </c>
      <c r="I54" s="1" t="s">
        <v>533</v>
      </c>
      <c r="J54" s="1" t="s">
        <v>534</v>
      </c>
      <c r="K54" s="4">
        <v>99</v>
      </c>
      <c r="L54" s="1" t="s">
        <v>535</v>
      </c>
      <c r="M54" s="1">
        <v>1</v>
      </c>
    </row>
    <row r="55" spans="2:13" x14ac:dyDescent="0.3">
      <c r="H55" s="1" t="s">
        <v>536</v>
      </c>
      <c r="I55" s="1" t="s">
        <v>704</v>
      </c>
      <c r="J55" s="1" t="s">
        <v>705</v>
      </c>
      <c r="K55" s="4">
        <v>580</v>
      </c>
      <c r="L55" s="1" t="s">
        <v>706</v>
      </c>
      <c r="M55" s="1">
        <v>1</v>
      </c>
    </row>
    <row r="56" spans="2:13" x14ac:dyDescent="0.3">
      <c r="H56" s="1" t="s">
        <v>540</v>
      </c>
      <c r="I56" s="1" t="s">
        <v>707</v>
      </c>
      <c r="J56" s="1" t="s">
        <v>708</v>
      </c>
      <c r="K56" s="4">
        <v>8199</v>
      </c>
      <c r="L56" s="1" t="s">
        <v>709</v>
      </c>
      <c r="M56" s="1">
        <v>1</v>
      </c>
    </row>
    <row r="57" spans="2:13" x14ac:dyDescent="0.3">
      <c r="H57" s="1" t="s">
        <v>710</v>
      </c>
      <c r="I57" s="1" t="s">
        <v>711</v>
      </c>
      <c r="J57" s="1" t="s">
        <v>708</v>
      </c>
      <c r="K57" s="4">
        <v>8199</v>
      </c>
      <c r="L57" s="1" t="s">
        <v>712</v>
      </c>
      <c r="M57" s="1">
        <v>1</v>
      </c>
    </row>
    <row r="58" spans="2:13" x14ac:dyDescent="0.3">
      <c r="H58" s="1" t="s">
        <v>713</v>
      </c>
      <c r="I58" s="1" t="s">
        <v>714</v>
      </c>
      <c r="J58" s="1" t="s">
        <v>715</v>
      </c>
      <c r="K58" s="4">
        <v>0</v>
      </c>
      <c r="L58" s="1" t="s">
        <v>716</v>
      </c>
      <c r="M58" s="1">
        <v>1</v>
      </c>
    </row>
    <row r="59" spans="2:13" x14ac:dyDescent="0.3">
      <c r="H59" s="1" t="s">
        <v>544</v>
      </c>
      <c r="I59" s="1" t="s">
        <v>717</v>
      </c>
      <c r="J59" s="1" t="s">
        <v>718</v>
      </c>
      <c r="K59" s="4">
        <v>217.45</v>
      </c>
      <c r="L59" s="1" t="s">
        <v>719</v>
      </c>
      <c r="M59" s="1">
        <v>1</v>
      </c>
    </row>
    <row r="60" spans="2:13" x14ac:dyDescent="0.3">
      <c r="H60" s="1" t="s">
        <v>548</v>
      </c>
      <c r="I60" s="1" t="s">
        <v>720</v>
      </c>
      <c r="J60" s="1" t="s">
        <v>550</v>
      </c>
      <c r="K60" s="4">
        <v>0</v>
      </c>
      <c r="L60" s="1" t="s">
        <v>721</v>
      </c>
      <c r="M60" s="1">
        <v>1</v>
      </c>
    </row>
    <row r="61" spans="2:13" x14ac:dyDescent="0.3">
      <c r="H61" s="1" t="s">
        <v>552</v>
      </c>
      <c r="I61" s="1" t="s">
        <v>553</v>
      </c>
      <c r="J61" s="1" t="s">
        <v>554</v>
      </c>
      <c r="K61" s="4">
        <v>0</v>
      </c>
      <c r="L61" s="1" t="s">
        <v>555</v>
      </c>
      <c r="M61" s="1">
        <v>1</v>
      </c>
    </row>
    <row r="62" spans="2:13" x14ac:dyDescent="0.3">
      <c r="H62" s="1" t="s">
        <v>556</v>
      </c>
      <c r="I62" s="1" t="s">
        <v>722</v>
      </c>
      <c r="J62" s="1" t="s">
        <v>723</v>
      </c>
      <c r="K62" s="4">
        <v>36576</v>
      </c>
      <c r="L62" s="1" t="s">
        <v>724</v>
      </c>
      <c r="M62" s="1">
        <v>32</v>
      </c>
    </row>
    <row r="63" spans="2:13" x14ac:dyDescent="0.3">
      <c r="H63" s="1" t="s">
        <v>560</v>
      </c>
      <c r="I63" s="1" t="s">
        <v>725</v>
      </c>
      <c r="J63" s="1" t="s">
        <v>726</v>
      </c>
      <c r="K63" s="4">
        <v>0</v>
      </c>
      <c r="L63" s="1" t="s">
        <v>727</v>
      </c>
      <c r="M63" s="1">
        <v>1</v>
      </c>
    </row>
    <row r="64" spans="2:13" x14ac:dyDescent="0.3">
      <c r="H64" s="1" t="s">
        <v>564</v>
      </c>
      <c r="I64" s="1" t="s">
        <v>728</v>
      </c>
      <c r="J64" s="1" t="s">
        <v>729</v>
      </c>
      <c r="K64" s="4">
        <v>3349</v>
      </c>
      <c r="L64" s="1" t="s">
        <v>730</v>
      </c>
      <c r="M64" s="1">
        <v>1</v>
      </c>
    </row>
    <row r="65" spans="8:13" x14ac:dyDescent="0.3">
      <c r="H65" s="1" t="s">
        <v>568</v>
      </c>
      <c r="I65" s="1" t="s">
        <v>731</v>
      </c>
      <c r="J65" s="1" t="s">
        <v>732</v>
      </c>
      <c r="K65" s="4">
        <v>10678.32</v>
      </c>
      <c r="L65" s="1" t="s">
        <v>733</v>
      </c>
      <c r="M65" s="1">
        <v>2</v>
      </c>
    </row>
    <row r="66" spans="8:13" x14ac:dyDescent="0.3">
      <c r="H66" s="1" t="s">
        <v>576</v>
      </c>
      <c r="I66" s="1" t="s">
        <v>734</v>
      </c>
      <c r="J66" s="1" t="s">
        <v>735</v>
      </c>
      <c r="K66" s="4">
        <v>0</v>
      </c>
      <c r="L66" s="1" t="s">
        <v>736</v>
      </c>
      <c r="M66" s="1">
        <v>1</v>
      </c>
    </row>
    <row r="67" spans="8:13" x14ac:dyDescent="0.3">
      <c r="H67" s="1" t="s">
        <v>580</v>
      </c>
      <c r="I67" s="1" t="s">
        <v>581</v>
      </c>
      <c r="J67" s="1" t="s">
        <v>582</v>
      </c>
      <c r="K67" s="4">
        <v>0</v>
      </c>
      <c r="L67" s="1" t="s">
        <v>583</v>
      </c>
      <c r="M67" s="1">
        <v>1</v>
      </c>
    </row>
    <row r="68" spans="8:13" x14ac:dyDescent="0.3">
      <c r="H68" s="1" t="s">
        <v>580</v>
      </c>
      <c r="I68" s="1" t="s">
        <v>737</v>
      </c>
      <c r="J68" s="1" t="s">
        <v>738</v>
      </c>
      <c r="K68" s="4">
        <v>0</v>
      </c>
      <c r="L68" s="1" t="s">
        <v>739</v>
      </c>
      <c r="M68" s="1">
        <v>1</v>
      </c>
    </row>
    <row r="69" spans="8:13" x14ac:dyDescent="0.3">
      <c r="H69" s="1" t="s">
        <v>584</v>
      </c>
      <c r="I69" s="1" t="s">
        <v>740</v>
      </c>
      <c r="J69" s="1" t="s">
        <v>741</v>
      </c>
      <c r="K69" s="4">
        <v>299</v>
      </c>
      <c r="L69" s="1" t="s">
        <v>742</v>
      </c>
      <c r="M69" s="1">
        <v>1</v>
      </c>
    </row>
    <row r="70" spans="8:13" x14ac:dyDescent="0.3">
      <c r="H70" s="1" t="s">
        <v>588</v>
      </c>
      <c r="I70" s="1" t="s">
        <v>589</v>
      </c>
      <c r="J70" s="1" t="s">
        <v>590</v>
      </c>
      <c r="K70" s="4">
        <v>1429</v>
      </c>
      <c r="L70" s="1" t="s">
        <v>591</v>
      </c>
      <c r="M70" s="1">
        <v>1</v>
      </c>
    </row>
    <row r="71" spans="8:13" x14ac:dyDescent="0.3">
      <c r="H71" s="1" t="s">
        <v>592</v>
      </c>
      <c r="I71" s="1" t="s">
        <v>593</v>
      </c>
      <c r="J71" s="1" t="s">
        <v>594</v>
      </c>
      <c r="K71" s="4">
        <v>70</v>
      </c>
      <c r="L71" s="1" t="s">
        <v>595</v>
      </c>
      <c r="M71" s="1">
        <v>2</v>
      </c>
    </row>
    <row r="72" spans="8:13" x14ac:dyDescent="0.3">
      <c r="H72" s="1" t="s">
        <v>596</v>
      </c>
      <c r="I72" s="1" t="s">
        <v>743</v>
      </c>
      <c r="J72" s="1" t="s">
        <v>744</v>
      </c>
      <c r="K72" s="4">
        <v>808.03</v>
      </c>
      <c r="L72" s="1" t="s">
        <v>745</v>
      </c>
      <c r="M72" s="1">
        <v>1</v>
      </c>
    </row>
    <row r="73" spans="8:13" x14ac:dyDescent="0.3">
      <c r="H73" s="1" t="s">
        <v>600</v>
      </c>
      <c r="I73" s="1" t="s">
        <v>746</v>
      </c>
      <c r="J73" s="1" t="s">
        <v>747</v>
      </c>
      <c r="K73" s="4">
        <v>450</v>
      </c>
      <c r="L73" s="1" t="s">
        <v>748</v>
      </c>
      <c r="M73" s="1">
        <v>1</v>
      </c>
    </row>
    <row r="74" spans="8:13" x14ac:dyDescent="0.3">
      <c r="H74" s="1" t="s">
        <v>631</v>
      </c>
      <c r="I74" s="1" t="s">
        <v>632</v>
      </c>
      <c r="J74" s="1" t="s">
        <v>633</v>
      </c>
      <c r="K74" s="4">
        <v>0</v>
      </c>
      <c r="L74" s="1" t="s">
        <v>634</v>
      </c>
      <c r="M74" s="1">
        <v>1</v>
      </c>
    </row>
    <row r="75" spans="8:13" x14ac:dyDescent="0.3">
      <c r="H75" s="1" t="s">
        <v>631</v>
      </c>
      <c r="I75" s="1" t="s">
        <v>635</v>
      </c>
      <c r="J75" s="1" t="s">
        <v>636</v>
      </c>
      <c r="K75" s="4">
        <v>99</v>
      </c>
      <c r="L75" s="1" t="s">
        <v>637</v>
      </c>
      <c r="M75" s="1">
        <v>1</v>
      </c>
    </row>
    <row r="76" spans="8:13" x14ac:dyDescent="0.3">
      <c r="H76" s="1" t="s">
        <v>631</v>
      </c>
      <c r="I76" s="1" t="s">
        <v>638</v>
      </c>
      <c r="J76" s="1" t="s">
        <v>639</v>
      </c>
      <c r="K76" s="4">
        <v>1288</v>
      </c>
      <c r="L76" s="1" t="s">
        <v>640</v>
      </c>
      <c r="M76" s="1">
        <v>1</v>
      </c>
    </row>
    <row r="77" spans="8:13" x14ac:dyDescent="0.3">
      <c r="H77" s="1" t="s">
        <v>604</v>
      </c>
      <c r="I77" s="1" t="s">
        <v>749</v>
      </c>
      <c r="J77" s="1" t="s">
        <v>750</v>
      </c>
      <c r="K77" s="4">
        <v>3224</v>
      </c>
      <c r="L77" s="1" t="s">
        <v>751</v>
      </c>
      <c r="M77" s="1">
        <v>1</v>
      </c>
    </row>
    <row r="78" spans="8:13" x14ac:dyDescent="0.3">
      <c r="H78" s="1" t="s">
        <v>608</v>
      </c>
      <c r="I78" s="1" t="s">
        <v>752</v>
      </c>
      <c r="J78" s="1" t="s">
        <v>753</v>
      </c>
      <c r="K78" s="4">
        <v>0</v>
      </c>
      <c r="L78" s="1" t="s">
        <v>754</v>
      </c>
      <c r="M78" s="1">
        <v>1</v>
      </c>
    </row>
    <row r="79" spans="8:13" x14ac:dyDescent="0.3">
      <c r="H79" s="1" t="s">
        <v>608</v>
      </c>
      <c r="I79" s="1" t="s">
        <v>780</v>
      </c>
      <c r="J79" s="1" t="s">
        <v>781</v>
      </c>
      <c r="K79" s="4">
        <v>1474</v>
      </c>
      <c r="L79" s="1" t="s">
        <v>782</v>
      </c>
      <c r="M79" s="1">
        <v>1</v>
      </c>
    </row>
    <row r="80" spans="8:13" x14ac:dyDescent="0.3">
      <c r="H80" s="1" t="s">
        <v>615</v>
      </c>
      <c r="I80" s="1" t="s">
        <v>758</v>
      </c>
      <c r="J80" s="1" t="s">
        <v>759</v>
      </c>
      <c r="K80" s="4">
        <v>49</v>
      </c>
      <c r="L80" s="1" t="s">
        <v>760</v>
      </c>
      <c r="M80" s="1">
        <v>1</v>
      </c>
    </row>
    <row r="81" spans="8:13" x14ac:dyDescent="0.3">
      <c r="H81" s="1" t="s">
        <v>619</v>
      </c>
      <c r="I81" s="1" t="s">
        <v>761</v>
      </c>
      <c r="J81" s="1" t="s">
        <v>762</v>
      </c>
      <c r="K81" s="4">
        <v>2700</v>
      </c>
      <c r="L81" s="1" t="s">
        <v>763</v>
      </c>
      <c r="M81" s="1">
        <v>1</v>
      </c>
    </row>
    <row r="82" spans="8:13" x14ac:dyDescent="0.3">
      <c r="H82" s="1" t="s">
        <v>641</v>
      </c>
      <c r="I82" s="1" t="s">
        <v>642</v>
      </c>
      <c r="J82" s="1" t="s">
        <v>643</v>
      </c>
      <c r="K82" s="4">
        <v>0</v>
      </c>
      <c r="L82" s="1" t="s">
        <v>644</v>
      </c>
      <c r="M82" s="1">
        <v>1</v>
      </c>
    </row>
    <row r="83" spans="8:13" x14ac:dyDescent="0.3">
      <c r="H83" s="1" t="s">
        <v>645</v>
      </c>
      <c r="I83" s="1" t="s">
        <v>764</v>
      </c>
      <c r="J83" s="1" t="s">
        <v>765</v>
      </c>
      <c r="K83" s="4">
        <v>0</v>
      </c>
      <c r="L83" s="1" t="s">
        <v>766</v>
      </c>
      <c r="M83" s="1">
        <v>1</v>
      </c>
    </row>
    <row r="84" spans="8:13" x14ac:dyDescent="0.3">
      <c r="H84" s="1" t="s">
        <v>649</v>
      </c>
      <c r="I84" s="1" t="s">
        <v>650</v>
      </c>
      <c r="J84" s="1" t="s">
        <v>651</v>
      </c>
      <c r="K84" s="4">
        <v>0</v>
      </c>
      <c r="L84" s="1" t="s">
        <v>652</v>
      </c>
      <c r="M84" s="1">
        <v>1</v>
      </c>
    </row>
    <row r="85" spans="8:13" x14ac:dyDescent="0.3">
      <c r="H85" s="1" t="s">
        <v>673</v>
      </c>
      <c r="I85" s="1" t="s">
        <v>674</v>
      </c>
      <c r="J85" s="1" t="s">
        <v>675</v>
      </c>
      <c r="K85" s="4">
        <v>0</v>
      </c>
      <c r="L85" s="1" t="s">
        <v>676</v>
      </c>
      <c r="M85" s="1">
        <v>1</v>
      </c>
    </row>
    <row r="86" spans="8:13" x14ac:dyDescent="0.3">
      <c r="H86" s="1" t="s">
        <v>623</v>
      </c>
      <c r="I86" s="1" t="s">
        <v>624</v>
      </c>
      <c r="J86" s="1" t="s">
        <v>625</v>
      </c>
      <c r="K86" s="4">
        <v>0</v>
      </c>
      <c r="L86" s="1" t="s">
        <v>626</v>
      </c>
      <c r="M86" s="1">
        <v>1</v>
      </c>
    </row>
    <row r="87" spans="8:13" x14ac:dyDescent="0.3">
      <c r="H87" s="1" t="s">
        <v>627</v>
      </c>
      <c r="I87" s="1" t="s">
        <v>628</v>
      </c>
      <c r="J87" s="1" t="s">
        <v>629</v>
      </c>
      <c r="K87" s="4">
        <v>0</v>
      </c>
      <c r="L87" s="1" t="s">
        <v>630</v>
      </c>
      <c r="M87" s="1">
        <v>1</v>
      </c>
    </row>
    <row r="88" spans="8:13" x14ac:dyDescent="0.3">
      <c r="H88" s="1" t="s">
        <v>653</v>
      </c>
      <c r="I88" s="1" t="s">
        <v>654</v>
      </c>
      <c r="J88" s="1" t="s">
        <v>655</v>
      </c>
      <c r="K88" s="4">
        <v>187.51</v>
      </c>
      <c r="L88" s="1" t="s">
        <v>656</v>
      </c>
      <c r="M88" s="1">
        <v>1</v>
      </c>
    </row>
    <row r="89" spans="8:13" x14ac:dyDescent="0.3">
      <c r="H89" s="1" t="s">
        <v>657</v>
      </c>
      <c r="I89" s="1" t="s">
        <v>658</v>
      </c>
      <c r="J89" s="1" t="s">
        <v>659</v>
      </c>
      <c r="K89" s="4">
        <v>0</v>
      </c>
      <c r="L89" s="1" t="s">
        <v>660</v>
      </c>
      <c r="M89" s="1">
        <v>1</v>
      </c>
    </row>
    <row r="90" spans="8:13" x14ac:dyDescent="0.3">
      <c r="H90" s="1" t="s">
        <v>661</v>
      </c>
      <c r="I90" s="1" t="s">
        <v>767</v>
      </c>
      <c r="J90" s="1" t="s">
        <v>768</v>
      </c>
      <c r="K90" s="4">
        <v>49</v>
      </c>
      <c r="L90" s="1" t="s">
        <v>769</v>
      </c>
      <c r="M90" s="1">
        <v>1</v>
      </c>
    </row>
    <row r="91" spans="8:13" x14ac:dyDescent="0.3">
      <c r="H91" s="1" t="s">
        <v>665</v>
      </c>
      <c r="I91" s="1" t="s">
        <v>770</v>
      </c>
      <c r="J91" s="1" t="s">
        <v>771</v>
      </c>
      <c r="K91" s="4">
        <v>99</v>
      </c>
      <c r="L91" s="1" t="s">
        <v>772</v>
      </c>
      <c r="M91" s="1">
        <v>1</v>
      </c>
    </row>
    <row r="92" spans="8:13" x14ac:dyDescent="0.3">
      <c r="H92" s="1" t="s">
        <v>669</v>
      </c>
      <c r="I92" s="1" t="s">
        <v>773</v>
      </c>
      <c r="J92" s="1" t="s">
        <v>774</v>
      </c>
      <c r="K92" s="4">
        <v>0</v>
      </c>
      <c r="L92" s="1" t="s">
        <v>775</v>
      </c>
      <c r="M92" s="1">
        <v>1</v>
      </c>
    </row>
    <row r="93" spans="8:13" x14ac:dyDescent="0.3">
      <c r="H93" s="1" t="s">
        <v>677</v>
      </c>
      <c r="I93" s="1" t="s">
        <v>678</v>
      </c>
      <c r="J93" s="1" t="s">
        <v>679</v>
      </c>
      <c r="K93" s="4">
        <v>0</v>
      </c>
      <c r="L93" s="1" t="s">
        <v>680</v>
      </c>
      <c r="M93" s="1">
        <v>1</v>
      </c>
    </row>
    <row r="94" spans="8:13" x14ac:dyDescent="0.3">
      <c r="H94" s="1" t="s">
        <v>776</v>
      </c>
      <c r="I94" s="1" t="s">
        <v>777</v>
      </c>
      <c r="J94" s="1" t="s">
        <v>683</v>
      </c>
      <c r="K94" s="4">
        <v>3085.01</v>
      </c>
      <c r="L94" s="1" t="s">
        <v>778</v>
      </c>
      <c r="M94" s="1">
        <v>1</v>
      </c>
    </row>
    <row r="97" spans="1:1" x14ac:dyDescent="0.3">
      <c r="A97" s="1" t="s">
        <v>693</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Props1.xml><?xml version="1.0" encoding="utf-8"?>
<ds:datastoreItem xmlns:ds="http://schemas.openxmlformats.org/officeDocument/2006/customXml" ds:itemID="{56B26669-694E-4D55-8CAE-1454A0F47A4A}">
  <ds:schemaRefs>
    <ds:schemaRef ds:uri="http://schemas.microsoft.com/sharepoint/v3/contenttype/forms"/>
  </ds:schemaRefs>
</ds:datastoreItem>
</file>

<file path=customXml/itemProps2.xml><?xml version="1.0" encoding="utf-8"?>
<ds:datastoreItem xmlns:ds="http://schemas.openxmlformats.org/officeDocument/2006/customXml" ds:itemID="{B8396AE9-80B1-42C7-9FE8-2CCFA28622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F69BA7-F8DC-489D-B025-797E1384EAF8}">
  <ds:schemaRefs>
    <ds:schemaRef ds:uri="http://www.w3.org/XML/1998/namespace"/>
    <ds:schemaRef ds:uri="http://purl.org/dc/elements/1.1/"/>
    <ds:schemaRef ds:uri="http://purl.org/dc/terms/"/>
    <ds:schemaRef ds:uri="http://schemas.microsoft.com/office/2006/documentManagement/types"/>
    <ds:schemaRef ds:uri="fa3e9ded-7345-46bb-8d4a-2162773d1a26"/>
    <ds:schemaRef ds:uri="adea1bd8-78b7-4105-85bd-f4f6d9c5a717"/>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P&amp;L</vt:lpstr>
      <vt:lpstr>GOAL Export</vt:lpstr>
      <vt:lpstr>Version</vt:lpstr>
      <vt:lpstr>L11 BOM Ntwk</vt:lpstr>
      <vt:lpstr>Rack Elevations</vt:lpstr>
      <vt:lpstr>Rack BOM</vt:lpstr>
      <vt:lpstr>PnL SN6600-LD</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2026-09-21T14:22:54Z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