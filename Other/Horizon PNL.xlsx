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IREN/"/>
    </mc:Choice>
  </mc:AlternateContent>
  <xr:revisionPtr revIDLastSave="10" documentId="8_{CAA448A3-B96C-4587-9654-A294A8C5C568}" xr6:coauthVersionLast="47" xr6:coauthVersionMax="47" xr10:uidLastSave="{417B95C3-2B26-4BA7-B517-8175EDA5C281}"/>
  <bookViews>
    <workbookView xWindow="-38520" yWindow="-2385" windowWidth="38640" windowHeight="21120" xr2:uid="{CE639789-70C8-45C7-8FE5-AACACE10DB37}"/>
  </bookViews>
  <sheets>
    <sheet name="PnL SN6600-_Horiz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56F9DC9755BA473782653E2940F9FormId">"mhlclKKDgE6fjFqRvldS3VTyrQc3qIJOpCoYkY-9sxNUQkxLTjBLT1NSUzc0VzNEV00zSkhQSktLTS4u"</definedName>
    <definedName name="_56F9DC9755BA473782653E2940F9ResponseSheet">"Form1"</definedName>
    <definedName name="_56F9DC9755BA473782653E2940F9SourceDocId">"{8a994947-8c73-49f0-af16-597f5a835ce5}"</definedName>
    <definedName name="_Fill" hidden="1">#REF!</definedName>
    <definedName name="_xlnm._FilterDatabase" localSheetId="0" hidden="1">'PnL SN6600-_Horizon'!$A$1:$L$67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nscount" hidden="1">2</definedName>
    <definedName name="AssetCount">#REF!</definedName>
    <definedName name="BILL_TO_ADDRESS">#REF!</definedName>
    <definedName name="BILL_TO_CONTACT">#REF!</definedName>
    <definedName name="BILL_TO_LABEL">#REF!</definedName>
    <definedName name="BILL_TO_NAME">#REF!</definedName>
    <definedName name="BILL_TO_PHONE">#REF!</definedName>
    <definedName name="BOM_All_Parts">#REF!</definedName>
    <definedName name="BOM_Cables_CAT6">#REF!</definedName>
    <definedName name="BOM_Cables_DAC_O112">#REF!</definedName>
    <definedName name="BOM_Cables_MPO_to_4x_LC">#REF!</definedName>
    <definedName name="BOM_Cables_MPO12">#REF!</definedName>
    <definedName name="BOM_Cables_OSFP">#REF!</definedName>
    <definedName name="BOM_Fiber_Distribution">#REF!</definedName>
    <definedName name="BOM_Optics">#REF!</definedName>
    <definedName name="BOM_PDU">#REF!</definedName>
    <definedName name="BOM_Racks_Aircool">#REF!</definedName>
    <definedName name="BOM_Racks_Sidecar">#REF!</definedName>
    <definedName name="BOM_Switch_100G">#REF!</definedName>
    <definedName name="BOM_Switch_400G">#REF!</definedName>
    <definedName name="BOM_Switch_800G">#REF!</definedName>
    <definedName name="BOM_Switch_IB_144_port">#REF!</definedName>
    <definedName name="BOM_Switch_Spectrum_Fabric">#REF!</definedName>
    <definedName name="BOM_Switch_Spectrum_OOB">#REF!</definedName>
    <definedName name="BOM_Switch_Spectrum_OOB_Aggr">#REF!</definedName>
    <definedName name="BOM_Transceiver_NIC">#REF!</definedName>
    <definedName name="BOM_Transceiver_Switch">#REF!</definedName>
    <definedName name="BRS_FLOOR_ANALYSIS_LINES_TO_FORMAT0">#REF!</definedName>
    <definedName name="BRS_FLOOR_ANALYSIS_LINES_TO_FORMAT1">#REF!</definedName>
    <definedName name="BRS_FLOOR_ANALYSIS_SECTION">#REF!</definedName>
    <definedName name="CBWorkbookPriority" hidden="1">-1010689980</definedName>
    <definedName name="CFG_SECTION">#REF!</definedName>
    <definedName name="CFG_SUBTOTAL_ALL">#REF!</definedName>
    <definedName name="CFG_SUBTOTAL_HW">#REF!</definedName>
    <definedName name="CFG_SUBTOTAL_MW">#REF!</definedName>
    <definedName name="CFG_SUBTOTAL_PS">#REF!</definedName>
    <definedName name="CFG_SUBTOTAL_SECTION">#REF!</definedName>
    <definedName name="CFG_SUBTOTAL_SW">#REF!</definedName>
    <definedName name="CFG_TITLE_FLD_CFG_NAME">#REF!</definedName>
    <definedName name="CFG_TITLE_SECTION">#REF!</definedName>
    <definedName name="CSI_FLD_CSI_DESCRIPTION">#REF!</definedName>
    <definedName name="CSI_FLD_CSI_NAME">#REF!</definedName>
    <definedName name="CSI_FLD_CSI_SERIAL_NUMBER">#REF!</definedName>
    <definedName name="CSI_LABEL_FORCOPY_SERIAL_NUMBER">#REF!</definedName>
    <definedName name="CSI_LABEL_HEADERS">#REF!</definedName>
    <definedName name="CSI_LINE_HW">#REF!</definedName>
    <definedName name="CSI_LINE_MW">#REF!</definedName>
    <definedName name="CSI_LINE_PS">#REF!</definedName>
    <definedName name="CSI_LINE_SW">#REF!</definedName>
    <definedName name="CSI_SECTION_HW_ALL">#REF!</definedName>
    <definedName name="CSI_SECTION_HW_BOT">#REF!</definedName>
    <definedName name="CSI_SECTION_HW_TOP">#REF!</definedName>
    <definedName name="CSI_SECTION_MW_ALL">#REF!</definedName>
    <definedName name="CSI_SECTION_MW_BOT">#REF!</definedName>
    <definedName name="CSI_SECTION_MW_TOP">#REF!</definedName>
    <definedName name="CSI_SECTION_PS_ALL">#REF!</definedName>
    <definedName name="CSI_SECTION_PS_BOT">#REF!</definedName>
    <definedName name="CSI_SECTION_PS_TOP">#REF!</definedName>
    <definedName name="CSI_SECTION_SW_ALL">#REF!</definedName>
    <definedName name="CSI_SECTION_SW_BOT">#REF!</definedName>
    <definedName name="CSI_SECTION_SW_TOP">#REF!</definedName>
    <definedName name="CSI_SECTION_TITLE">#REF!</definedName>
    <definedName name="CSI_SUBTOTAL_HW">#REF!</definedName>
    <definedName name="CSI_SUBTOTAL_MW">#REF!</definedName>
    <definedName name="CSI_SUBTOTAL_PS">#REF!</definedName>
    <definedName name="CSI_SUBTOTAL_SW">#REF!</definedName>
    <definedName name="DOL">#REF!</definedName>
    <definedName name="DSECost">#REF!</definedName>
    <definedName name="DSEPrice">#REF!</definedName>
    <definedName name="DXP_REMOVE_GROSS_COST">#REF!</definedName>
    <definedName name="DXP_REMOVE_GROSS_NOTE3">#REF!</definedName>
    <definedName name="EMC_ADDRESS">#REF!</definedName>
    <definedName name="EMC_BM_TABLE_HEADER">#REF!</definedName>
    <definedName name="EMC_BUSINESS_MONITORING">#REF!</definedName>
    <definedName name="EMC_NO_RULES_BROKEN">#REF!</definedName>
    <definedName name="Entitlement">#REF!</definedName>
    <definedName name="EntitlementCostingRate">#REF!</definedName>
    <definedName name="EntitlementPricingRate">#REF!</definedName>
    <definedName name="EntitlementRefString">#REF!</definedName>
    <definedName name="EstContentRate">#REF!</definedName>
    <definedName name="EstSolutionRev">#REF!</definedName>
    <definedName name="EV__LASTREFTIME__" hidden="1">39825.6100810185</definedName>
    <definedName name="Exch_Rate2">#REF!</definedName>
    <definedName name="FLOOR_ANALYSIS_LINES_TO_FORMAT0">#REF!</definedName>
    <definedName name="FLOOR_ANALYSIS_LINES_TO_FORMAT1">#REF!</definedName>
    <definedName name="FLOOR_ANALYSIS_SECTION">#REF!</definedName>
    <definedName name="foosiemsh" hidden="1">#REF!</definedName>
    <definedName name="GSA_HEADER_FIELDS">#REF!</definedName>
    <definedName name="GVKey">"271182-01w"</definedName>
    <definedName name="INSTALL_AT_ADDRESS">#REF!</definedName>
    <definedName name="INSTALL_AT_CONTACT">#REF!</definedName>
    <definedName name="INSTALL_AT_LABEL">#REF!</definedName>
    <definedName name="INSTALL_AT_NAME">#REF!</definedName>
    <definedName name="INSTALL_AT_PHONE">#REF!</definedName>
    <definedName name="IssueTypes">[1]Data!$B$6:$B$8</definedName>
    <definedName name="K2_WBEVMODE" hidden="1">-1</definedName>
    <definedName name="limcount" hidden="1">2</definedName>
    <definedName name="LPRU">#REF!</definedName>
    <definedName name="MISC_FLD_TITLE">#REF!</definedName>
    <definedName name="MISC_LINE_HW">#REF!</definedName>
    <definedName name="MISC_LINE_PS">#REF!</definedName>
    <definedName name="MISC_LINE_SW">#REF!</definedName>
    <definedName name="MISC_SECTION_HW_ALL">#REF!</definedName>
    <definedName name="MISC_SECTION_HW_BOT">#REF!</definedName>
    <definedName name="MISC_SECTION_HW_TOP">#REF!</definedName>
    <definedName name="MISC_SECTION_PS_ALL">#REF!</definedName>
    <definedName name="MISC_SECTION_PS_BOT">#REF!</definedName>
    <definedName name="MISC_SECTION_PS_TOP">#REF!</definedName>
    <definedName name="MISC_SECTION_SW_ALL">#REF!</definedName>
    <definedName name="MISC_SECTION_SW_BOT">#REF!</definedName>
    <definedName name="MISC_SECTION_SW_TOP">#REF!</definedName>
    <definedName name="MISC_SECTION_TITLE">#REF!</definedName>
    <definedName name="MISC_SUBTOTAL_HW">#REF!</definedName>
    <definedName name="MISC_SUBTOTAL_PS">#REF!</definedName>
    <definedName name="MISC_SUBTOTAL_SW">#REF!</definedName>
    <definedName name="Model">#REF!</definedName>
    <definedName name="new">'[2]Reference Data'!$GP$11:$HD$11</definedName>
    <definedName name="NewPS1CSP4HRModel">#REF!</definedName>
    <definedName name="NewPS1CSP4HRRate">#REF!</definedName>
    <definedName name="NewPS1CSP4HRRegion">#REF!</definedName>
    <definedName name="NewPS1CSP4HRTerm">#REF!</definedName>
    <definedName name="NewPS1CSPNBDModel">#REF!</definedName>
    <definedName name="NewPS1CSPNBDRate">#REF!</definedName>
    <definedName name="NewPS1CSPNBDRegion">#REF!</definedName>
    <definedName name="NewPS1CSPNBDTerm">#REF!</definedName>
    <definedName name="NOTES_ZONE_0">#REF!</definedName>
    <definedName name="NOTES_ZONE_1">#REF!</definedName>
    <definedName name="NOTES_ZONE_2">#REF!</definedName>
    <definedName name="OPPTY_SECTION">#REF!</definedName>
    <definedName name="OSECost">#REF!</definedName>
    <definedName name="OSEPrice">#REF!</definedName>
    <definedName name="PRECONTRACT_FLD_CFG_NAME">#REF!</definedName>
    <definedName name="PRECONTRACT_FLD_CSI_DESCIPTION">#REF!</definedName>
    <definedName name="PRECONTRACT_FLD_CSI_NAME">#REF!</definedName>
    <definedName name="PRECONTRACT_LINE">#REF!</definedName>
    <definedName name="PRECONTRACT_SECTION">#REF!</definedName>
    <definedName name="PRECONTRACT_SECTION_CFG_TITLE">#REF!</definedName>
    <definedName name="PRECONTRACT_SECTION_CSI">#REF!</definedName>
    <definedName name="PRICE_JUST_COMMENT">#REF!</definedName>
    <definedName name="PROMO_SECTION">#REF!</definedName>
    <definedName name="PROPOSAL_SECTION">#REF!</definedName>
    <definedName name="PROPOSAL_SECTION_MW">#REF!</definedName>
    <definedName name="PROPOSAL_SUBTOTAL_HW">#REF!</definedName>
    <definedName name="PROPOSAL_SUBTOTAL_MW_HW">#REF!</definedName>
    <definedName name="PROPOSAL_SUBTOTAL_MW_SW">#REF!</definedName>
    <definedName name="PROPOSAL_SUBTOTAL_MW_WAR">#REF!</definedName>
    <definedName name="PROPOSAL_SUBTOTAL_PS">#REF!</definedName>
    <definedName name="PROPOSAL_SUBTOTAL_SW">#REF!</definedName>
    <definedName name="ProSupport4HRCostModel">#REF!</definedName>
    <definedName name="ProSupport4HRCostRate">#REF!</definedName>
    <definedName name="ProSupport4HRCostRegion">#REF!</definedName>
    <definedName name="ProSupport4HRCostTerm">#REF!</definedName>
    <definedName name="ProSupport4HRModel">#REF!</definedName>
    <definedName name="ProSupport4HRRate">#REF!</definedName>
    <definedName name="ProSupport4HRRegion">#REF!</definedName>
    <definedName name="ProSupport4HRTerm">#REF!</definedName>
    <definedName name="ProSupportNBDCostModel">#REF!</definedName>
    <definedName name="ProSupportNBDCostRate">#REF!</definedName>
    <definedName name="ProSupportNBDCostRegion">#REF!</definedName>
    <definedName name="ProSupportNBDCostTerm">#REF!</definedName>
    <definedName name="ProSupportNBDModel">#REF!</definedName>
    <definedName name="ProSupportNBDRate">#REF!</definedName>
    <definedName name="ProSupportNBDRegion">#REF!</definedName>
    <definedName name="ProSupportNBDTerm">#REF!</definedName>
    <definedName name="PS1CostModel">#REF!</definedName>
    <definedName name="PS1CostRate">#REF!</definedName>
    <definedName name="PS1CostRegion">#REF!</definedName>
    <definedName name="PS1CostTerm">#REF!</definedName>
    <definedName name="PS1CSP4HRCostModel">#REF!</definedName>
    <definedName name="PS1CSP4HRCostRate">#REF!</definedName>
    <definedName name="PS1CSP4HRCostRegion">#REF!</definedName>
    <definedName name="PS1CSP4HRCostTerm">#REF!</definedName>
    <definedName name="PS1CSP4HRModel">#REF!</definedName>
    <definedName name="PS1CSP4HRRate">#REF!</definedName>
    <definedName name="PS1CSP4HRRegion">#REF!</definedName>
    <definedName name="PS1CSP4HRTerm">#REF!</definedName>
    <definedName name="PS1CSPNBDCostModel">#REF!</definedName>
    <definedName name="PS1CSPNBDCostRate">#REF!</definedName>
    <definedName name="PS1CSPNBDCostRegion">#REF!</definedName>
    <definedName name="PS1CSPNBDCostTerm">#REF!</definedName>
    <definedName name="PS1CSPNBDModel">#REF!</definedName>
    <definedName name="PS1CSPNBDRate">#REF!</definedName>
    <definedName name="PS1CSPNBDRegion">#REF!</definedName>
    <definedName name="PS1CSPNBDTerm">#REF!</definedName>
    <definedName name="PS1LowNBD">#REF!</definedName>
    <definedName name="PS1LowNBDModel">#REF!</definedName>
    <definedName name="PS1LowNBDRate">#REF!</definedName>
    <definedName name="PS1LowNBDRegion">#REF!</definedName>
    <definedName name="PS1LowNBDTerm">#REF!</definedName>
    <definedName name="PSPMCCostModel">#REF!</definedName>
    <definedName name="PSPMCCostRate">#REF!</definedName>
    <definedName name="PSPMCCostRegion">#REF!</definedName>
    <definedName name="PSPMCCostTerm">#REF!</definedName>
    <definedName name="PSPMCModel">#REF!</definedName>
    <definedName name="PSPMCRate">#REF!</definedName>
    <definedName name="PSPMCRegion">#REF!</definedName>
    <definedName name="PSPMCTerm">#REF!</definedName>
    <definedName name="QUOTE_PRICEBREAK">#REF!</definedName>
    <definedName name="QUOTE_PS_PRICEBREAK">#REF!</definedName>
    <definedName name="REDIRECT_SECTION">#REF!</definedName>
    <definedName name="Region">#REF!</definedName>
    <definedName name="REPORT_LINES_TO_FORMAT">#REF!,#REF!</definedName>
    <definedName name="REPORT_LINES_TO_FORMAT0">#REF!</definedName>
    <definedName name="REPORT_LINES_TO_FORMAT1">#REF!</definedName>
    <definedName name="REPORT_LINES_TO_FORMAT2">#REF!</definedName>
    <definedName name="REPORT_TOTALS_TO_FORMAT">#REF!,#REF!,#REF!</definedName>
    <definedName name="REPORT_TOTALS_TO_FORMAT0">#REF!</definedName>
    <definedName name="REPORT_TOTALS_TO_FORMAT1">#REF!</definedName>
    <definedName name="REPORT_TOTALS_TO_FORMAT2">#REF!</definedName>
    <definedName name="REPORT_TOTALS_TO_FORMAT3">#REF!</definedName>
    <definedName name="REPORT_TOTALS_TO_FORMAT4">#REF!</definedName>
    <definedName name="REPORT_TOTALS_TO_FORMAT5">#REF!</definedName>
    <definedName name="ResidentCost">#REF!</definedName>
    <definedName name="ResidentPrice">#REF!</definedName>
    <definedName name="RQFRate1">[3]Template!$BC$20</definedName>
    <definedName name="s">'[4]Summary &amp; Status'!#REF!</definedName>
    <definedName name="sa">[3]Info!$AZ$20</definedName>
    <definedName name="SAPBEXrevision" hidden="1">2</definedName>
    <definedName name="SAPBEXsysID" hidden="1">"BWP"</definedName>
    <definedName name="SAPBEXwbID" hidden="1">"427RYF5MIK75065EZBL5WAVIT"</definedName>
    <definedName name="sencount" hidden="1">2</definedName>
    <definedName name="SHIP_TO_ADDRESS">#REF!</definedName>
    <definedName name="SHIP_TO_CONTACT">#REF!</definedName>
    <definedName name="SHIP_TO_LABEL">#REF!</definedName>
    <definedName name="SHIP_TO_NAME">#REF!</definedName>
    <definedName name="SHIP_TO_PHONE">#REF!</definedName>
    <definedName name="SHIPPING_ZONE_0">#REF!</definedName>
    <definedName name="SHIPPING_ZONE_1">#REF!</definedName>
    <definedName name="SHIPPING_ZONE_2">#REF!</definedName>
    <definedName name="SiteCodeLU">'[5]Site details V2'!$A$1:$Z$2506</definedName>
    <definedName name="Sites">#REF!</definedName>
    <definedName name="SOLD_TO_ADDRESS">#REF!</definedName>
    <definedName name="SOLD_TO_CONTACT">#REF!</definedName>
    <definedName name="SOLD_TO_LABEL">#REF!</definedName>
    <definedName name="SOLD_TO_NAME">#REF!</definedName>
    <definedName name="SOLD_TO_PHONE">#REF!</definedName>
    <definedName name="SPSet">"current"</definedName>
    <definedName name="SPWS_WBID">"AE891147-BB2F-445D-ACEB-8EEEC2660B6C"</definedName>
    <definedName name="status_indicators">'[4]Summary &amp; Status'!#REF!</definedName>
    <definedName name="status_milestonetable">'[4]Summary &amp; Status'!#REF!</definedName>
    <definedName name="status_next_reporting_period">'[4]Summary &amp; Status'!#REF!</definedName>
    <definedName name="status_this_reporting_period">'[4]Summary &amp; Status'!#REF!</definedName>
    <definedName name="StatusNames">[1]Data!$B$1:$B$3</definedName>
    <definedName name="SumMargin">#REF!</definedName>
    <definedName name="SumRev">#REF!</definedName>
    <definedName name="Term">#REF!</definedName>
    <definedName name="TEST_IPF">#REF!</definedName>
    <definedName name="TRADEIN_SECTION">#REF!</definedName>
    <definedName name="TRADEIN_SECTION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6" i="1" l="1"/>
  <c r="C86" i="1"/>
  <c r="B86" i="1"/>
  <c r="F84" i="1"/>
  <c r="I67" i="1"/>
  <c r="O66" i="1"/>
  <c r="L66" i="1"/>
  <c r="I66" i="1"/>
  <c r="Q66" i="1" s="1"/>
  <c r="H66" i="1"/>
  <c r="P66" i="1" s="1"/>
  <c r="O65" i="1"/>
  <c r="I65" i="1"/>
  <c r="Q65" i="1" s="1"/>
  <c r="F65" i="1"/>
  <c r="H65" i="1" s="1"/>
  <c r="Q64" i="1"/>
  <c r="O64" i="1"/>
  <c r="L64" i="1"/>
  <c r="I64" i="1"/>
  <c r="F64" i="1"/>
  <c r="H64" i="1" s="1"/>
  <c r="Q63" i="1"/>
  <c r="O63" i="1"/>
  <c r="I63" i="1"/>
  <c r="F63" i="1"/>
  <c r="L63" i="1" s="1"/>
  <c r="O62" i="1"/>
  <c r="I62" i="1"/>
  <c r="Q62" i="1" s="1"/>
  <c r="F62" i="1"/>
  <c r="L62" i="1" s="1"/>
  <c r="O61" i="1"/>
  <c r="I61" i="1"/>
  <c r="Q61" i="1" s="1"/>
  <c r="F61" i="1"/>
  <c r="L61" i="1" s="1"/>
  <c r="O60" i="1"/>
  <c r="I60" i="1"/>
  <c r="Q60" i="1" s="1"/>
  <c r="F60" i="1"/>
  <c r="L60" i="1" s="1"/>
  <c r="Q59" i="1"/>
  <c r="P59" i="1"/>
  <c r="O59" i="1"/>
  <c r="L59" i="1"/>
  <c r="I59" i="1"/>
  <c r="H59" i="1"/>
  <c r="J59" i="1" s="1"/>
  <c r="K59" i="1" s="1"/>
  <c r="Q58" i="1"/>
  <c r="O58" i="1"/>
  <c r="L58" i="1"/>
  <c r="I58" i="1"/>
  <c r="H58" i="1"/>
  <c r="P58" i="1" s="1"/>
  <c r="O57" i="1"/>
  <c r="L57" i="1"/>
  <c r="I57" i="1"/>
  <c r="Q57" i="1" s="1"/>
  <c r="Q67" i="1" s="1"/>
  <c r="B84" i="1" s="1"/>
  <c r="H57" i="1"/>
  <c r="J57" i="1" s="1"/>
  <c r="K57" i="1" s="1"/>
  <c r="Q54" i="1"/>
  <c r="O54" i="1"/>
  <c r="J54" i="1"/>
  <c r="K54" i="1" s="1"/>
  <c r="I54" i="1"/>
  <c r="H54" i="1"/>
  <c r="P54" i="1" s="1"/>
  <c r="O53" i="1"/>
  <c r="L53" i="1"/>
  <c r="I53" i="1"/>
  <c r="Q53" i="1" s="1"/>
  <c r="H53" i="1"/>
  <c r="P53" i="1" s="1"/>
  <c r="P55" i="1" s="1"/>
  <c r="D83" i="1" s="1"/>
  <c r="P52" i="1"/>
  <c r="O52" i="1"/>
  <c r="L52" i="1"/>
  <c r="H52" i="1"/>
  <c r="G52" i="1"/>
  <c r="I52" i="1" s="1"/>
  <c r="O49" i="1"/>
  <c r="I49" i="1"/>
  <c r="Q49" i="1" s="1"/>
  <c r="F49" i="1"/>
  <c r="L49" i="1" s="1"/>
  <c r="Q48" i="1"/>
  <c r="O48" i="1"/>
  <c r="J48" i="1"/>
  <c r="K48" i="1" s="1"/>
  <c r="I48" i="1"/>
  <c r="H48" i="1"/>
  <c r="P48" i="1" s="1"/>
  <c r="F48" i="1"/>
  <c r="L48" i="1" s="1"/>
  <c r="Q47" i="1"/>
  <c r="O47" i="1"/>
  <c r="L47" i="1"/>
  <c r="I47" i="1"/>
  <c r="I50" i="1" s="1"/>
  <c r="H47" i="1"/>
  <c r="P47" i="1" s="1"/>
  <c r="Q46" i="1"/>
  <c r="P46" i="1"/>
  <c r="O46" i="1"/>
  <c r="L46" i="1"/>
  <c r="J46" i="1"/>
  <c r="K46" i="1" s="1"/>
  <c r="I46" i="1"/>
  <c r="H46" i="1"/>
  <c r="Q43" i="1"/>
  <c r="O43" i="1"/>
  <c r="I43" i="1"/>
  <c r="F43" i="1"/>
  <c r="L43" i="1" s="1"/>
  <c r="Q42" i="1"/>
  <c r="O42" i="1"/>
  <c r="L42" i="1"/>
  <c r="I42" i="1"/>
  <c r="F42" i="1"/>
  <c r="H42" i="1" s="1"/>
  <c r="Q41" i="1"/>
  <c r="O41" i="1"/>
  <c r="I41" i="1"/>
  <c r="F41" i="1"/>
  <c r="L41" i="1" s="1"/>
  <c r="O40" i="1"/>
  <c r="I40" i="1"/>
  <c r="Q40" i="1" s="1"/>
  <c r="F40" i="1"/>
  <c r="H40" i="1" s="1"/>
  <c r="O39" i="1"/>
  <c r="L39" i="1"/>
  <c r="I39" i="1"/>
  <c r="Q39" i="1" s="1"/>
  <c r="Q44" i="1" s="1"/>
  <c r="B81" i="1" s="1"/>
  <c r="H39" i="1"/>
  <c r="P39" i="1" s="1"/>
  <c r="O36" i="1"/>
  <c r="L36" i="1"/>
  <c r="I36" i="1"/>
  <c r="I37" i="1" s="1"/>
  <c r="H36" i="1"/>
  <c r="P36" i="1" s="1"/>
  <c r="O35" i="1"/>
  <c r="L35" i="1"/>
  <c r="I35" i="1"/>
  <c r="Q35" i="1" s="1"/>
  <c r="H35" i="1"/>
  <c r="P35" i="1" s="1"/>
  <c r="P37" i="1" s="1"/>
  <c r="D80" i="1" s="1"/>
  <c r="O32" i="1"/>
  <c r="I32" i="1"/>
  <c r="Q32" i="1" s="1"/>
  <c r="H32" i="1"/>
  <c r="P32" i="1" s="1"/>
  <c r="Q31" i="1"/>
  <c r="O31" i="1"/>
  <c r="I31" i="1"/>
  <c r="J31" i="1" s="1"/>
  <c r="K31" i="1" s="1"/>
  <c r="H31" i="1"/>
  <c r="P31" i="1" s="1"/>
  <c r="P30" i="1"/>
  <c r="O30" i="1"/>
  <c r="L30" i="1"/>
  <c r="I30" i="1"/>
  <c r="Q30" i="1" s="1"/>
  <c r="H30" i="1"/>
  <c r="O29" i="1"/>
  <c r="I29" i="1"/>
  <c r="Q29" i="1" s="1"/>
  <c r="F29" i="1"/>
  <c r="H29" i="1" s="1"/>
  <c r="O28" i="1"/>
  <c r="I28" i="1"/>
  <c r="Q28" i="1" s="1"/>
  <c r="F28" i="1"/>
  <c r="L28" i="1" s="1"/>
  <c r="O27" i="1"/>
  <c r="I27" i="1"/>
  <c r="Q27" i="1" s="1"/>
  <c r="F27" i="1"/>
  <c r="H27" i="1" s="1"/>
  <c r="Q26" i="1"/>
  <c r="P26" i="1"/>
  <c r="O26" i="1"/>
  <c r="L26" i="1"/>
  <c r="I26" i="1"/>
  <c r="H26" i="1"/>
  <c r="J26" i="1" s="1"/>
  <c r="K26" i="1" s="1"/>
  <c r="O25" i="1"/>
  <c r="L25" i="1"/>
  <c r="I25" i="1"/>
  <c r="Q25" i="1" s="1"/>
  <c r="H25" i="1"/>
  <c r="P25" i="1" s="1"/>
  <c r="O24" i="1"/>
  <c r="L24" i="1"/>
  <c r="I24" i="1"/>
  <c r="I33" i="1" s="1"/>
  <c r="H24" i="1"/>
  <c r="J24" i="1" s="1"/>
  <c r="K24" i="1" s="1"/>
  <c r="C21" i="1"/>
  <c r="O21" i="1" s="1"/>
  <c r="O20" i="1"/>
  <c r="L20" i="1"/>
  <c r="I20" i="1"/>
  <c r="Q20" i="1" s="1"/>
  <c r="H20" i="1"/>
  <c r="O19" i="1"/>
  <c r="L19" i="1"/>
  <c r="H19" i="1"/>
  <c r="P19" i="1" s="1"/>
  <c r="G19" i="1"/>
  <c r="I19" i="1" s="1"/>
  <c r="O16" i="1"/>
  <c r="L16" i="1"/>
  <c r="I16" i="1"/>
  <c r="Q16" i="1" s="1"/>
  <c r="H16" i="1"/>
  <c r="J16" i="1" s="1"/>
  <c r="K16" i="1" s="1"/>
  <c r="F16" i="1"/>
  <c r="O15" i="1"/>
  <c r="I15" i="1"/>
  <c r="Q15" i="1" s="1"/>
  <c r="H15" i="1"/>
  <c r="P15" i="1" s="1"/>
  <c r="F15" i="1"/>
  <c r="L15" i="1" s="1"/>
  <c r="O14" i="1"/>
  <c r="L14" i="1"/>
  <c r="I14" i="1"/>
  <c r="Q14" i="1" s="1"/>
  <c r="H14" i="1"/>
  <c r="J14" i="1" s="1"/>
  <c r="K14" i="1" s="1"/>
  <c r="Q13" i="1"/>
  <c r="Q17" i="1" s="1"/>
  <c r="B76" i="1" s="1"/>
  <c r="P13" i="1"/>
  <c r="O13" i="1"/>
  <c r="L13" i="1"/>
  <c r="I13" i="1"/>
  <c r="I17" i="1" s="1"/>
  <c r="H13" i="1"/>
  <c r="J13" i="1" s="1"/>
  <c r="K13" i="1" s="1"/>
  <c r="O10" i="1"/>
  <c r="I10" i="1"/>
  <c r="I11" i="1" s="1"/>
  <c r="F10" i="1"/>
  <c r="H10" i="1" s="1"/>
  <c r="Q9" i="1"/>
  <c r="O9" i="1"/>
  <c r="I9" i="1"/>
  <c r="F9" i="1"/>
  <c r="L9" i="1" s="1"/>
  <c r="Q8" i="1"/>
  <c r="P8" i="1"/>
  <c r="O8" i="1"/>
  <c r="L8" i="1"/>
  <c r="J8" i="1"/>
  <c r="K8" i="1" s="1"/>
  <c r="I8" i="1"/>
  <c r="H8" i="1"/>
  <c r="I6" i="1"/>
  <c r="Q5" i="1"/>
  <c r="P5" i="1"/>
  <c r="O5" i="1"/>
  <c r="I5" i="1"/>
  <c r="J5" i="1" s="1"/>
  <c r="K5" i="1" s="1"/>
  <c r="H5" i="1"/>
  <c r="Q4" i="1"/>
  <c r="O4" i="1"/>
  <c r="I4" i="1"/>
  <c r="H4" i="1"/>
  <c r="P4" i="1" s="1"/>
  <c r="O3" i="1"/>
  <c r="L3" i="1"/>
  <c r="I3" i="1"/>
  <c r="Q3" i="1" s="1"/>
  <c r="H3" i="1"/>
  <c r="J3" i="1" s="1"/>
  <c r="K3" i="1" s="1"/>
  <c r="Q2" i="1"/>
  <c r="Q6" i="1" s="1"/>
  <c r="B74" i="1" s="1"/>
  <c r="P2" i="1"/>
  <c r="O2" i="1"/>
  <c r="L2" i="1"/>
  <c r="I2" i="1"/>
  <c r="H2" i="1"/>
  <c r="I55" i="1" l="1"/>
  <c r="Q52" i="1"/>
  <c r="J52" i="1"/>
  <c r="K52" i="1" s="1"/>
  <c r="T19" i="1"/>
  <c r="Q55" i="1"/>
  <c r="B83" i="1" s="1"/>
  <c r="C83" i="1" s="1"/>
  <c r="P27" i="1"/>
  <c r="J27" i="1"/>
  <c r="K27" i="1" s="1"/>
  <c r="J64" i="1"/>
  <c r="K64" i="1" s="1"/>
  <c r="P64" i="1"/>
  <c r="J40" i="1"/>
  <c r="K40" i="1" s="1"/>
  <c r="P40" i="1"/>
  <c r="J42" i="1"/>
  <c r="K42" i="1" s="1"/>
  <c r="P42" i="1"/>
  <c r="Q50" i="1"/>
  <c r="B82" i="1" s="1"/>
  <c r="Q11" i="1"/>
  <c r="B75" i="1" s="1"/>
  <c r="P17" i="1"/>
  <c r="D76" i="1" s="1"/>
  <c r="C76" i="1" s="1"/>
  <c r="P29" i="1"/>
  <c r="J29" i="1"/>
  <c r="K29" i="1" s="1"/>
  <c r="P65" i="1"/>
  <c r="J65" i="1"/>
  <c r="K65" i="1" s="1"/>
  <c r="P10" i="1"/>
  <c r="J10" i="1"/>
  <c r="K10" i="1" s="1"/>
  <c r="Q19" i="1"/>
  <c r="H6" i="1"/>
  <c r="J6" i="1" s="1"/>
  <c r="K6" i="1" s="1"/>
  <c r="J36" i="1"/>
  <c r="K36" i="1" s="1"/>
  <c r="J20" i="1"/>
  <c r="K20" i="1" s="1"/>
  <c r="J32" i="1"/>
  <c r="K32" i="1" s="1"/>
  <c r="P16" i="1"/>
  <c r="H43" i="1"/>
  <c r="P3" i="1"/>
  <c r="P6" i="1" s="1"/>
  <c r="D74" i="1" s="1"/>
  <c r="L10" i="1"/>
  <c r="H17" i="1"/>
  <c r="J17" i="1" s="1"/>
  <c r="K17" i="1" s="1"/>
  <c r="P20" i="1"/>
  <c r="P24" i="1"/>
  <c r="Q36" i="1"/>
  <c r="Q37" i="1" s="1"/>
  <c r="B80" i="1" s="1"/>
  <c r="Q24" i="1"/>
  <c r="Q33" i="1" s="1"/>
  <c r="B78" i="1" s="1"/>
  <c r="L27" i="1"/>
  <c r="H33" i="1"/>
  <c r="J33" i="1" s="1"/>
  <c r="K33" i="1" s="1"/>
  <c r="H37" i="1"/>
  <c r="J37" i="1" s="1"/>
  <c r="K37" i="1" s="1"/>
  <c r="J47" i="1"/>
  <c r="K47" i="1" s="1"/>
  <c r="P57" i="1"/>
  <c r="L29" i="1"/>
  <c r="L40" i="1"/>
  <c r="J53" i="1"/>
  <c r="K53" i="1" s="1"/>
  <c r="H60" i="1"/>
  <c r="P14" i="1"/>
  <c r="Q10" i="1"/>
  <c r="H21" i="1"/>
  <c r="J30" i="1"/>
  <c r="K30" i="1" s="1"/>
  <c r="H41" i="1"/>
  <c r="H50" i="1"/>
  <c r="J50" i="1" s="1"/>
  <c r="K50" i="1" s="1"/>
  <c r="H63" i="1"/>
  <c r="L65" i="1"/>
  <c r="J4" i="1"/>
  <c r="K4" i="1" s="1"/>
  <c r="I21" i="1"/>
  <c r="Q21" i="1" s="1"/>
  <c r="J25" i="1"/>
  <c r="K25" i="1" s="1"/>
  <c r="J58" i="1"/>
  <c r="K58" i="1" s="1"/>
  <c r="H62" i="1"/>
  <c r="H28" i="1"/>
  <c r="J15" i="1"/>
  <c r="K15" i="1" s="1"/>
  <c r="H61" i="1"/>
  <c r="I44" i="1"/>
  <c r="H9" i="1"/>
  <c r="J19" i="1"/>
  <c r="K19" i="1" s="1"/>
  <c r="J35" i="1"/>
  <c r="K35" i="1" s="1"/>
  <c r="J39" i="1"/>
  <c r="K39" i="1" s="1"/>
  <c r="J66" i="1"/>
  <c r="K66" i="1" s="1"/>
  <c r="H55" i="1"/>
  <c r="J2" i="1"/>
  <c r="K2" i="1" s="1"/>
  <c r="H49" i="1"/>
  <c r="J55" i="1" l="1"/>
  <c r="K55" i="1" s="1"/>
  <c r="B85" i="1"/>
  <c r="C80" i="1"/>
  <c r="C74" i="1"/>
  <c r="P43" i="1"/>
  <c r="J43" i="1"/>
  <c r="K43" i="1" s="1"/>
  <c r="P21" i="1"/>
  <c r="P22" i="1" s="1"/>
  <c r="D77" i="1" s="1"/>
  <c r="J21" i="1"/>
  <c r="K21" i="1" s="1"/>
  <c r="H67" i="1"/>
  <c r="J67" i="1" s="1"/>
  <c r="K67" i="1" s="1"/>
  <c r="P60" i="1"/>
  <c r="J60" i="1"/>
  <c r="K60" i="1" s="1"/>
  <c r="I22" i="1"/>
  <c r="P67" i="1"/>
  <c r="D84" i="1" s="1"/>
  <c r="C84" i="1" s="1"/>
  <c r="P41" i="1"/>
  <c r="P44" i="1" s="1"/>
  <c r="D81" i="1" s="1"/>
  <c r="J41" i="1"/>
  <c r="K41" i="1" s="1"/>
  <c r="J49" i="1"/>
  <c r="K49" i="1" s="1"/>
  <c r="P49" i="1"/>
  <c r="P50" i="1" s="1"/>
  <c r="D82" i="1" s="1"/>
  <c r="C82" i="1" s="1"/>
  <c r="Q22" i="1"/>
  <c r="B77" i="1" s="1"/>
  <c r="B79" i="1" s="1"/>
  <c r="B87" i="1" s="1"/>
  <c r="J62" i="1"/>
  <c r="K62" i="1" s="1"/>
  <c r="P62" i="1"/>
  <c r="H44" i="1"/>
  <c r="J44" i="1" s="1"/>
  <c r="K44" i="1" s="1"/>
  <c r="P63" i="1"/>
  <c r="J63" i="1"/>
  <c r="K63" i="1" s="1"/>
  <c r="P9" i="1"/>
  <c r="P11" i="1" s="1"/>
  <c r="D75" i="1" s="1"/>
  <c r="C75" i="1" s="1"/>
  <c r="J9" i="1"/>
  <c r="K9" i="1" s="1"/>
  <c r="P61" i="1"/>
  <c r="J61" i="1"/>
  <c r="K61" i="1" s="1"/>
  <c r="H22" i="1"/>
  <c r="P28" i="1"/>
  <c r="P33" i="1" s="1"/>
  <c r="D78" i="1" s="1"/>
  <c r="C78" i="1" s="1"/>
  <c r="J28" i="1"/>
  <c r="K28" i="1" s="1"/>
  <c r="H11" i="1"/>
  <c r="C77" i="1" l="1"/>
  <c r="C81" i="1"/>
  <c r="D85" i="1"/>
  <c r="C85" i="1" s="1"/>
  <c r="J11" i="1"/>
  <c r="K11" i="1" s="1"/>
  <c r="H69" i="1"/>
  <c r="H71" i="1" s="1"/>
  <c r="I71" i="1" s="1"/>
  <c r="J22" i="1"/>
  <c r="K22" i="1" s="1"/>
  <c r="D79" i="1"/>
  <c r="D87" i="1" l="1"/>
  <c r="C87" i="1" s="1"/>
  <c r="C79" i="1"/>
</calcChain>
</file>

<file path=xl/sharedStrings.xml><?xml version="1.0" encoding="utf-8"?>
<sst xmlns="http://schemas.openxmlformats.org/spreadsheetml/2006/main" count="128" uniqueCount="56">
  <si>
    <t>Quote Number</t>
  </si>
  <si>
    <t>Units</t>
  </si>
  <si>
    <t>List Price</t>
  </si>
  <si>
    <t>Floor Price</t>
  </si>
  <si>
    <t>Selling Price</t>
  </si>
  <si>
    <t>Unit Cost</t>
  </si>
  <si>
    <t>Total Revenue</t>
  </si>
  <si>
    <t>Total Cost</t>
  </si>
  <si>
    <t>Margin $ Pre Rebate</t>
  </si>
  <si>
    <t>Margin % Pre Rebate</t>
  </si>
  <si>
    <t>DOL %</t>
  </si>
  <si>
    <t>US-3000206820765/1</t>
  </si>
  <si>
    <t>NVIDIA SN6600-LD, 2U, 128x800G OSFP, DLC Pluggable, DC BusBar</t>
  </si>
  <si>
    <t>MMS4B10-XM-RHS</t>
  </si>
  <si>
    <t>Manual</t>
  </si>
  <si>
    <t>Compscope PPL-SH-8AP-4x4-SM-BE4</t>
  </si>
  <si>
    <t>CompScope Propel 2U</t>
  </si>
  <si>
    <t>US-3000206822366/1</t>
  </si>
  <si>
    <t>NVDA SN5600D 2U 64xOSFP112, DC BusBar, C2P (I/P) Airflow, w/ Cumulus</t>
  </si>
  <si>
    <t>MMS1X00-NS400</t>
  </si>
  <si>
    <t>MMS4X00-NM-T</t>
  </si>
  <si>
    <t>US-3000206822633/1</t>
  </si>
  <si>
    <t>NVDA SN2201 48x1G (BT), 2DC PSU, C2P (I/P) Airflow, w/ BusBar, w/ Cumulus[MSN2201-CSMRC]</t>
  </si>
  <si>
    <t>MMS1V70-CM</t>
  </si>
  <si>
    <t>US-3000206822923/1</t>
  </si>
  <si>
    <t>APC IR9048 48U Rack, XE9712 GB300, IRC, 750mm x 120mm</t>
  </si>
  <si>
    <t>PowerShelf 33KW, 19", 1U, LiteOn</t>
  </si>
  <si>
    <t>IR9148/750mmx1200mm/48U with 2x PowerShelves and IRC</t>
  </si>
  <si>
    <t>US-3000206824272/1</t>
  </si>
  <si>
    <t>US-3000206827371/1</t>
  </si>
  <si>
    <t>US-3000206827943/1</t>
  </si>
  <si>
    <t>[MMA4Z00-NS-FLT</t>
  </si>
  <si>
    <t>MMA4Z00-NS]</t>
  </si>
  <si>
    <t>US-3000206828867/1</t>
  </si>
  <si>
    <t>US-3000206831312/1</t>
  </si>
  <si>
    <t>US-3000206830435/1</t>
  </si>
  <si>
    <t>MMS1V00-WM</t>
  </si>
  <si>
    <t>Item</t>
  </si>
  <si>
    <t>Order Margin</t>
  </si>
  <si>
    <t>Total Price</t>
  </si>
  <si>
    <t>Comments</t>
  </si>
  <si>
    <t>Data Hall E-W</t>
  </si>
  <si>
    <t>Data Hall N-S</t>
  </si>
  <si>
    <t>Data Hall OOB</t>
  </si>
  <si>
    <t>Data Hall  Networking Rack Infrastructure</t>
  </si>
  <si>
    <t>Data Hall Networking Spares</t>
  </si>
  <si>
    <t>Total Data Hall</t>
  </si>
  <si>
    <t>Core E-W Network</t>
  </si>
  <si>
    <t>Core N-S Network</t>
  </si>
  <si>
    <t>Core OOB Network</t>
  </si>
  <si>
    <t>Core Networking Rack Infrastructure</t>
  </si>
  <si>
    <t>Core Networking Spares</t>
  </si>
  <si>
    <t>Total Core</t>
  </si>
  <si>
    <t>Rack Integration</t>
  </si>
  <si>
    <t xml:space="preserve">Total Horizon Networking </t>
  </si>
  <si>
    <t>Model/PN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</si>
</sst>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;[Red]\-#,##0.00"/>
    <numFmt numFmtId="165" formatCode="0.00%;[Red]\-0.00%"/>
    <numFmt numFmtId="166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0E28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164" fontId="2" fillId="0" borderId="0" xfId="0" applyNumberFormat="1" applyFont="1"/>
    <xf numFmtId="165" fontId="2" fillId="0" borderId="0" xfId="0" applyNumberFormat="1" applyFont="1"/>
    <xf numFmtId="43" fontId="2" fillId="0" borderId="0" xfId="1" applyFont="1"/>
    <xf numFmtId="40" fontId="0" fillId="0" borderId="0" xfId="0" applyNumberFormat="1"/>
    <xf numFmtId="164" fontId="0" fillId="2" borderId="0" xfId="0" applyNumberFormat="1" applyFill="1"/>
    <xf numFmtId="43" fontId="2" fillId="0" borderId="0" xfId="0" applyNumberFormat="1" applyFont="1"/>
    <xf numFmtId="0" fontId="3" fillId="3" borderId="1" xfId="0" applyFont="1" applyFill="1" applyBorder="1"/>
    <xf numFmtId="49" fontId="4" fillId="0" borderId="1" xfId="0" applyNumberFormat="1" applyFont="1" applyBorder="1"/>
    <xf numFmtId="166" fontId="5" fillId="0" borderId="1" xfId="0" applyNumberFormat="1" applyFont="1" applyBorder="1"/>
    <xf numFmtId="10" fontId="5" fillId="0" borderId="1" xfId="0" applyNumberFormat="1" applyFont="1" applyBorder="1"/>
    <xf numFmtId="0" fontId="5" fillId="0" borderId="1" xfId="0" applyFont="1" applyBorder="1" applyAlignment="1">
      <alignment wrapText="1"/>
    </xf>
    <xf numFmtId="166" fontId="3" fillId="3" borderId="1" xfId="0" applyNumberFormat="1" applyFont="1" applyFill="1" applyBorder="1"/>
    <xf numFmtId="10" fontId="3" fillId="3" borderId="1" xfId="2" applyNumberFormat="1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72</xdr:row>
      <xdr:rowOff>0</xdr:rowOff>
    </xdr:from>
    <xdr:to>
      <xdr:col>11</xdr:col>
      <xdr:colOff>289109</xdr:colOff>
      <xdr:row>103</xdr:row>
      <xdr:rowOff>1611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BAD5B-205C-401F-8510-BE8EC195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1575" y="13030200"/>
          <a:ext cx="4651560" cy="56118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ankofamerica.com/Personal/Lotus123/Alternate%20Officing%20-%20Charlotte/Discovery%20File/Discovery%20File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aul_klinger_dell_com/Documents/SDSS/Customer/Coreweave/Coreweave_Gaines%201.5%20GB200_PS1%20CSP%20Pricing%20Model_v1.6_11262024.xlsx" TargetMode="External"/><Relationship Id="rId2" Type="http://schemas.openxmlformats.org/officeDocument/2006/relationships/externalLinkPath" Target="https://dell-my.sharepoint.com/personal/paul_klinger_dell_com/Documents/SDSS/Customer/Coreweave/Coreweave_Gaines%201.5%20GB200_PS1%20CSP%20Pricing%20Model_v1.6_11262024.xlsx" TargetMode="External"/><Relationship Id="rId1" Type="http://schemas.openxmlformats.org/officeDocument/2006/relationships/externalLinkPath" Target="/personal/paul_klinger_dell_com/Documents/SDSS/Customer/Coreweave/Coreweave_Gaines%201.5%20GB200_PS1%20CSP%20Pricing%20Model_v1.6_1126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rdinetechh-my.sharepoint.com/Users/yuank1/Desktop/Common%20Use/SEA/SEA%20Quote%20Processor%20v2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ites/XCorporationRackIntegrationProject/Shared%20Documents/General/2%20-%20Project%20Management/02%20-%20Governance%20Plan/X%20Corp%20GenAI%20Program%20Workbook.xlsm" TargetMode="External"/><Relationship Id="rId1" Type="http://schemas.openxmlformats.org/officeDocument/2006/relationships/externalLinkPath" Target="/sites/XCorporationRackIntegrationProject/Shared%20Documents/General/2%20-%20Project%20Management/02%20-%20Governance%20Plan/X%20Corp%20GenAI%20Program%20Workbook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ennifer_wilder_dell_com/Documents/Cummins/EUC1%202023%20Schedule/Cummins%20EUC1%20Schedule%20-%2010-24-22%20-%20JW.xlsx" TargetMode="External"/><Relationship Id="rId1" Type="http://schemas.openxmlformats.org/officeDocument/2006/relationships/externalLinkPath" Target="/personal/jennifer_wilder_dell_com/Documents/Cummins/EUC1%202023%20Schedule/Cummins%20EUC1%20Schedule%20-%2010-24-22%20-%20JW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zachary_mains_dell_com/Documents/Microsoft%20Teams%20Chat%20Files/IREN%20Sweetwater-Horizon-PS%20Networking%209.10.26.xlsm" TargetMode="External"/><Relationship Id="rId2" Type="http://schemas.openxmlformats.org/officeDocument/2006/relationships/externalLinkPath" Target="https://dell-my.sharepoint.com/personal/zachary_mains_dell_com/Documents/Microsoft%20Teams%20Chat%20Files/IREN%20Sweetwater-Horizon-PS%20Networking%209.10.26.xlsm" TargetMode="External"/><Relationship Id="rId1" Type="http://schemas.openxmlformats.org/officeDocument/2006/relationships/externalLinkPath" Target="/personal/zachary_mains_dell_com/Documents/Microsoft%20Teams%20Chat%20Files/IREN%20Sweetwater-Horizon-PS%20Networking%209.10.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da"/>
      <sheetName val="TARs"/>
      <sheetName val="Issues"/>
      <sheetName val="Key Decisions"/>
      <sheetName val="Risks"/>
      <sheetName val="Change Controls"/>
      <sheetName val="Contacts"/>
      <sheetName val="Data"/>
      <sheetName val="Base Summary"/>
      <sheetName val="Phases"/>
      <sheetName val="Milestones"/>
      <sheetName val="KeyTa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ing Model"/>
      <sheetName val="Sample Template"/>
      <sheetName val="Reference Data"/>
      <sheetName val="Cost"/>
      <sheetName val="LOIS Summary"/>
      <sheetName val="GB200 Parts"/>
      <sheetName val="XE9785L OLD"/>
      <sheetName val="XE9680L BOM"/>
      <sheetName val="XE9785L BOM"/>
      <sheetName val="XE9680L_SKU_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or"/>
      <sheetName val="Info"/>
      <sheetName val="Template"/>
      <sheetName val="IQR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 &amp; Status"/>
      <sheetName val="Key Info"/>
      <sheetName val="Quotes and Orders"/>
      <sheetName val="Reports"/>
      <sheetName val="% Complete"/>
      <sheetName val="Status Trend"/>
      <sheetName val="Stakeholders"/>
      <sheetName val="Communication Plan"/>
      <sheetName val="Comms Plan (Meeting Cadence)"/>
      <sheetName val="Risks &amp; Issues"/>
      <sheetName val="RAID Dashboard"/>
      <sheetName val="Action Items"/>
      <sheetName val=" Decisions"/>
      <sheetName val="Interview Schedule"/>
      <sheetName val="Updated Dashboard"/>
      <sheetName val="Progress Dashboard"/>
      <sheetName val="ARB"/>
      <sheetName val="Open Action Log (AMD &amp; Nvidia)"/>
      <sheetName val="Actions &amp; Open Items"/>
      <sheetName val="Closed Action Log"/>
      <sheetName val="EBC Action Items and Notes"/>
      <sheetName val="Assumptions"/>
      <sheetName val="Dependencies"/>
      <sheetName val="Exit Criteria"/>
      <sheetName val="Changes"/>
      <sheetName val="Inventory List"/>
      <sheetName val="Email Text"/>
      <sheetName val="Data"/>
      <sheetName val="Tools"/>
      <sheetName val="Lessons Learned"/>
      <sheetName val="WBS"/>
      <sheetName val="US T-Minus"/>
      <sheetName val="Escalation P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UC1 Schedule"/>
      <sheetName val="Change Log"/>
      <sheetName val="EUC1 Home"/>
      <sheetName val="Order Schedule - JW"/>
      <sheetName val="Lead Times"/>
      <sheetName val="LookUp"/>
      <sheetName val="Site details V2"/>
      <sheetName val="Lead Time Detail"/>
      <sheetName val="EUC1_Schedule"/>
      <sheetName val="Change_Log"/>
      <sheetName val="EUC1_Home"/>
      <sheetName val="Order_Schedule_-_JW"/>
      <sheetName val="Lead_Times"/>
      <sheetName val="Site_details_V2"/>
      <sheetName val="Lead_Time_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nL_Horizon"/>
      <sheetName val="PnL_Sweetwater"/>
      <sheetName val="PnL_PS Racks"/>
      <sheetName val="Rack BOM IR9148"/>
      <sheetName val="Rack BOM IR9048"/>
    </sheetNames>
    <sheetDataSet>
      <sheetData sheetId="0"/>
      <sheetData sheetId="1"/>
      <sheetData sheetId="2"/>
      <sheetData sheetId="3"/>
      <sheetData sheetId="4">
        <row r="19">
          <cell r="F19">
            <v>10091.552999999998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EA98-E58D-49CA-B06A-F71FC6019130}">
  <dimension ref="A1:T87"/>
  <sheetViews>
    <sheetView tabSelected="1" zoomScale="130" zoomScaleNormal="130" workbookViewId="0">
      <pane ySplit="1" topLeftCell="A2" activePane="bottomLeft" state="frozen"/>
      <selection pane="bottomLeft" activeCell="B1" sqref="B1:B1048576"/>
    </sheetView>
  </sheetViews>
  <sheetFormatPr defaultRowHeight="14.4" x14ac:dyDescent="0.3"/>
  <cols>
    <col min="1" max="1" width="38" bestFit="1" customWidth="1"/>
    <col min="2" max="2" width="27.21875" customWidth="1"/>
    <col min="3" max="3" width="11.44140625" bestFit="1" customWidth="1"/>
    <col min="4" max="4" width="15.33203125" bestFit="1" customWidth="1"/>
    <col min="5" max="5" width="12.6640625" bestFit="1" customWidth="1"/>
    <col min="6" max="7" width="12.109375" bestFit="1" customWidth="1"/>
    <col min="8" max="8" width="14" bestFit="1" customWidth="1"/>
    <col min="9" max="9" width="15" bestFit="1" customWidth="1"/>
    <col min="10" max="10" width="17.109375" bestFit="1" customWidth="1"/>
    <col min="11" max="11" width="17.44140625" bestFit="1" customWidth="1"/>
    <col min="12" max="12" width="5.88671875" bestFit="1" customWidth="1"/>
    <col min="13" max="14" width="8.88671875" bestFit="1" customWidth="1"/>
    <col min="15" max="15" width="10.33203125" bestFit="1" customWidth="1"/>
    <col min="16" max="17" width="15.109375" bestFit="1" customWidth="1"/>
  </cols>
  <sheetData>
    <row r="1" spans="1:17" ht="15" thickBot="1" x14ac:dyDescent="0.35">
      <c r="A1" s="1" t="s">
        <v>0</v>
      </c>
      <c r="B1" s="19" t="s">
        <v>55</v>
      </c>
      <c r="C1" s="20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O1" s="2" t="s">
        <v>1</v>
      </c>
      <c r="P1" s="2" t="s">
        <v>6</v>
      </c>
      <c r="Q1" s="2" t="s">
        <v>7</v>
      </c>
    </row>
    <row r="2" spans="1:17" x14ac:dyDescent="0.3">
      <c r="A2" s="2" t="s">
        <v>11</v>
      </c>
      <c r="B2" s="2" t="s">
        <v>12</v>
      </c>
      <c r="C2" s="3">
        <v>480</v>
      </c>
      <c r="D2" s="3">
        <v>603749.57999999996</v>
      </c>
      <c r="E2" s="3">
        <v>83317.440000000002</v>
      </c>
      <c r="F2" s="3">
        <v>82515</v>
      </c>
      <c r="G2" s="3">
        <v>59410.82</v>
      </c>
      <c r="H2" s="3">
        <f>C2*F2</f>
        <v>39607200</v>
      </c>
      <c r="I2" s="3">
        <f>C2*G2</f>
        <v>28517193.600000001</v>
      </c>
      <c r="J2" s="3">
        <f>H2-I2</f>
        <v>11090006.399999999</v>
      </c>
      <c r="K2" s="4">
        <f>J2/H2</f>
        <v>0.27999975761982665</v>
      </c>
      <c r="L2" s="4">
        <f>(D2-F2)/D2</f>
        <v>0.86332909747117337</v>
      </c>
      <c r="M2">
        <v>2</v>
      </c>
      <c r="O2" s="5">
        <f>C2*$M$2</f>
        <v>960</v>
      </c>
      <c r="P2" s="5">
        <f t="shared" ref="P2:Q5" si="0">H2*$M$2</f>
        <v>79214400</v>
      </c>
      <c r="Q2" s="5">
        <f t="shared" si="0"/>
        <v>57034387.200000003</v>
      </c>
    </row>
    <row r="3" spans="1:17" x14ac:dyDescent="0.3">
      <c r="A3" s="2" t="s">
        <v>11</v>
      </c>
      <c r="B3" s="2" t="s">
        <v>13</v>
      </c>
      <c r="C3" s="3">
        <v>45360</v>
      </c>
      <c r="D3" s="3">
        <v>607371760.79999995</v>
      </c>
      <c r="E3" s="3">
        <v>81995187.709999993</v>
      </c>
      <c r="F3" s="3">
        <v>1530</v>
      </c>
      <c r="G3" s="3">
        <v>1346.11</v>
      </c>
      <c r="H3" s="3">
        <f>C3*F3</f>
        <v>69400800</v>
      </c>
      <c r="I3" s="3">
        <f>C3*G3</f>
        <v>61059549.599999994</v>
      </c>
      <c r="J3" s="3">
        <f>H3-I3</f>
        <v>8341250.400000006</v>
      </c>
      <c r="K3" s="4">
        <f>J3/H3</f>
        <v>0.12018954248366022</v>
      </c>
      <c r="L3" s="4">
        <f>(D3-F3)/D3</f>
        <v>0.99999748094972674</v>
      </c>
      <c r="O3" s="5">
        <f>C3*$M$2</f>
        <v>90720</v>
      </c>
      <c r="P3" s="5">
        <f t="shared" si="0"/>
        <v>138801600</v>
      </c>
      <c r="Q3" s="5">
        <f t="shared" si="0"/>
        <v>122119099.19999999</v>
      </c>
    </row>
    <row r="4" spans="1:17" x14ac:dyDescent="0.3">
      <c r="A4" s="2" t="s">
        <v>14</v>
      </c>
      <c r="B4" s="2" t="s">
        <v>15</v>
      </c>
      <c r="C4" s="3">
        <v>7560</v>
      </c>
      <c r="F4">
        <v>430.67</v>
      </c>
      <c r="G4" s="3">
        <v>323</v>
      </c>
      <c r="H4" s="3">
        <f>C4*F4</f>
        <v>3255865.2</v>
      </c>
      <c r="I4" s="3">
        <f>C4*G4</f>
        <v>2441880</v>
      </c>
      <c r="J4" s="3">
        <f>H4-I4</f>
        <v>813985.20000000019</v>
      </c>
      <c r="K4" s="4">
        <f>J4/H4</f>
        <v>0.25000580490863078</v>
      </c>
      <c r="L4" s="4"/>
      <c r="O4" s="5">
        <f>C4*$M$2</f>
        <v>15120</v>
      </c>
      <c r="P4" s="5">
        <f t="shared" si="0"/>
        <v>6511730.4000000004</v>
      </c>
      <c r="Q4" s="5">
        <f t="shared" si="0"/>
        <v>4883760</v>
      </c>
    </row>
    <row r="5" spans="1:17" x14ac:dyDescent="0.3">
      <c r="A5" s="2" t="s">
        <v>14</v>
      </c>
      <c r="B5" s="2" t="s">
        <v>16</v>
      </c>
      <c r="C5" s="3">
        <v>240</v>
      </c>
      <c r="F5">
        <v>506.67</v>
      </c>
      <c r="G5" s="3">
        <v>380</v>
      </c>
      <c r="H5" s="3">
        <f>C5*F5</f>
        <v>121600.8</v>
      </c>
      <c r="I5" s="3">
        <f>C5*G5</f>
        <v>91200</v>
      </c>
      <c r="J5" s="3">
        <f>H5-I5</f>
        <v>30400.800000000003</v>
      </c>
      <c r="K5" s="4">
        <f>J5/H5</f>
        <v>0.25000493417806463</v>
      </c>
      <c r="L5" s="4"/>
      <c r="O5" s="5">
        <f>C5*$M$2</f>
        <v>480</v>
      </c>
      <c r="P5" s="5">
        <f t="shared" si="0"/>
        <v>243201.6</v>
      </c>
      <c r="Q5" s="5">
        <f t="shared" si="0"/>
        <v>182400</v>
      </c>
    </row>
    <row r="6" spans="1:17" x14ac:dyDescent="0.3">
      <c r="A6" s="2"/>
      <c r="B6" s="2"/>
      <c r="C6" s="3"/>
      <c r="D6" s="3"/>
      <c r="E6" s="3"/>
      <c r="F6" s="3"/>
      <c r="G6" s="3"/>
      <c r="H6" s="6">
        <f>SUM(H2:H5)</f>
        <v>112385466</v>
      </c>
      <c r="I6" s="6">
        <f>SUM(I2:I5)</f>
        <v>92109823.199999988</v>
      </c>
      <c r="J6" s="6">
        <f>H6-I6</f>
        <v>20275642.800000012</v>
      </c>
      <c r="K6" s="7">
        <f>J6/H6</f>
        <v>0.18041160945135035</v>
      </c>
      <c r="L6" s="4"/>
      <c r="O6" s="5"/>
      <c r="P6" s="8">
        <f>SUM(P2:P5)</f>
        <v>224770932</v>
      </c>
      <c r="Q6" s="8">
        <f>SUM(Q2:Q5)</f>
        <v>184219646.39999998</v>
      </c>
    </row>
    <row r="7" spans="1:17" x14ac:dyDescent="0.3">
      <c r="A7" s="2"/>
      <c r="B7" s="2"/>
      <c r="C7" s="3"/>
      <c r="D7" s="3"/>
      <c r="E7" s="3"/>
      <c r="F7" s="3"/>
      <c r="G7" s="3"/>
      <c r="H7" s="3"/>
      <c r="I7" s="3"/>
      <c r="J7" s="3"/>
      <c r="K7" s="4"/>
      <c r="L7" s="4"/>
    </row>
    <row r="8" spans="1:17" x14ac:dyDescent="0.3">
      <c r="A8" s="2" t="s">
        <v>17</v>
      </c>
      <c r="B8" s="2" t="s">
        <v>18</v>
      </c>
      <c r="C8" s="3">
        <v>274</v>
      </c>
      <c r="D8" s="3">
        <v>342160.94</v>
      </c>
      <c r="E8" s="3">
        <v>47218.21</v>
      </c>
      <c r="F8" s="3">
        <v>48415</v>
      </c>
      <c r="G8" s="3">
        <v>38732.239999999998</v>
      </c>
      <c r="H8" s="3">
        <f>C8*F8</f>
        <v>13265710</v>
      </c>
      <c r="I8" s="3">
        <f>C8*G8</f>
        <v>10612633.76</v>
      </c>
      <c r="J8" s="3">
        <f>H8-I8</f>
        <v>2653076.2400000002</v>
      </c>
      <c r="K8" s="4">
        <f>J8/H8</f>
        <v>0.19999504285861822</v>
      </c>
      <c r="L8" s="4">
        <f>(D8-F8)/D8</f>
        <v>0.85850225920001277</v>
      </c>
      <c r="O8" s="5">
        <f>C8*$M$2</f>
        <v>548</v>
      </c>
      <c r="P8" s="5">
        <f t="shared" ref="P8:Q10" si="1">H8*$M$2</f>
        <v>26531420</v>
      </c>
      <c r="Q8" s="5">
        <f t="shared" si="1"/>
        <v>21225267.52</v>
      </c>
    </row>
    <row r="9" spans="1:17" x14ac:dyDescent="0.3">
      <c r="A9" s="2" t="s">
        <v>17</v>
      </c>
      <c r="B9" s="2" t="s">
        <v>19</v>
      </c>
      <c r="C9" s="3">
        <v>14820</v>
      </c>
      <c r="D9" s="3">
        <v>89513244.599999994</v>
      </c>
      <c r="E9" s="3">
        <v>12084288.02</v>
      </c>
      <c r="F9" s="3">
        <f>ROUND(G9/0.8,0)</f>
        <v>764</v>
      </c>
      <c r="G9" s="3">
        <v>611.11</v>
      </c>
      <c r="H9" s="3">
        <f>C9*F9</f>
        <v>11322480</v>
      </c>
      <c r="I9" s="3">
        <f>C9*G9</f>
        <v>9056650.2000000011</v>
      </c>
      <c r="J9" s="3">
        <f>H9-I9</f>
        <v>2265829.7999999989</v>
      </c>
      <c r="K9" s="4">
        <f>J9/H9</f>
        <v>0.20011780104712032</v>
      </c>
      <c r="L9" s="4">
        <f>(D9-F9)/D9</f>
        <v>0.99999146495020474</v>
      </c>
      <c r="O9" s="5">
        <f>C9*$M$2</f>
        <v>29640</v>
      </c>
      <c r="P9" s="5">
        <f t="shared" si="1"/>
        <v>22644960</v>
      </c>
      <c r="Q9" s="5">
        <f t="shared" si="1"/>
        <v>18113300.400000002</v>
      </c>
    </row>
    <row r="10" spans="1:17" x14ac:dyDescent="0.3">
      <c r="A10" s="2" t="s">
        <v>17</v>
      </c>
      <c r="B10" s="2" t="s">
        <v>20</v>
      </c>
      <c r="C10" s="3">
        <v>14678</v>
      </c>
      <c r="D10" s="3">
        <v>133482172.34</v>
      </c>
      <c r="E10" s="3">
        <v>18020093.27</v>
      </c>
      <c r="F10" s="3">
        <f>ROUND(G10/0.8,0)</f>
        <v>1126</v>
      </c>
      <c r="G10" s="3">
        <v>901.11</v>
      </c>
      <c r="H10" s="3">
        <f>C10*F10</f>
        <v>16527428</v>
      </c>
      <c r="I10" s="3">
        <f>C10*G10</f>
        <v>13226492.58</v>
      </c>
      <c r="J10" s="3">
        <f>H10-I10</f>
        <v>3300935.42</v>
      </c>
      <c r="K10" s="4">
        <f>J10/H10</f>
        <v>0.19972468916518649</v>
      </c>
      <c r="L10" s="4">
        <f>(D10-F10)/D10</f>
        <v>0.99999156441657888</v>
      </c>
      <c r="O10" s="5">
        <f>C10*$M$2</f>
        <v>29356</v>
      </c>
      <c r="P10" s="5">
        <f t="shared" si="1"/>
        <v>33054856</v>
      </c>
      <c r="Q10" s="5">
        <f t="shared" si="1"/>
        <v>26452985.16</v>
      </c>
    </row>
    <row r="11" spans="1:17" x14ac:dyDescent="0.3">
      <c r="A11" s="2"/>
      <c r="B11" s="2"/>
      <c r="C11" s="3"/>
      <c r="D11" s="3"/>
      <c r="E11" s="3"/>
      <c r="F11" s="3"/>
      <c r="G11" s="3"/>
      <c r="H11" s="6">
        <f>SUM(H8:H10)</f>
        <v>41115618</v>
      </c>
      <c r="I11" s="6">
        <f>SUM(I8:I10)</f>
        <v>32895776.539999999</v>
      </c>
      <c r="J11" s="6">
        <f>H11-I11</f>
        <v>8219841.4600000009</v>
      </c>
      <c r="K11" s="7">
        <f>J11/H11</f>
        <v>0.19992017291336836</v>
      </c>
      <c r="L11" s="4"/>
      <c r="O11" s="5"/>
      <c r="P11" s="5">
        <f>SUM(P8:P10)</f>
        <v>82231236</v>
      </c>
      <c r="Q11" s="5">
        <f>SUM(Q8:Q10)</f>
        <v>65791553.079999998</v>
      </c>
    </row>
    <row r="12" spans="1:17" x14ac:dyDescent="0.3">
      <c r="A12" s="2"/>
      <c r="B12" s="2"/>
      <c r="C12" s="3"/>
      <c r="D12" s="3"/>
      <c r="E12" s="3"/>
      <c r="F12" s="3"/>
      <c r="G12" s="3"/>
      <c r="H12" s="3"/>
      <c r="I12" s="3"/>
      <c r="J12" s="3"/>
      <c r="K12" s="4"/>
      <c r="L12" s="4"/>
    </row>
    <row r="13" spans="1:17" x14ac:dyDescent="0.3">
      <c r="A13" s="2" t="s">
        <v>21</v>
      </c>
      <c r="B13" s="2" t="s">
        <v>22</v>
      </c>
      <c r="C13" s="3">
        <v>75</v>
      </c>
      <c r="D13" s="3">
        <v>24776.13</v>
      </c>
      <c r="E13" s="3">
        <v>3652.15</v>
      </c>
      <c r="F13" s="3">
        <v>3528</v>
      </c>
      <c r="G13" s="3">
        <v>3104.33</v>
      </c>
      <c r="H13" s="3">
        <f>C13*F13</f>
        <v>264600</v>
      </c>
      <c r="I13" s="3">
        <f>C13*G13</f>
        <v>232824.75</v>
      </c>
      <c r="J13" s="3">
        <f>H13-I13</f>
        <v>31775.25</v>
      </c>
      <c r="K13" s="4">
        <f>J13/H13</f>
        <v>0.12008786848072563</v>
      </c>
      <c r="L13" s="4">
        <f>(D13-F13)/D13</f>
        <v>0.85760488018104519</v>
      </c>
      <c r="O13" s="5">
        <f>C13*$M$2</f>
        <v>150</v>
      </c>
      <c r="P13" s="5">
        <f t="shared" ref="P13:Q16" si="2">H13*$M$2</f>
        <v>529200</v>
      </c>
      <c r="Q13" s="5">
        <f t="shared" si="2"/>
        <v>465649.5</v>
      </c>
    </row>
    <row r="14" spans="1:17" x14ac:dyDescent="0.3">
      <c r="A14" s="2" t="s">
        <v>21</v>
      </c>
      <c r="B14" s="2" t="s">
        <v>18</v>
      </c>
      <c r="C14" s="3">
        <v>6</v>
      </c>
      <c r="D14" s="3">
        <v>342160.94</v>
      </c>
      <c r="E14" s="3">
        <v>47218.21</v>
      </c>
      <c r="F14" s="3">
        <v>48415</v>
      </c>
      <c r="G14" s="3">
        <v>38732.239999999998</v>
      </c>
      <c r="H14" s="3">
        <f>C14*F14</f>
        <v>290490</v>
      </c>
      <c r="I14" s="3">
        <f>C14*G14</f>
        <v>232393.44</v>
      </c>
      <c r="J14" s="3">
        <f>H14-I14</f>
        <v>58096.56</v>
      </c>
      <c r="K14" s="4">
        <f>J14/H14</f>
        <v>0.19999504285861819</v>
      </c>
      <c r="L14" s="4">
        <f>(D14-F14)/D14</f>
        <v>0.85850225920001277</v>
      </c>
      <c r="O14" s="5">
        <f>C14*$M$2</f>
        <v>12</v>
      </c>
      <c r="P14" s="5">
        <f t="shared" si="2"/>
        <v>580980</v>
      </c>
      <c r="Q14" s="5">
        <f t="shared" si="2"/>
        <v>464786.88</v>
      </c>
    </row>
    <row r="15" spans="1:17" x14ac:dyDescent="0.3">
      <c r="A15" s="2" t="s">
        <v>21</v>
      </c>
      <c r="B15" s="2" t="s">
        <v>23</v>
      </c>
      <c r="C15" s="3">
        <v>150</v>
      </c>
      <c r="D15" s="3">
        <v>430317</v>
      </c>
      <c r="E15" s="3">
        <v>58092.800000000003</v>
      </c>
      <c r="F15" s="3">
        <f>ROUND(G15/0.88,0)</f>
        <v>341</v>
      </c>
      <c r="G15" s="3">
        <v>300.36</v>
      </c>
      <c r="H15" s="3">
        <f>C15*F15</f>
        <v>51150</v>
      </c>
      <c r="I15" s="3">
        <f>C15*G15</f>
        <v>45054</v>
      </c>
      <c r="J15" s="3">
        <f>H15-I15</f>
        <v>6096</v>
      </c>
      <c r="K15" s="4">
        <f>J15/H15</f>
        <v>0.11917888563049854</v>
      </c>
      <c r="L15" s="4">
        <f>(D15-F15)/D15</f>
        <v>0.9992075609376343</v>
      </c>
      <c r="O15" s="5">
        <f>C15*$M$2</f>
        <v>300</v>
      </c>
      <c r="P15" s="5">
        <f t="shared" si="2"/>
        <v>102300</v>
      </c>
      <c r="Q15" s="5">
        <f t="shared" si="2"/>
        <v>90108</v>
      </c>
    </row>
    <row r="16" spans="1:17" x14ac:dyDescent="0.3">
      <c r="A16" s="2" t="s">
        <v>21</v>
      </c>
      <c r="B16" s="2" t="s">
        <v>20</v>
      </c>
      <c r="C16" s="3">
        <v>208</v>
      </c>
      <c r="D16" s="3">
        <v>1891558.24</v>
      </c>
      <c r="E16" s="3">
        <v>255360.36</v>
      </c>
      <c r="F16" s="3">
        <f>ROUND(G16/0.8,0)</f>
        <v>1126</v>
      </c>
      <c r="G16" s="3">
        <v>901.11</v>
      </c>
      <c r="H16" s="3">
        <f>C16*F16</f>
        <v>234208</v>
      </c>
      <c r="I16" s="3">
        <f>C16*G16</f>
        <v>187430.88</v>
      </c>
      <c r="J16" s="3">
        <f>H16-I16</f>
        <v>46777.119999999995</v>
      </c>
      <c r="K16" s="4">
        <f>J16/H16</f>
        <v>0.19972468916518649</v>
      </c>
      <c r="L16" s="4">
        <f>(D16-F16)/D16</f>
        <v>0.9994047235891611</v>
      </c>
      <c r="O16" s="5">
        <f>C16*$M$2</f>
        <v>416</v>
      </c>
      <c r="P16" s="5">
        <f t="shared" si="2"/>
        <v>468416</v>
      </c>
      <c r="Q16" s="5">
        <f t="shared" si="2"/>
        <v>374861.76</v>
      </c>
    </row>
    <row r="17" spans="1:20" x14ac:dyDescent="0.3">
      <c r="A17" s="2"/>
      <c r="B17" s="2"/>
      <c r="C17" s="3"/>
      <c r="D17" s="3"/>
      <c r="E17" s="3"/>
      <c r="F17" s="3"/>
      <c r="G17" s="3"/>
      <c r="H17" s="6">
        <f>SUM(H13:H16)</f>
        <v>840448</v>
      </c>
      <c r="I17" s="6">
        <f>SUM(I13:I16)</f>
        <v>697703.07000000007</v>
      </c>
      <c r="J17" s="6">
        <f>H17-I17</f>
        <v>142744.92999999993</v>
      </c>
      <c r="K17" s="7">
        <f>J17/H17</f>
        <v>0.16984385708574468</v>
      </c>
      <c r="L17" s="4"/>
      <c r="O17" s="5"/>
      <c r="P17" s="8">
        <f>SUM(P13:P16)</f>
        <v>1680896</v>
      </c>
      <c r="Q17" s="8">
        <f>SUM(Q13:Q16)</f>
        <v>1395406.1400000001</v>
      </c>
    </row>
    <row r="18" spans="1:20" x14ac:dyDescent="0.3">
      <c r="A18" s="2"/>
      <c r="B18" s="2"/>
      <c r="C18" s="3"/>
      <c r="D18" s="3"/>
      <c r="E18" s="3"/>
      <c r="F18" s="3"/>
      <c r="G18" s="3"/>
      <c r="H18" s="3"/>
      <c r="I18" s="3"/>
      <c r="J18" s="3"/>
      <c r="K18" s="4"/>
      <c r="L18" s="4"/>
    </row>
    <row r="19" spans="1:20" x14ac:dyDescent="0.3">
      <c r="A19" s="2" t="s">
        <v>24</v>
      </c>
      <c r="B19" s="2" t="s">
        <v>25</v>
      </c>
      <c r="C19" s="3">
        <v>30</v>
      </c>
      <c r="D19" s="3">
        <v>121754.6825</v>
      </c>
      <c r="E19" s="3">
        <v>67458.679999999993</v>
      </c>
      <c r="F19" s="3">
        <v>11468</v>
      </c>
      <c r="G19" s="3">
        <f>'[6]Rack BOM IR9048'!F19</f>
        <v>10091.552999999998</v>
      </c>
      <c r="H19" s="3">
        <f>C19*F19</f>
        <v>344040</v>
      </c>
      <c r="I19" s="3">
        <f>C19*G19</f>
        <v>302746.58999999997</v>
      </c>
      <c r="J19" s="3">
        <f>H19-I19</f>
        <v>41293.410000000033</v>
      </c>
      <c r="K19" s="4">
        <f>J19/H19</f>
        <v>0.12002502615974896</v>
      </c>
      <c r="L19" s="4">
        <f>(D19-F19)/D19</f>
        <v>0.90581060403980762</v>
      </c>
      <c r="O19" s="5">
        <f>C19*$M$2</f>
        <v>60</v>
      </c>
      <c r="P19" s="5">
        <f t="shared" ref="P19:Q21" si="3">H19*$M$2</f>
        <v>688080</v>
      </c>
      <c r="Q19" s="5">
        <f t="shared" si="3"/>
        <v>605493.17999999993</v>
      </c>
      <c r="T19" s="9">
        <f>49919.42-G19</f>
        <v>39827.866999999998</v>
      </c>
    </row>
    <row r="20" spans="1:20" x14ac:dyDescent="0.3">
      <c r="A20" s="2" t="s">
        <v>24</v>
      </c>
      <c r="B20" s="2" t="s">
        <v>26</v>
      </c>
      <c r="C20" s="3">
        <v>60</v>
      </c>
      <c r="D20" s="3">
        <v>10975.275</v>
      </c>
      <c r="E20" s="3">
        <v>6064.7</v>
      </c>
      <c r="F20" s="3">
        <v>5100</v>
      </c>
      <c r="G20" s="3">
        <v>4487.88</v>
      </c>
      <c r="H20" s="3">
        <f>C20*F20</f>
        <v>306000</v>
      </c>
      <c r="I20" s="3">
        <f>C20*G20</f>
        <v>269272.8</v>
      </c>
      <c r="J20" s="3">
        <f>H20-I20</f>
        <v>36727.200000000012</v>
      </c>
      <c r="K20" s="4">
        <f>J20/H20</f>
        <v>0.12002352941176474</v>
      </c>
      <c r="L20" s="4">
        <f>(D20-F20)/D20</f>
        <v>0.53531916056773066</v>
      </c>
      <c r="O20" s="5">
        <f>C20*$M$2</f>
        <v>120</v>
      </c>
      <c r="P20" s="5">
        <f t="shared" si="3"/>
        <v>612000</v>
      </c>
      <c r="Q20" s="5">
        <f t="shared" si="3"/>
        <v>538545.6</v>
      </c>
    </row>
    <row r="21" spans="1:20" x14ac:dyDescent="0.3">
      <c r="A21" s="2" t="s">
        <v>14</v>
      </c>
      <c r="B21" s="2" t="s">
        <v>27</v>
      </c>
      <c r="C21" s="3">
        <f>C19*2</f>
        <v>60</v>
      </c>
      <c r="F21">
        <v>60351.23</v>
      </c>
      <c r="G21" s="3">
        <v>47544.91</v>
      </c>
      <c r="H21" s="3">
        <f>C21*F21</f>
        <v>3621073.8000000003</v>
      </c>
      <c r="I21" s="3">
        <f>C21*G21</f>
        <v>2852694.6</v>
      </c>
      <c r="J21" s="3">
        <f>H21-I21</f>
        <v>768379.20000000019</v>
      </c>
      <c r="K21" s="4">
        <f>J21/H21</f>
        <v>0.21219650370009033</v>
      </c>
      <c r="L21" s="4"/>
      <c r="O21" s="5">
        <f>C21*$M$2</f>
        <v>120</v>
      </c>
      <c r="P21" s="5">
        <f t="shared" si="3"/>
        <v>7242147.6000000006</v>
      </c>
      <c r="Q21" s="5">
        <f t="shared" si="3"/>
        <v>5705389.2000000002</v>
      </c>
    </row>
    <row r="22" spans="1:20" x14ac:dyDescent="0.3">
      <c r="A22" s="2"/>
      <c r="B22" s="2"/>
      <c r="C22" s="3"/>
      <c r="D22" s="3"/>
      <c r="E22" s="3"/>
      <c r="F22" s="3"/>
      <c r="G22" s="3"/>
      <c r="H22" s="6">
        <f>SUM(H19:H21)</f>
        <v>4271113.8000000007</v>
      </c>
      <c r="I22" s="6">
        <f>SUM(I19:I21)</f>
        <v>3424713.99</v>
      </c>
      <c r="J22" s="6">
        <f>H22-I22</f>
        <v>846399.81000000052</v>
      </c>
      <c r="K22" s="7">
        <f>J22/H22</f>
        <v>0.19816840515932879</v>
      </c>
      <c r="L22" s="4"/>
      <c r="O22" s="5"/>
      <c r="P22" s="8">
        <f>SUM(P19:P21)</f>
        <v>8542227.6000000015</v>
      </c>
      <c r="Q22" s="8">
        <f>SUM(Q19:Q21)</f>
        <v>6849427.9800000004</v>
      </c>
    </row>
    <row r="23" spans="1:20" x14ac:dyDescent="0.3">
      <c r="A23" s="2"/>
      <c r="B23" s="2"/>
      <c r="C23" s="3"/>
      <c r="D23" s="3"/>
      <c r="E23" s="3"/>
      <c r="F23" s="3"/>
      <c r="G23" s="3"/>
      <c r="H23" s="3"/>
      <c r="I23" s="3"/>
      <c r="J23" s="3"/>
      <c r="K23" s="4"/>
      <c r="L23" s="4"/>
    </row>
    <row r="24" spans="1:20" x14ac:dyDescent="0.3">
      <c r="A24" s="2" t="s">
        <v>28</v>
      </c>
      <c r="B24" s="2" t="s">
        <v>12</v>
      </c>
      <c r="C24" s="3">
        <v>14</v>
      </c>
      <c r="D24" s="3">
        <v>603799.57999999996</v>
      </c>
      <c r="E24" s="3">
        <v>83324.34</v>
      </c>
      <c r="F24" s="3">
        <v>82515</v>
      </c>
      <c r="G24" s="3">
        <v>59430.82</v>
      </c>
      <c r="H24" s="3">
        <f t="shared" ref="H24:H32" si="4">C24*F24</f>
        <v>1155210</v>
      </c>
      <c r="I24" s="3">
        <f t="shared" ref="I24:I32" si="5">C24*G24</f>
        <v>832031.48</v>
      </c>
      <c r="J24" s="3">
        <f t="shared" ref="J24:J33" si="6">H24-I24</f>
        <v>323178.52</v>
      </c>
      <c r="K24" s="4">
        <f t="shared" ref="K24:K33" si="7">J24/H24</f>
        <v>0.2797573774465249</v>
      </c>
      <c r="L24" s="4">
        <f t="shared" ref="L24:L30" si="8">(D24-F24)/D24</f>
        <v>0.86334041504301806</v>
      </c>
      <c r="O24" s="5">
        <f t="shared" ref="O24:O32" si="9">C24*$M$2</f>
        <v>28</v>
      </c>
      <c r="P24" s="5">
        <f t="shared" ref="P24:Q32" si="10">H24*$M$2</f>
        <v>2310420</v>
      </c>
      <c r="Q24" s="5">
        <f t="shared" si="10"/>
        <v>1664062.96</v>
      </c>
    </row>
    <row r="25" spans="1:20" x14ac:dyDescent="0.3">
      <c r="A25" s="2" t="s">
        <v>28</v>
      </c>
      <c r="B25" s="2" t="s">
        <v>18</v>
      </c>
      <c r="C25" s="3">
        <v>10</v>
      </c>
      <c r="D25" s="3">
        <v>342210.94</v>
      </c>
      <c r="E25" s="3">
        <v>47225.11</v>
      </c>
      <c r="F25" s="3">
        <v>48415</v>
      </c>
      <c r="G25" s="3">
        <v>38752.239999999998</v>
      </c>
      <c r="H25" s="3">
        <f t="shared" si="4"/>
        <v>484150</v>
      </c>
      <c r="I25" s="3">
        <f t="shared" si="5"/>
        <v>387522.39999999997</v>
      </c>
      <c r="J25" s="3">
        <f t="shared" si="6"/>
        <v>96627.600000000035</v>
      </c>
      <c r="K25" s="4">
        <f t="shared" si="7"/>
        <v>0.19958194774346802</v>
      </c>
      <c r="L25" s="4">
        <f t="shared" si="8"/>
        <v>0.85852293325280604</v>
      </c>
      <c r="O25" s="5">
        <f t="shared" si="9"/>
        <v>20</v>
      </c>
      <c r="P25" s="5">
        <f t="shared" si="10"/>
        <v>968300</v>
      </c>
      <c r="Q25" s="5">
        <f t="shared" si="10"/>
        <v>775044.79999999993</v>
      </c>
    </row>
    <row r="26" spans="1:20" x14ac:dyDescent="0.3">
      <c r="A26" s="2" t="s">
        <v>28</v>
      </c>
      <c r="B26" s="2" t="s">
        <v>22</v>
      </c>
      <c r="C26" s="3">
        <v>2</v>
      </c>
      <c r="D26" s="3">
        <v>24826.13</v>
      </c>
      <c r="E26" s="3">
        <v>3675.68</v>
      </c>
      <c r="F26" s="3">
        <v>3528</v>
      </c>
      <c r="G26" s="3">
        <v>3124.33</v>
      </c>
      <c r="H26" s="3">
        <f t="shared" si="4"/>
        <v>7056</v>
      </c>
      <c r="I26" s="3">
        <f t="shared" si="5"/>
        <v>6248.66</v>
      </c>
      <c r="J26" s="3">
        <f t="shared" si="6"/>
        <v>807.34000000000015</v>
      </c>
      <c r="K26" s="4">
        <f t="shared" si="7"/>
        <v>0.11441893424036283</v>
      </c>
      <c r="L26" s="4">
        <f t="shared" si="8"/>
        <v>0.85789166495140401</v>
      </c>
      <c r="O26" s="5">
        <f t="shared" si="9"/>
        <v>4</v>
      </c>
      <c r="P26" s="5">
        <f t="shared" si="10"/>
        <v>14112</v>
      </c>
      <c r="Q26" s="5">
        <f t="shared" si="10"/>
        <v>12497.32</v>
      </c>
    </row>
    <row r="27" spans="1:20" x14ac:dyDescent="0.3">
      <c r="A27" s="2" t="s">
        <v>28</v>
      </c>
      <c r="B27" s="2" t="s">
        <v>23</v>
      </c>
      <c r="C27" s="3">
        <v>5</v>
      </c>
      <c r="D27" s="3">
        <v>14343.9</v>
      </c>
      <c r="E27" s="3">
        <v>1936.43</v>
      </c>
      <c r="F27" s="3">
        <f>ROUND(G27/0.88,0)</f>
        <v>341</v>
      </c>
      <c r="G27" s="3">
        <v>300.36</v>
      </c>
      <c r="H27" s="3">
        <f t="shared" si="4"/>
        <v>1705</v>
      </c>
      <c r="I27" s="3">
        <f t="shared" si="5"/>
        <v>1501.8000000000002</v>
      </c>
      <c r="J27" s="3">
        <f t="shared" si="6"/>
        <v>203.19999999999982</v>
      </c>
      <c r="K27" s="4">
        <f t="shared" si="7"/>
        <v>0.11917888563049843</v>
      </c>
      <c r="L27" s="4">
        <f t="shared" si="8"/>
        <v>0.9762268281290305</v>
      </c>
      <c r="O27" s="5">
        <f t="shared" si="9"/>
        <v>10</v>
      </c>
      <c r="P27" s="5">
        <f t="shared" si="10"/>
        <v>3410</v>
      </c>
      <c r="Q27" s="5">
        <f t="shared" si="10"/>
        <v>3003.6000000000004</v>
      </c>
    </row>
    <row r="28" spans="1:20" x14ac:dyDescent="0.3">
      <c r="A28" s="2" t="s">
        <v>28</v>
      </c>
      <c r="B28" s="2" t="s">
        <v>19</v>
      </c>
      <c r="C28" s="3">
        <v>445</v>
      </c>
      <c r="D28" s="3">
        <v>2687813.35</v>
      </c>
      <c r="E28" s="3">
        <v>362854.8</v>
      </c>
      <c r="F28" s="3">
        <f>ROUND(G28/0.8,0)</f>
        <v>764</v>
      </c>
      <c r="G28" s="3">
        <v>611.11</v>
      </c>
      <c r="H28" s="3">
        <f t="shared" si="4"/>
        <v>339980</v>
      </c>
      <c r="I28" s="3">
        <f t="shared" si="5"/>
        <v>271943.95</v>
      </c>
      <c r="J28" s="3">
        <f t="shared" si="6"/>
        <v>68036.049999999988</v>
      </c>
      <c r="K28" s="4">
        <f t="shared" si="7"/>
        <v>0.20011780104712037</v>
      </c>
      <c r="L28" s="4">
        <f t="shared" si="8"/>
        <v>0.99971575407198565</v>
      </c>
      <c r="O28" s="5">
        <f t="shared" si="9"/>
        <v>890</v>
      </c>
      <c r="P28" s="5">
        <f t="shared" si="10"/>
        <v>679960</v>
      </c>
      <c r="Q28" s="5">
        <f t="shared" si="10"/>
        <v>543887.9</v>
      </c>
    </row>
    <row r="29" spans="1:20" x14ac:dyDescent="0.3">
      <c r="A29" s="2" t="s">
        <v>28</v>
      </c>
      <c r="B29" s="2" t="s">
        <v>20</v>
      </c>
      <c r="C29" s="3">
        <v>446</v>
      </c>
      <c r="D29" s="3">
        <v>4055937.38</v>
      </c>
      <c r="E29" s="3">
        <v>547551.55000000005</v>
      </c>
      <c r="F29" s="3">
        <f>ROUND(G29/0.8,0)</f>
        <v>1126</v>
      </c>
      <c r="G29" s="3">
        <v>901.11</v>
      </c>
      <c r="H29" s="3">
        <f t="shared" si="4"/>
        <v>502196</v>
      </c>
      <c r="I29" s="3">
        <f t="shared" si="5"/>
        <v>401895.06</v>
      </c>
      <c r="J29" s="3">
        <f t="shared" si="6"/>
        <v>100300.94</v>
      </c>
      <c r="K29" s="4">
        <f t="shared" si="7"/>
        <v>0.19972468916518651</v>
      </c>
      <c r="L29" s="4">
        <f t="shared" si="8"/>
        <v>0.99972238230167154</v>
      </c>
      <c r="O29" s="5">
        <f t="shared" si="9"/>
        <v>892</v>
      </c>
      <c r="P29" s="5">
        <f t="shared" si="10"/>
        <v>1004392</v>
      </c>
      <c r="Q29" s="5">
        <f t="shared" si="10"/>
        <v>803790.12</v>
      </c>
    </row>
    <row r="30" spans="1:20" x14ac:dyDescent="0.3">
      <c r="A30" s="2" t="s">
        <v>28</v>
      </c>
      <c r="B30" s="2" t="s">
        <v>13</v>
      </c>
      <c r="C30" s="3">
        <v>1361</v>
      </c>
      <c r="D30" s="3">
        <v>18223830.829999998</v>
      </c>
      <c r="E30" s="3">
        <v>2460217.16</v>
      </c>
      <c r="F30" s="3">
        <v>1530</v>
      </c>
      <c r="G30" s="3">
        <v>1346.11</v>
      </c>
      <c r="H30" s="3">
        <f t="shared" si="4"/>
        <v>2082330</v>
      </c>
      <c r="I30" s="3">
        <f t="shared" si="5"/>
        <v>1832055.71</v>
      </c>
      <c r="J30" s="3">
        <f t="shared" si="6"/>
        <v>250274.29000000004</v>
      </c>
      <c r="K30" s="4">
        <f t="shared" si="7"/>
        <v>0.12018954248366015</v>
      </c>
      <c r="L30" s="4">
        <f t="shared" si="8"/>
        <v>0.99991604399677148</v>
      </c>
      <c r="O30" s="5">
        <f t="shared" si="9"/>
        <v>2722</v>
      </c>
      <c r="P30" s="5">
        <f t="shared" si="10"/>
        <v>4164660</v>
      </c>
      <c r="Q30" s="5">
        <f t="shared" si="10"/>
        <v>3664111.42</v>
      </c>
    </row>
    <row r="31" spans="1:20" x14ac:dyDescent="0.3">
      <c r="A31" s="2" t="s">
        <v>14</v>
      </c>
      <c r="B31" s="2" t="s">
        <v>15</v>
      </c>
      <c r="C31" s="3">
        <v>227</v>
      </c>
      <c r="F31">
        <v>430.67</v>
      </c>
      <c r="G31" s="3">
        <v>323</v>
      </c>
      <c r="H31" s="3">
        <f t="shared" si="4"/>
        <v>97762.09</v>
      </c>
      <c r="I31" s="3">
        <f t="shared" si="5"/>
        <v>73321</v>
      </c>
      <c r="J31" s="3">
        <f t="shared" si="6"/>
        <v>24441.089999999997</v>
      </c>
      <c r="K31" s="4">
        <f t="shared" si="7"/>
        <v>0.25000580490863072</v>
      </c>
      <c r="L31" s="4"/>
      <c r="O31" s="5">
        <f t="shared" si="9"/>
        <v>454</v>
      </c>
      <c r="P31" s="5">
        <f t="shared" si="10"/>
        <v>195524.18</v>
      </c>
      <c r="Q31" s="5">
        <f t="shared" si="10"/>
        <v>146642</v>
      </c>
    </row>
    <row r="32" spans="1:20" x14ac:dyDescent="0.3">
      <c r="A32" s="2" t="s">
        <v>14</v>
      </c>
      <c r="B32" s="2" t="s">
        <v>16</v>
      </c>
      <c r="C32" s="3">
        <v>7</v>
      </c>
      <c r="F32">
        <v>506.67</v>
      </c>
      <c r="G32" s="3">
        <v>380</v>
      </c>
      <c r="H32" s="3">
        <f t="shared" si="4"/>
        <v>3546.69</v>
      </c>
      <c r="I32" s="3">
        <f t="shared" si="5"/>
        <v>2660</v>
      </c>
      <c r="J32" s="3">
        <f t="shared" si="6"/>
        <v>886.69</v>
      </c>
      <c r="K32" s="4">
        <f t="shared" si="7"/>
        <v>0.25000493417806463</v>
      </c>
      <c r="L32" s="4"/>
      <c r="O32" s="5">
        <f t="shared" si="9"/>
        <v>14</v>
      </c>
      <c r="P32" s="5">
        <f t="shared" si="10"/>
        <v>7093.38</v>
      </c>
      <c r="Q32" s="5">
        <f t="shared" si="10"/>
        <v>5320</v>
      </c>
    </row>
    <row r="33" spans="1:17" x14ac:dyDescent="0.3">
      <c r="A33" s="2"/>
      <c r="B33" s="2"/>
      <c r="C33" s="3"/>
      <c r="D33" s="3"/>
      <c r="E33" s="3"/>
      <c r="F33" s="3"/>
      <c r="G33" s="3"/>
      <c r="H33" s="6">
        <f>SUM(H24:H32)</f>
        <v>4673935.78</v>
      </c>
      <c r="I33" s="6">
        <f>SUM(I24:I32)</f>
        <v>3809180.0599999996</v>
      </c>
      <c r="J33" s="6">
        <f t="shared" si="6"/>
        <v>864755.72000000067</v>
      </c>
      <c r="K33" s="7">
        <f t="shared" si="7"/>
        <v>0.18501660285969967</v>
      </c>
      <c r="L33" s="4"/>
      <c r="O33" s="5"/>
      <c r="P33" s="8">
        <f>SUM(P24:P32)</f>
        <v>9347871.5600000005</v>
      </c>
      <c r="Q33" s="8">
        <f>SUM(Q24:Q32)</f>
        <v>7618360.1199999992</v>
      </c>
    </row>
    <row r="34" spans="1:17" x14ac:dyDescent="0.3">
      <c r="A34" s="2"/>
      <c r="B34" s="2"/>
      <c r="C34" s="3"/>
      <c r="D34" s="3"/>
      <c r="E34" s="3"/>
      <c r="F34" s="3"/>
      <c r="G34" s="3"/>
      <c r="H34" s="3"/>
      <c r="I34" s="3"/>
      <c r="J34" s="3"/>
      <c r="K34" s="4"/>
      <c r="L34" s="4"/>
    </row>
    <row r="35" spans="1:17" x14ac:dyDescent="0.3">
      <c r="A35" s="2" t="s">
        <v>29</v>
      </c>
      <c r="B35" s="2" t="s">
        <v>12</v>
      </c>
      <c r="C35" s="3">
        <v>256</v>
      </c>
      <c r="D35" s="3">
        <v>603749.57999999996</v>
      </c>
      <c r="E35" s="3">
        <v>83317.440000000002</v>
      </c>
      <c r="F35" s="3">
        <v>82515</v>
      </c>
      <c r="G35" s="3">
        <v>59410.82</v>
      </c>
      <c r="H35" s="3">
        <f>C35*F35</f>
        <v>21123840</v>
      </c>
      <c r="I35" s="3">
        <f>C35*G35</f>
        <v>15209169.92</v>
      </c>
      <c r="J35" s="3">
        <f>H35-I35</f>
        <v>5914670.0800000001</v>
      </c>
      <c r="K35" s="4">
        <f>J35/H35</f>
        <v>0.27999975761982671</v>
      </c>
      <c r="L35" s="4">
        <f>(D35-F35)/D35</f>
        <v>0.86332909747117337</v>
      </c>
      <c r="O35" s="5">
        <f>C35*$M$2</f>
        <v>512</v>
      </c>
      <c r="P35" s="5">
        <f>H35*$M$2</f>
        <v>42247680</v>
      </c>
      <c r="Q35" s="5">
        <f>I35*$M$2</f>
        <v>30418339.84</v>
      </c>
    </row>
    <row r="36" spans="1:17" x14ac:dyDescent="0.3">
      <c r="A36" s="2" t="s">
        <v>29</v>
      </c>
      <c r="B36" s="2" t="s">
        <v>13</v>
      </c>
      <c r="C36" s="3">
        <v>15120</v>
      </c>
      <c r="D36" s="3">
        <v>202457253.59999999</v>
      </c>
      <c r="E36" s="3">
        <v>27331729.239999998</v>
      </c>
      <c r="F36" s="3">
        <v>1530</v>
      </c>
      <c r="G36" s="3">
        <v>1346.11</v>
      </c>
      <c r="H36" s="3">
        <f>C36*F36</f>
        <v>23133600</v>
      </c>
      <c r="I36" s="3">
        <f>C36*G36</f>
        <v>20353183.199999999</v>
      </c>
      <c r="J36" s="3">
        <f>H36-I36</f>
        <v>2780416.8000000007</v>
      </c>
      <c r="K36" s="4">
        <f>J36/H36</f>
        <v>0.12018954248366016</v>
      </c>
      <c r="L36" s="4">
        <f>(D36-F36)/D36</f>
        <v>0.99999244284918032</v>
      </c>
      <c r="O36" s="5">
        <f>C36*$M$2</f>
        <v>30240</v>
      </c>
      <c r="P36" s="5">
        <f>H36*$M$2</f>
        <v>46267200</v>
      </c>
      <c r="Q36" s="5">
        <f>I36*$M$2</f>
        <v>40706366.399999999</v>
      </c>
    </row>
    <row r="37" spans="1:17" x14ac:dyDescent="0.3">
      <c r="A37" s="2"/>
      <c r="B37" s="2"/>
      <c r="C37" s="3"/>
      <c r="D37" s="3"/>
      <c r="E37" s="3"/>
      <c r="F37" s="3"/>
      <c r="G37" s="3"/>
      <c r="H37" s="6">
        <f>SUM(H35:H36)</f>
        <v>44257440</v>
      </c>
      <c r="I37" s="6">
        <f>SUM(I35:I36)</f>
        <v>35562353.119999997</v>
      </c>
      <c r="J37" s="6">
        <f>H37-I37</f>
        <v>8695086.8800000027</v>
      </c>
      <c r="K37" s="7">
        <f>J37/H37</f>
        <v>0.19646610558586314</v>
      </c>
      <c r="L37" s="4"/>
      <c r="O37" s="5"/>
      <c r="P37" s="8">
        <f>SUM(P35:P36)</f>
        <v>88514880</v>
      </c>
      <c r="Q37" s="8">
        <f>SUM(Q35:Q36)</f>
        <v>71124706.239999995</v>
      </c>
    </row>
    <row r="38" spans="1:17" x14ac:dyDescent="0.3">
      <c r="A38" s="2"/>
      <c r="B38" s="2"/>
      <c r="C38" s="3"/>
      <c r="D38" s="3"/>
      <c r="E38" s="3"/>
      <c r="F38" s="3"/>
      <c r="G38" s="3"/>
      <c r="H38" s="3"/>
      <c r="I38" s="3"/>
      <c r="J38" s="3"/>
      <c r="K38" s="4"/>
      <c r="L38" s="4"/>
    </row>
    <row r="39" spans="1:17" x14ac:dyDescent="0.3">
      <c r="A39" s="2" t="s">
        <v>30</v>
      </c>
      <c r="B39" s="2" t="s">
        <v>18</v>
      </c>
      <c r="C39" s="3">
        <v>90</v>
      </c>
      <c r="D39" s="3">
        <v>342160.94</v>
      </c>
      <c r="E39" s="3">
        <v>47218.21</v>
      </c>
      <c r="F39" s="3">
        <v>48415</v>
      </c>
      <c r="G39" s="3">
        <v>38732.239999999998</v>
      </c>
      <c r="H39" s="3">
        <f>C39*F39</f>
        <v>4357350</v>
      </c>
      <c r="I39" s="3">
        <f>C39*G39</f>
        <v>3485901.5999999996</v>
      </c>
      <c r="J39" s="3">
        <f t="shared" ref="J39:J44" si="11">H39-I39</f>
        <v>871448.40000000037</v>
      </c>
      <c r="K39" s="4">
        <f t="shared" ref="K39:K44" si="12">J39/H39</f>
        <v>0.19999504285861827</v>
      </c>
      <c r="L39" s="4">
        <f>(D39-F39)/D39</f>
        <v>0.85850225920001277</v>
      </c>
      <c r="O39" s="5">
        <f>C39*$M$2</f>
        <v>180</v>
      </c>
      <c r="P39" s="5">
        <f t="shared" ref="P39:Q43" si="13">H39*$M$2</f>
        <v>8714700</v>
      </c>
      <c r="Q39" s="5">
        <f t="shared" si="13"/>
        <v>6971803.1999999993</v>
      </c>
    </row>
    <row r="40" spans="1:17" x14ac:dyDescent="0.3">
      <c r="A40" s="2" t="s">
        <v>30</v>
      </c>
      <c r="B40" s="2" t="s">
        <v>20</v>
      </c>
      <c r="C40" s="3">
        <v>2640</v>
      </c>
      <c r="D40" s="3">
        <v>24008239.199999999</v>
      </c>
      <c r="E40" s="3">
        <v>3241112.29</v>
      </c>
      <c r="F40" s="3">
        <f>ROUND(G40/0.8,0)</f>
        <v>1126</v>
      </c>
      <c r="G40" s="3">
        <v>901.11</v>
      </c>
      <c r="H40" s="3">
        <f>C40*F40</f>
        <v>2972640</v>
      </c>
      <c r="I40" s="3">
        <f>C40*G40</f>
        <v>2378930.4</v>
      </c>
      <c r="J40" s="3">
        <f t="shared" si="11"/>
        <v>593709.60000000009</v>
      </c>
      <c r="K40" s="4">
        <f t="shared" si="12"/>
        <v>0.19972468916518654</v>
      </c>
      <c r="L40" s="4">
        <f>(D40-F40)/D40</f>
        <v>0.99995309943429755</v>
      </c>
      <c r="O40" s="5">
        <f>C40*$M$2</f>
        <v>5280</v>
      </c>
      <c r="P40" s="5">
        <f t="shared" si="13"/>
        <v>5945280</v>
      </c>
      <c r="Q40" s="5">
        <f t="shared" si="13"/>
        <v>4757860.8</v>
      </c>
    </row>
    <row r="41" spans="1:17" x14ac:dyDescent="0.3">
      <c r="A41" s="2" t="s">
        <v>30</v>
      </c>
      <c r="B41" s="2" t="s">
        <v>19</v>
      </c>
      <c r="C41" s="3">
        <v>64</v>
      </c>
      <c r="D41" s="3">
        <v>386561.92</v>
      </c>
      <c r="E41" s="3">
        <v>52185.86</v>
      </c>
      <c r="F41" s="3">
        <f>ROUND(G41/0.8,0)</f>
        <v>764</v>
      </c>
      <c r="G41" s="3">
        <v>611.11</v>
      </c>
      <c r="H41" s="3">
        <f>C41*F41</f>
        <v>48896</v>
      </c>
      <c r="I41" s="3">
        <f>C41*G41</f>
        <v>39111.040000000001</v>
      </c>
      <c r="J41" s="3">
        <f t="shared" si="11"/>
        <v>9784.9599999999991</v>
      </c>
      <c r="K41" s="4">
        <f t="shared" si="12"/>
        <v>0.2001178010471204</v>
      </c>
      <c r="L41" s="4">
        <f>(D41-F41)/D41</f>
        <v>0.99802360253177547</v>
      </c>
      <c r="O41" s="5">
        <f>C41*$M$2</f>
        <v>128</v>
      </c>
      <c r="P41" s="5">
        <f t="shared" si="13"/>
        <v>97792</v>
      </c>
      <c r="Q41" s="5">
        <f t="shared" si="13"/>
        <v>78222.080000000002</v>
      </c>
    </row>
    <row r="42" spans="1:17" x14ac:dyDescent="0.3">
      <c r="A42" s="2" t="s">
        <v>30</v>
      </c>
      <c r="B42" s="2" t="s">
        <v>31</v>
      </c>
      <c r="C42" s="3">
        <v>744</v>
      </c>
      <c r="D42" s="3">
        <v>7390174.3200000003</v>
      </c>
      <c r="E42" s="3">
        <v>997673.53</v>
      </c>
      <c r="F42" s="3">
        <f>ROUND(G42/0.8,0)</f>
        <v>1126</v>
      </c>
      <c r="G42" s="3">
        <v>901.1099999999999</v>
      </c>
      <c r="H42" s="3">
        <f>C42*F42</f>
        <v>837744</v>
      </c>
      <c r="I42" s="3">
        <f>C42*G42</f>
        <v>670425.84</v>
      </c>
      <c r="J42" s="3">
        <f t="shared" si="11"/>
        <v>167318.16000000003</v>
      </c>
      <c r="K42" s="4">
        <f t="shared" si="12"/>
        <v>0.19972468916518654</v>
      </c>
      <c r="L42" s="4">
        <f>(D42-F42)/D42</f>
        <v>0.99984763552911704</v>
      </c>
      <c r="O42" s="5">
        <f>C42*$M$2</f>
        <v>1488</v>
      </c>
      <c r="P42" s="5">
        <f t="shared" si="13"/>
        <v>1675488</v>
      </c>
      <c r="Q42" s="5">
        <f t="shared" si="13"/>
        <v>1340851.68</v>
      </c>
    </row>
    <row r="43" spans="1:17" x14ac:dyDescent="0.3">
      <c r="A43" s="2" t="s">
        <v>30</v>
      </c>
      <c r="B43" s="2" t="s">
        <v>32</v>
      </c>
      <c r="C43" s="3">
        <v>756</v>
      </c>
      <c r="D43" s="3">
        <v>7741462.6799999997</v>
      </c>
      <c r="E43" s="3">
        <v>1084532.3999999999</v>
      </c>
      <c r="F43" s="3">
        <f>ROUND(G43/0.8,0)</f>
        <v>1614</v>
      </c>
      <c r="G43" s="3">
        <v>1291.1100000000001</v>
      </c>
      <c r="H43" s="3">
        <f>C43*F43</f>
        <v>1220184</v>
      </c>
      <c r="I43" s="3">
        <f>C43*G43</f>
        <v>976079.16000000015</v>
      </c>
      <c r="J43" s="3">
        <f t="shared" si="11"/>
        <v>244104.83999999985</v>
      </c>
      <c r="K43" s="4">
        <f t="shared" si="12"/>
        <v>0.20005576208178427</v>
      </c>
      <c r="L43" s="4">
        <f>(D43-F43)/D43</f>
        <v>0.99979151226754992</v>
      </c>
      <c r="O43" s="5">
        <f>C43*$M$2</f>
        <v>1512</v>
      </c>
      <c r="P43" s="5">
        <f t="shared" si="13"/>
        <v>2440368</v>
      </c>
      <c r="Q43" s="5">
        <f t="shared" si="13"/>
        <v>1952158.3200000003</v>
      </c>
    </row>
    <row r="44" spans="1:17" x14ac:dyDescent="0.3">
      <c r="A44" s="2"/>
      <c r="B44" s="2"/>
      <c r="C44" s="3"/>
      <c r="D44" s="3"/>
      <c r="E44" s="3"/>
      <c r="F44" s="3"/>
      <c r="G44" s="3"/>
      <c r="H44" s="6">
        <f>SUM(H39:H43)</f>
        <v>9436814</v>
      </c>
      <c r="I44" s="6">
        <f>SUM(I39:I43)</f>
        <v>7550448.04</v>
      </c>
      <c r="J44" s="6">
        <f t="shared" si="11"/>
        <v>1886365.96</v>
      </c>
      <c r="K44" s="7">
        <f t="shared" si="12"/>
        <v>0.19989436689119866</v>
      </c>
      <c r="L44" s="4"/>
      <c r="O44" s="5"/>
      <c r="P44" s="8">
        <f>SUM(P39:P43)</f>
        <v>18873628</v>
      </c>
      <c r="Q44" s="8">
        <f>SUM(Q39:Q43)</f>
        <v>15100896.08</v>
      </c>
    </row>
    <row r="45" spans="1:17" x14ac:dyDescent="0.3">
      <c r="A45" s="2"/>
      <c r="B45" s="2"/>
      <c r="C45" s="3"/>
      <c r="D45" s="3"/>
      <c r="E45" s="3"/>
      <c r="F45" s="3"/>
      <c r="G45" s="3"/>
      <c r="H45" s="3"/>
      <c r="I45" s="3"/>
      <c r="J45" s="3"/>
      <c r="K45" s="4"/>
      <c r="L45" s="4"/>
    </row>
    <row r="46" spans="1:17" x14ac:dyDescent="0.3">
      <c r="A46" s="2" t="s">
        <v>33</v>
      </c>
      <c r="B46" s="2" t="s">
        <v>22</v>
      </c>
      <c r="C46" s="3">
        <v>28</v>
      </c>
      <c r="D46" s="3">
        <v>24776.13</v>
      </c>
      <c r="E46" s="3">
        <v>3652.15</v>
      </c>
      <c r="F46" s="3">
        <v>3528</v>
      </c>
      <c r="G46" s="3">
        <v>3104.33</v>
      </c>
      <c r="H46" s="3">
        <f>C46*F46</f>
        <v>98784</v>
      </c>
      <c r="I46" s="3">
        <f>C46*G46</f>
        <v>86921.239999999991</v>
      </c>
      <c r="J46" s="3">
        <f>H46-I46</f>
        <v>11862.760000000009</v>
      </c>
      <c r="K46" s="4">
        <f>J46/H46</f>
        <v>0.12008786848072572</v>
      </c>
      <c r="L46" s="4">
        <f>(D46-F46)/D46</f>
        <v>0.85760488018104519</v>
      </c>
      <c r="O46" s="5">
        <f>C46*$M$2</f>
        <v>56</v>
      </c>
      <c r="P46" s="5">
        <f t="shared" ref="P46:Q49" si="14">H46*$M$2</f>
        <v>197568</v>
      </c>
      <c r="Q46" s="5">
        <f t="shared" si="14"/>
        <v>173842.47999999998</v>
      </c>
    </row>
    <row r="47" spans="1:17" x14ac:dyDescent="0.3">
      <c r="A47" s="2" t="s">
        <v>33</v>
      </c>
      <c r="B47" s="2" t="s">
        <v>18</v>
      </c>
      <c r="C47" s="3">
        <v>4</v>
      </c>
      <c r="D47" s="3">
        <v>342160.94</v>
      </c>
      <c r="E47" s="3">
        <v>47218.21</v>
      </c>
      <c r="F47" s="3">
        <v>48415</v>
      </c>
      <c r="G47" s="3">
        <v>38732.239999999998</v>
      </c>
      <c r="H47" s="3">
        <f>C47*F47</f>
        <v>193660</v>
      </c>
      <c r="I47" s="3">
        <f>C47*G47</f>
        <v>154928.95999999999</v>
      </c>
      <c r="J47" s="3">
        <f>H47-I47</f>
        <v>38731.040000000008</v>
      </c>
      <c r="K47" s="4">
        <f>J47/H47</f>
        <v>0.19999504285861824</v>
      </c>
      <c r="L47" s="4">
        <f>(D47-F47)/D47</f>
        <v>0.85850225920001277</v>
      </c>
      <c r="O47" s="5">
        <f>C47*$M$2</f>
        <v>8</v>
      </c>
      <c r="P47" s="5">
        <f t="shared" si="14"/>
        <v>387320</v>
      </c>
      <c r="Q47" s="5">
        <f t="shared" si="14"/>
        <v>309857.91999999998</v>
      </c>
    </row>
    <row r="48" spans="1:17" x14ac:dyDescent="0.3">
      <c r="A48" s="2" t="s">
        <v>33</v>
      </c>
      <c r="B48" s="2" t="s">
        <v>23</v>
      </c>
      <c r="C48" s="3">
        <v>56</v>
      </c>
      <c r="D48" s="3">
        <v>160651.68</v>
      </c>
      <c r="E48" s="3">
        <v>21687.98</v>
      </c>
      <c r="F48" s="3">
        <f>ROUND(G48/0.88,0)</f>
        <v>341</v>
      </c>
      <c r="G48" s="3">
        <v>300.36</v>
      </c>
      <c r="H48" s="3">
        <f>C48*F48</f>
        <v>19096</v>
      </c>
      <c r="I48" s="3">
        <f>C48*G48</f>
        <v>16820.16</v>
      </c>
      <c r="J48" s="3">
        <f>H48-I48</f>
        <v>2275.84</v>
      </c>
      <c r="K48" s="4">
        <f>J48/H48</f>
        <v>0.11917888563049854</v>
      </c>
      <c r="L48" s="4">
        <f>(D48-F48)/D48</f>
        <v>0.99787739536866349</v>
      </c>
      <c r="O48" s="5">
        <f>C48*$M$2</f>
        <v>112</v>
      </c>
      <c r="P48" s="5">
        <f t="shared" si="14"/>
        <v>38192</v>
      </c>
      <c r="Q48" s="5">
        <f t="shared" si="14"/>
        <v>33640.32</v>
      </c>
    </row>
    <row r="49" spans="1:17" x14ac:dyDescent="0.3">
      <c r="A49" s="2" t="s">
        <v>33</v>
      </c>
      <c r="B49" s="2" t="s">
        <v>20</v>
      </c>
      <c r="C49" s="3">
        <v>112</v>
      </c>
      <c r="D49" s="3">
        <v>1018531.36</v>
      </c>
      <c r="E49" s="3">
        <v>137501.73000000001</v>
      </c>
      <c r="F49" s="3">
        <f>ROUND(G49/0.8,0)</f>
        <v>1126</v>
      </c>
      <c r="G49" s="3">
        <v>901.11</v>
      </c>
      <c r="H49" s="3">
        <f>C49*F49</f>
        <v>126112</v>
      </c>
      <c r="I49" s="3">
        <f>C49*G49</f>
        <v>100924.32</v>
      </c>
      <c r="J49" s="3">
        <f>H49-I49</f>
        <v>25187.679999999993</v>
      </c>
      <c r="K49" s="4">
        <f>J49/H49</f>
        <v>0.19972468916518646</v>
      </c>
      <c r="L49" s="4">
        <f>(D49-F49)/D49</f>
        <v>0.99889448666558489</v>
      </c>
      <c r="O49" s="5">
        <f>C49*$M$2</f>
        <v>224</v>
      </c>
      <c r="P49" s="5">
        <f t="shared" si="14"/>
        <v>252224</v>
      </c>
      <c r="Q49" s="5">
        <f t="shared" si="14"/>
        <v>201848.64</v>
      </c>
    </row>
    <row r="50" spans="1:17" x14ac:dyDescent="0.3">
      <c r="A50" s="2"/>
      <c r="B50" s="2"/>
      <c r="C50" s="3"/>
      <c r="D50" s="3"/>
      <c r="E50" s="3"/>
      <c r="F50" s="3"/>
      <c r="G50" s="3"/>
      <c r="H50" s="6">
        <f>SUM(H46:H49)</f>
        <v>437652</v>
      </c>
      <c r="I50" s="6">
        <f>SUM(I46:I49)</f>
        <v>359594.68</v>
      </c>
      <c r="J50" s="6">
        <f>H50-I50</f>
        <v>78057.320000000007</v>
      </c>
      <c r="K50" s="7">
        <f>J50/H50</f>
        <v>0.17835476588705182</v>
      </c>
      <c r="L50" s="4"/>
      <c r="O50" s="5"/>
      <c r="P50" s="8">
        <f>SUM(P46:P49)</f>
        <v>875304</v>
      </c>
      <c r="Q50" s="8">
        <f>SUM(Q46:Q49)</f>
        <v>719189.36</v>
      </c>
    </row>
    <row r="51" spans="1:17" x14ac:dyDescent="0.3">
      <c r="A51" s="2"/>
      <c r="B51" s="2"/>
      <c r="C51" s="3"/>
      <c r="D51" s="3"/>
      <c r="E51" s="3"/>
      <c r="F51" s="3"/>
      <c r="G51" s="3"/>
      <c r="H51" s="3"/>
      <c r="I51" s="3"/>
      <c r="J51" s="3"/>
      <c r="K51" s="4"/>
      <c r="L51" s="4"/>
    </row>
    <row r="52" spans="1:17" x14ac:dyDescent="0.3">
      <c r="A52" s="2" t="s">
        <v>34</v>
      </c>
      <c r="B52" s="2" t="s">
        <v>25</v>
      </c>
      <c r="C52" s="3">
        <v>13</v>
      </c>
      <c r="D52" s="3">
        <v>121754.6825</v>
      </c>
      <c r="E52" s="3">
        <v>67458.679999999993</v>
      </c>
      <c r="F52" s="3">
        <v>11468</v>
      </c>
      <c r="G52" s="3">
        <f>'[6]Rack BOM IR9048'!F19</f>
        <v>10091.552999999998</v>
      </c>
      <c r="H52" s="3">
        <f>C52*F52</f>
        <v>149084</v>
      </c>
      <c r="I52" s="3">
        <f>C52*G52</f>
        <v>131190.18899999998</v>
      </c>
      <c r="J52" s="3">
        <f>H52-I52</f>
        <v>17893.811000000016</v>
      </c>
      <c r="K52" s="4">
        <f>J52/H52</f>
        <v>0.12002502615974897</v>
      </c>
      <c r="L52" s="4">
        <f>(D52-F52)/D52</f>
        <v>0.90581060403980762</v>
      </c>
      <c r="O52" s="5">
        <f>C52*$M$2</f>
        <v>26</v>
      </c>
      <c r="P52" s="5">
        <f t="shared" ref="P52:Q54" si="15">H52*$M$2</f>
        <v>298168</v>
      </c>
      <c r="Q52" s="5">
        <f t="shared" si="15"/>
        <v>262380.37799999997</v>
      </c>
    </row>
    <row r="53" spans="1:17" x14ac:dyDescent="0.3">
      <c r="A53" s="2" t="s">
        <v>34</v>
      </c>
      <c r="B53" s="2" t="s">
        <v>26</v>
      </c>
      <c r="C53" s="3">
        <v>26</v>
      </c>
      <c r="D53" s="3">
        <v>10975.275</v>
      </c>
      <c r="E53" s="3">
        <v>6064.7</v>
      </c>
      <c r="F53" s="3">
        <v>5100</v>
      </c>
      <c r="G53" s="3">
        <v>4487.88</v>
      </c>
      <c r="H53" s="3">
        <f>C53*F53</f>
        <v>132600</v>
      </c>
      <c r="I53" s="3">
        <f>C53*G53</f>
        <v>116684.88</v>
      </c>
      <c r="J53" s="3">
        <f>H53-I53</f>
        <v>15915.119999999995</v>
      </c>
      <c r="K53" s="4">
        <f>J53/H53</f>
        <v>0.12002352941176467</v>
      </c>
      <c r="L53" s="4">
        <f>(D53-F53)/D53</f>
        <v>0.53531916056773066</v>
      </c>
      <c r="O53" s="5">
        <f>C53*$M$2</f>
        <v>52</v>
      </c>
      <c r="P53" s="5">
        <f t="shared" si="15"/>
        <v>265200</v>
      </c>
      <c r="Q53" s="5">
        <f t="shared" si="15"/>
        <v>233369.76</v>
      </c>
    </row>
    <row r="54" spans="1:17" x14ac:dyDescent="0.3">
      <c r="A54" s="2" t="s">
        <v>14</v>
      </c>
      <c r="B54" s="2" t="s">
        <v>27</v>
      </c>
      <c r="C54" s="3">
        <v>32</v>
      </c>
      <c r="F54">
        <v>60351.23</v>
      </c>
      <c r="G54" s="3">
        <v>47544.91</v>
      </c>
      <c r="H54" s="3">
        <f>C54*F54</f>
        <v>1931239.36</v>
      </c>
      <c r="I54" s="3">
        <f>C54*G54</f>
        <v>1521437.12</v>
      </c>
      <c r="J54" s="3">
        <f>H54-I54</f>
        <v>409802.23999999999</v>
      </c>
      <c r="K54" s="4">
        <f>J54/H54</f>
        <v>0.21219650370009027</v>
      </c>
      <c r="L54" s="4"/>
      <c r="O54" s="5">
        <f>C54*$M$2</f>
        <v>64</v>
      </c>
      <c r="P54" s="5">
        <f t="shared" si="15"/>
        <v>3862478.72</v>
      </c>
      <c r="Q54" s="5">
        <f t="shared" si="15"/>
        <v>3042874.24</v>
      </c>
    </row>
    <row r="55" spans="1:17" x14ac:dyDescent="0.3">
      <c r="A55" s="2"/>
      <c r="B55" s="2"/>
      <c r="C55" s="3"/>
      <c r="D55" s="3"/>
      <c r="E55" s="3"/>
      <c r="F55" s="3"/>
      <c r="G55" s="3"/>
      <c r="H55" s="6">
        <f>SUM(H52:H54)</f>
        <v>2212923.3600000003</v>
      </c>
      <c r="I55" s="6">
        <f>SUM(I52:I54)</f>
        <v>1769312.189</v>
      </c>
      <c r="J55" s="6">
        <f>H55-I55</f>
        <v>443611.17100000032</v>
      </c>
      <c r="K55" s="7">
        <f>J55/H55</f>
        <v>0.20046386558999507</v>
      </c>
      <c r="L55" s="4"/>
      <c r="O55" s="5"/>
      <c r="P55" s="8">
        <f>SUM(P52:P54)</f>
        <v>4425846.7200000007</v>
      </c>
      <c r="Q55" s="8">
        <f>SUM(Q52:Q54)</f>
        <v>3538624.378</v>
      </c>
    </row>
    <row r="56" spans="1:17" x14ac:dyDescent="0.3">
      <c r="A56" s="2"/>
      <c r="B56" s="2"/>
      <c r="C56" s="3"/>
      <c r="D56" s="3"/>
      <c r="E56" s="3"/>
      <c r="F56" s="3"/>
      <c r="G56" s="3"/>
      <c r="H56" s="3"/>
      <c r="I56" s="3"/>
      <c r="J56" s="3"/>
      <c r="K56" s="4"/>
      <c r="L56" s="4"/>
    </row>
    <row r="57" spans="1:17" x14ac:dyDescent="0.3">
      <c r="A57" s="2" t="s">
        <v>35</v>
      </c>
      <c r="B57" s="2" t="s">
        <v>12</v>
      </c>
      <c r="C57" s="3">
        <v>8</v>
      </c>
      <c r="D57" s="3">
        <v>603749.57999999996</v>
      </c>
      <c r="E57" s="3">
        <v>83317.440000000002</v>
      </c>
      <c r="F57" s="3">
        <v>82515</v>
      </c>
      <c r="G57" s="3">
        <v>59410.82</v>
      </c>
      <c r="H57" s="3">
        <f t="shared" ref="H57:H66" si="16">C57*F57</f>
        <v>660120</v>
      </c>
      <c r="I57" s="3">
        <f t="shared" ref="I57:I66" si="17">C57*G57</f>
        <v>475286.56</v>
      </c>
      <c r="J57" s="3">
        <f t="shared" ref="J57:J67" si="18">H57-I57</f>
        <v>184833.44</v>
      </c>
      <c r="K57" s="4">
        <f t="shared" ref="K57:K67" si="19">J57/H57</f>
        <v>0.27999975761982671</v>
      </c>
      <c r="L57" s="4">
        <f t="shared" ref="L57:L66" si="20">(D57-F57)/D57</f>
        <v>0.86332909747117337</v>
      </c>
      <c r="O57" s="5">
        <f t="shared" ref="O57:O66" si="21">C57*$M$2</f>
        <v>16</v>
      </c>
      <c r="P57" s="5">
        <f t="shared" ref="P57:Q66" si="22">H57*$M$2</f>
        <v>1320240</v>
      </c>
      <c r="Q57" s="5">
        <f t="shared" si="22"/>
        <v>950573.12</v>
      </c>
    </row>
    <row r="58" spans="1:17" x14ac:dyDescent="0.3">
      <c r="A58" s="2" t="s">
        <v>35</v>
      </c>
      <c r="B58" s="2" t="s">
        <v>18</v>
      </c>
      <c r="C58" s="3">
        <v>3</v>
      </c>
      <c r="D58" s="3">
        <v>342160.94</v>
      </c>
      <c r="E58" s="3">
        <v>47218.21</v>
      </c>
      <c r="F58" s="3">
        <v>48415</v>
      </c>
      <c r="G58" s="3">
        <v>38732.239999999998</v>
      </c>
      <c r="H58" s="3">
        <f t="shared" si="16"/>
        <v>145245</v>
      </c>
      <c r="I58" s="3">
        <f t="shared" si="17"/>
        <v>116196.72</v>
      </c>
      <c r="J58" s="3">
        <f t="shared" si="18"/>
        <v>29048.28</v>
      </c>
      <c r="K58" s="4">
        <f t="shared" si="19"/>
        <v>0.19999504285861819</v>
      </c>
      <c r="L58" s="4">
        <f t="shared" si="20"/>
        <v>0.85850225920001277</v>
      </c>
      <c r="O58" s="5">
        <f t="shared" si="21"/>
        <v>6</v>
      </c>
      <c r="P58" s="5">
        <f t="shared" si="22"/>
        <v>290490</v>
      </c>
      <c r="Q58" s="5">
        <f t="shared" si="22"/>
        <v>232393.44</v>
      </c>
    </row>
    <row r="59" spans="1:17" x14ac:dyDescent="0.3">
      <c r="A59" s="2" t="s">
        <v>35</v>
      </c>
      <c r="B59" s="2" t="s">
        <v>22</v>
      </c>
      <c r="C59" s="3">
        <v>1</v>
      </c>
      <c r="D59" s="3">
        <v>24776.13</v>
      </c>
      <c r="E59" s="3">
        <v>3652.15</v>
      </c>
      <c r="F59" s="3">
        <v>3528</v>
      </c>
      <c r="G59" s="3">
        <v>3104.33</v>
      </c>
      <c r="H59" s="3">
        <f t="shared" si="16"/>
        <v>3528</v>
      </c>
      <c r="I59" s="3">
        <f t="shared" si="17"/>
        <v>3104.33</v>
      </c>
      <c r="J59" s="3">
        <f t="shared" si="18"/>
        <v>423.67000000000007</v>
      </c>
      <c r="K59" s="4">
        <f t="shared" si="19"/>
        <v>0.12008786848072564</v>
      </c>
      <c r="L59" s="4">
        <f t="shared" si="20"/>
        <v>0.85760488018104519</v>
      </c>
      <c r="O59" s="5">
        <f t="shared" si="21"/>
        <v>2</v>
      </c>
      <c r="P59" s="5">
        <f t="shared" si="22"/>
        <v>7056</v>
      </c>
      <c r="Q59" s="5">
        <f t="shared" si="22"/>
        <v>6208.66</v>
      </c>
    </row>
    <row r="60" spans="1:17" x14ac:dyDescent="0.3">
      <c r="A60" s="2" t="s">
        <v>35</v>
      </c>
      <c r="B60" s="2" t="s">
        <v>23</v>
      </c>
      <c r="C60" s="3">
        <v>2</v>
      </c>
      <c r="D60" s="3">
        <v>5737.56</v>
      </c>
      <c r="E60" s="3">
        <v>774.57</v>
      </c>
      <c r="F60" s="3">
        <f>ROUND(G60/0.88,0)</f>
        <v>341</v>
      </c>
      <c r="G60" s="3">
        <v>300.36</v>
      </c>
      <c r="H60" s="3">
        <f t="shared" si="16"/>
        <v>682</v>
      </c>
      <c r="I60" s="3">
        <f t="shared" si="17"/>
        <v>600.72</v>
      </c>
      <c r="J60" s="3">
        <f t="shared" si="18"/>
        <v>81.279999999999973</v>
      </c>
      <c r="K60" s="4">
        <f t="shared" si="19"/>
        <v>0.1191788856304985</v>
      </c>
      <c r="L60" s="4">
        <f t="shared" si="20"/>
        <v>0.94056707032257614</v>
      </c>
      <c r="O60" s="5">
        <f t="shared" si="21"/>
        <v>4</v>
      </c>
      <c r="P60" s="5">
        <f t="shared" si="22"/>
        <v>1364</v>
      </c>
      <c r="Q60" s="5">
        <f t="shared" si="22"/>
        <v>1201.44</v>
      </c>
    </row>
    <row r="61" spans="1:17" x14ac:dyDescent="0.3">
      <c r="A61" s="2" t="s">
        <v>35</v>
      </c>
      <c r="B61" s="2" t="s">
        <v>36</v>
      </c>
      <c r="C61" s="10">
        <v>0</v>
      </c>
      <c r="D61" s="3">
        <v>22470.09</v>
      </c>
      <c r="E61" s="3">
        <v>3033.46</v>
      </c>
      <c r="F61" s="3">
        <f>ROUND(G61/0.8,0)</f>
        <v>951</v>
      </c>
      <c r="G61" s="3">
        <v>761.11257992670005</v>
      </c>
      <c r="H61" s="3">
        <f t="shared" si="16"/>
        <v>0</v>
      </c>
      <c r="I61" s="3">
        <f t="shared" si="17"/>
        <v>0</v>
      </c>
      <c r="J61" s="3">
        <f t="shared" si="18"/>
        <v>0</v>
      </c>
      <c r="K61" s="4" t="e">
        <f t="shared" si="19"/>
        <v>#DIV/0!</v>
      </c>
      <c r="L61" s="4">
        <f t="shared" si="20"/>
        <v>0.95767707205445107</v>
      </c>
      <c r="O61" s="5">
        <f t="shared" si="21"/>
        <v>0</v>
      </c>
      <c r="P61" s="5">
        <f t="shared" si="22"/>
        <v>0</v>
      </c>
      <c r="Q61" s="5">
        <f t="shared" si="22"/>
        <v>0</v>
      </c>
    </row>
    <row r="62" spans="1:17" x14ac:dyDescent="0.3">
      <c r="A62" s="2" t="s">
        <v>35</v>
      </c>
      <c r="B62" s="2" t="s">
        <v>19</v>
      </c>
      <c r="C62" s="3">
        <v>2</v>
      </c>
      <c r="D62" s="3">
        <v>12080.06</v>
      </c>
      <c r="E62" s="3">
        <v>1630.81</v>
      </c>
      <c r="F62" s="3">
        <f>ROUND(G62/0.8,0)</f>
        <v>764</v>
      </c>
      <c r="G62" s="3">
        <v>611.11</v>
      </c>
      <c r="H62" s="3">
        <f t="shared" si="16"/>
        <v>1528</v>
      </c>
      <c r="I62" s="3">
        <f t="shared" si="17"/>
        <v>1222.22</v>
      </c>
      <c r="J62" s="3">
        <f t="shared" si="18"/>
        <v>305.77999999999997</v>
      </c>
      <c r="K62" s="4">
        <f t="shared" si="19"/>
        <v>0.2001178010471204</v>
      </c>
      <c r="L62" s="4">
        <f t="shared" si="20"/>
        <v>0.93675528101681615</v>
      </c>
      <c r="O62" s="5">
        <f t="shared" si="21"/>
        <v>4</v>
      </c>
      <c r="P62" s="5">
        <f t="shared" si="22"/>
        <v>3056</v>
      </c>
      <c r="Q62" s="5">
        <f t="shared" si="22"/>
        <v>2444.44</v>
      </c>
    </row>
    <row r="63" spans="1:17" x14ac:dyDescent="0.3">
      <c r="A63" s="2" t="s">
        <v>35</v>
      </c>
      <c r="B63" s="2" t="s">
        <v>20</v>
      </c>
      <c r="C63" s="3">
        <v>79</v>
      </c>
      <c r="D63" s="3">
        <v>718428.37</v>
      </c>
      <c r="E63" s="3">
        <v>96987.83</v>
      </c>
      <c r="F63" s="3">
        <f>ROUND(G63/0.8,0)</f>
        <v>1126</v>
      </c>
      <c r="G63" s="3">
        <v>901.11</v>
      </c>
      <c r="H63" s="3">
        <f t="shared" si="16"/>
        <v>88954</v>
      </c>
      <c r="I63" s="3">
        <f t="shared" si="17"/>
        <v>71187.69</v>
      </c>
      <c r="J63" s="3">
        <f t="shared" si="18"/>
        <v>17766.309999999998</v>
      </c>
      <c r="K63" s="4">
        <f t="shared" si="19"/>
        <v>0.19972468916518649</v>
      </c>
      <c r="L63" s="4">
        <f t="shared" si="20"/>
        <v>0.99843268995627221</v>
      </c>
      <c r="O63" s="5">
        <f t="shared" si="21"/>
        <v>158</v>
      </c>
      <c r="P63" s="5">
        <f t="shared" si="22"/>
        <v>177908</v>
      </c>
      <c r="Q63" s="5">
        <f t="shared" si="22"/>
        <v>142375.38</v>
      </c>
    </row>
    <row r="64" spans="1:17" x14ac:dyDescent="0.3">
      <c r="A64" s="2" t="s">
        <v>35</v>
      </c>
      <c r="B64" s="2" t="s">
        <v>31</v>
      </c>
      <c r="C64" s="3">
        <v>22</v>
      </c>
      <c r="D64" s="3">
        <v>218526.66</v>
      </c>
      <c r="E64" s="3">
        <v>29501.1</v>
      </c>
      <c r="F64" s="3">
        <f>ROUND(G64/0.8,0)</f>
        <v>1126</v>
      </c>
      <c r="G64" s="3">
        <v>901.1099999999999</v>
      </c>
      <c r="H64" s="3">
        <f t="shared" si="16"/>
        <v>24772</v>
      </c>
      <c r="I64" s="3">
        <f t="shared" si="17"/>
        <v>19824.419999999998</v>
      </c>
      <c r="J64" s="3">
        <f t="shared" si="18"/>
        <v>4947.5800000000017</v>
      </c>
      <c r="K64" s="4">
        <f t="shared" si="19"/>
        <v>0.19972468916518657</v>
      </c>
      <c r="L64" s="4">
        <f t="shared" si="20"/>
        <v>0.99484731062104736</v>
      </c>
      <c r="O64" s="5">
        <f t="shared" si="21"/>
        <v>44</v>
      </c>
      <c r="P64" s="5">
        <f t="shared" si="22"/>
        <v>49544</v>
      </c>
      <c r="Q64" s="5">
        <f t="shared" si="22"/>
        <v>39648.839999999997</v>
      </c>
    </row>
    <row r="65" spans="1:17" x14ac:dyDescent="0.3">
      <c r="A65" s="2" t="s">
        <v>35</v>
      </c>
      <c r="B65" s="2" t="s">
        <v>32</v>
      </c>
      <c r="C65" s="3">
        <v>23</v>
      </c>
      <c r="D65" s="3">
        <v>235520.69</v>
      </c>
      <c r="E65" s="3">
        <v>32995.03</v>
      </c>
      <c r="F65" s="3">
        <f>ROUND(G65/0.8,0)</f>
        <v>1614</v>
      </c>
      <c r="G65" s="3">
        <v>1291.1100000000001</v>
      </c>
      <c r="H65" s="3">
        <f t="shared" si="16"/>
        <v>37122</v>
      </c>
      <c r="I65" s="3">
        <f t="shared" si="17"/>
        <v>29695.530000000002</v>
      </c>
      <c r="J65" s="3">
        <f t="shared" si="18"/>
        <v>7426.4699999999975</v>
      </c>
      <c r="K65" s="4">
        <f t="shared" si="19"/>
        <v>0.20005576208178433</v>
      </c>
      <c r="L65" s="4">
        <f t="shared" si="20"/>
        <v>0.99314709888120656</v>
      </c>
      <c r="O65" s="5">
        <f t="shared" si="21"/>
        <v>46</v>
      </c>
      <c r="P65" s="5">
        <f t="shared" si="22"/>
        <v>74244</v>
      </c>
      <c r="Q65" s="5">
        <f t="shared" si="22"/>
        <v>59391.060000000005</v>
      </c>
    </row>
    <row r="66" spans="1:17" x14ac:dyDescent="0.3">
      <c r="A66" s="2" t="s">
        <v>35</v>
      </c>
      <c r="B66" s="2" t="s">
        <v>13</v>
      </c>
      <c r="C66" s="3">
        <v>454</v>
      </c>
      <c r="D66" s="3">
        <v>6079073.6200000001</v>
      </c>
      <c r="E66" s="3">
        <v>820674.94</v>
      </c>
      <c r="F66" s="3">
        <v>1530</v>
      </c>
      <c r="G66" s="3">
        <v>1346.11</v>
      </c>
      <c r="H66" s="3">
        <f t="shared" si="16"/>
        <v>694620</v>
      </c>
      <c r="I66" s="3">
        <f t="shared" si="17"/>
        <v>611133.93999999994</v>
      </c>
      <c r="J66" s="3">
        <f t="shared" si="18"/>
        <v>83486.060000000056</v>
      </c>
      <c r="K66" s="4">
        <f t="shared" si="19"/>
        <v>0.12018954248366021</v>
      </c>
      <c r="L66" s="4">
        <f t="shared" si="20"/>
        <v>0.99974831691543165</v>
      </c>
      <c r="O66" s="5">
        <f t="shared" si="21"/>
        <v>908</v>
      </c>
      <c r="P66" s="5">
        <f t="shared" si="22"/>
        <v>1389240</v>
      </c>
      <c r="Q66" s="5">
        <f t="shared" si="22"/>
        <v>1222267.8799999999</v>
      </c>
    </row>
    <row r="67" spans="1:17" x14ac:dyDescent="0.3">
      <c r="H67" s="6">
        <f>SUM(H57:H66)</f>
        <v>1656571</v>
      </c>
      <c r="I67" s="6">
        <f>SUM(I57:I66)</f>
        <v>1328252.1299999999</v>
      </c>
      <c r="J67" s="6">
        <f t="shared" si="18"/>
        <v>328318.87000000011</v>
      </c>
      <c r="K67" s="7">
        <f t="shared" si="19"/>
        <v>0.19819184930799832</v>
      </c>
      <c r="P67" s="11">
        <f>SUM(P57:P66)</f>
        <v>3313142</v>
      </c>
      <c r="Q67" s="11">
        <f>SUM(Q57:Q66)</f>
        <v>2656504.2599999998</v>
      </c>
    </row>
    <row r="69" spans="1:17" x14ac:dyDescent="0.3">
      <c r="H69" s="3">
        <f>SUM(H2:H3,H11,H17,H19:H20,H24:H30,H37,H44,H50,H52:H53,H57:H66)</f>
        <v>212256894</v>
      </c>
    </row>
    <row r="70" spans="1:17" x14ac:dyDescent="0.3">
      <c r="H70">
        <v>2853</v>
      </c>
    </row>
    <row r="71" spans="1:17" x14ac:dyDescent="0.3">
      <c r="H71" s="3">
        <f>SUM(H69:H70)</f>
        <v>212259747</v>
      </c>
      <c r="I71" s="5">
        <f>H71*2</f>
        <v>424519494</v>
      </c>
    </row>
    <row r="73" spans="1:17" x14ac:dyDescent="0.3">
      <c r="A73" s="12" t="s">
        <v>37</v>
      </c>
      <c r="B73" s="12" t="s">
        <v>7</v>
      </c>
      <c r="C73" s="12" t="s">
        <v>38</v>
      </c>
      <c r="D73" s="12" t="s">
        <v>39</v>
      </c>
      <c r="E73" s="12" t="s">
        <v>40</v>
      </c>
    </row>
    <row r="74" spans="1:17" x14ac:dyDescent="0.3">
      <c r="A74" s="13" t="s">
        <v>41</v>
      </c>
      <c r="B74" s="14">
        <f>Q6</f>
        <v>184219646.39999998</v>
      </c>
      <c r="C74" s="15">
        <f t="shared" ref="C74:C87" si="23">(D74-B74)/D74</f>
        <v>0.18041160945135035</v>
      </c>
      <c r="D74" s="14">
        <f>P6</f>
        <v>224770932</v>
      </c>
      <c r="E74" s="16"/>
    </row>
    <row r="75" spans="1:17" x14ac:dyDescent="0.3">
      <c r="A75" s="13" t="s">
        <v>42</v>
      </c>
      <c r="B75" s="14">
        <f>Q11</f>
        <v>65791553.079999998</v>
      </c>
      <c r="C75" s="15">
        <f t="shared" si="23"/>
        <v>0.19992017291336836</v>
      </c>
      <c r="D75" s="14">
        <f>P11</f>
        <v>82231236</v>
      </c>
      <c r="E75" s="16"/>
    </row>
    <row r="76" spans="1:17" x14ac:dyDescent="0.3">
      <c r="A76" s="13" t="s">
        <v>43</v>
      </c>
      <c r="B76" s="14">
        <f>Q17</f>
        <v>1395406.1400000001</v>
      </c>
      <c r="C76" s="15">
        <f t="shared" si="23"/>
        <v>0.16984385708574468</v>
      </c>
      <c r="D76" s="14">
        <f>P17</f>
        <v>1680896</v>
      </c>
      <c r="E76" s="16"/>
    </row>
    <row r="77" spans="1:17" x14ac:dyDescent="0.3">
      <c r="A77" s="13" t="s">
        <v>44</v>
      </c>
      <c r="B77" s="14">
        <f>Q22</f>
        <v>6849427.9800000004</v>
      </c>
      <c r="C77" s="15">
        <f t="shared" si="23"/>
        <v>0.19816840515932879</v>
      </c>
      <c r="D77" s="14">
        <f>P22</f>
        <v>8542227.6000000015</v>
      </c>
      <c r="E77" s="16"/>
    </row>
    <row r="78" spans="1:17" x14ac:dyDescent="0.3">
      <c r="A78" s="13" t="s">
        <v>45</v>
      </c>
      <c r="B78" s="14">
        <f>Q33</f>
        <v>7618360.1199999992</v>
      </c>
      <c r="C78" s="15">
        <f t="shared" si="23"/>
        <v>0.18501660285969967</v>
      </c>
      <c r="D78" s="14">
        <f>P33</f>
        <v>9347871.5600000005</v>
      </c>
      <c r="E78" s="16"/>
    </row>
    <row r="79" spans="1:17" x14ac:dyDescent="0.3">
      <c r="A79" s="12" t="s">
        <v>46</v>
      </c>
      <c r="B79" s="17">
        <f>SUM(B74:B78)</f>
        <v>265874393.71999994</v>
      </c>
      <c r="C79" s="18">
        <f t="shared" si="23"/>
        <v>0.18586576083798276</v>
      </c>
      <c r="D79" s="17">
        <f>SUM(D74:D78)</f>
        <v>326573163.16000003</v>
      </c>
      <c r="E79" s="12"/>
    </row>
    <row r="80" spans="1:17" x14ac:dyDescent="0.3">
      <c r="A80" s="13" t="s">
        <v>47</v>
      </c>
      <c r="B80" s="14">
        <f>Q37</f>
        <v>71124706.239999995</v>
      </c>
      <c r="C80" s="15">
        <f t="shared" si="23"/>
        <v>0.19646610558586314</v>
      </c>
      <c r="D80" s="14">
        <f>P37</f>
        <v>88514880</v>
      </c>
      <c r="E80" s="16"/>
    </row>
    <row r="81" spans="1:6" x14ac:dyDescent="0.3">
      <c r="A81" s="13" t="s">
        <v>48</v>
      </c>
      <c r="B81" s="14">
        <f>Q44</f>
        <v>15100896.08</v>
      </c>
      <c r="C81" s="15">
        <f t="shared" si="23"/>
        <v>0.19989436689119866</v>
      </c>
      <c r="D81" s="14">
        <f>P44</f>
        <v>18873628</v>
      </c>
      <c r="E81" s="16"/>
    </row>
    <row r="82" spans="1:6" x14ac:dyDescent="0.3">
      <c r="A82" s="13" t="s">
        <v>49</v>
      </c>
      <c r="B82" s="14">
        <f>Q50</f>
        <v>719189.36</v>
      </c>
      <c r="C82" s="15">
        <f t="shared" si="23"/>
        <v>0.17835476588705182</v>
      </c>
      <c r="D82" s="14">
        <f>P50</f>
        <v>875304</v>
      </c>
      <c r="E82" s="16"/>
    </row>
    <row r="83" spans="1:6" x14ac:dyDescent="0.3">
      <c r="A83" s="13" t="s">
        <v>50</v>
      </c>
      <c r="B83" s="14">
        <f>Q55</f>
        <v>3538624.378</v>
      </c>
      <c r="C83" s="15">
        <f t="shared" si="23"/>
        <v>0.20046386558999507</v>
      </c>
      <c r="D83" s="14">
        <f>P55</f>
        <v>4425846.7200000007</v>
      </c>
      <c r="E83" s="16"/>
    </row>
    <row r="84" spans="1:6" x14ac:dyDescent="0.3">
      <c r="A84" s="13" t="s">
        <v>51</v>
      </c>
      <c r="B84" s="14">
        <f>Q67</f>
        <v>2656504.2599999998</v>
      </c>
      <c r="C84" s="15">
        <f t="shared" si="23"/>
        <v>0.19819184930799832</v>
      </c>
      <c r="D84" s="14">
        <f>P67</f>
        <v>3313142</v>
      </c>
      <c r="E84" s="16"/>
      <c r="F84" s="5">
        <f>3200700</f>
        <v>3200700</v>
      </c>
    </row>
    <row r="85" spans="1:6" x14ac:dyDescent="0.3">
      <c r="A85" s="12" t="s">
        <v>52</v>
      </c>
      <c r="B85" s="17">
        <f>SUM(B80:B84)</f>
        <v>93139920.318000004</v>
      </c>
      <c r="C85" s="18">
        <f t="shared" si="23"/>
        <v>0.19708903802404673</v>
      </c>
      <c r="D85" s="17">
        <f>SUM(D80:D84)</f>
        <v>116002800.72</v>
      </c>
      <c r="E85" s="12"/>
    </row>
    <row r="86" spans="1:6" x14ac:dyDescent="0.3">
      <c r="A86" s="13" t="s">
        <v>53</v>
      </c>
      <c r="B86" s="14">
        <f>D86*(1-0.35)</f>
        <v>4160910</v>
      </c>
      <c r="C86" s="15">
        <f t="shared" si="23"/>
        <v>0.35</v>
      </c>
      <c r="D86" s="14">
        <f>F84*2</f>
        <v>6401400</v>
      </c>
      <c r="E86" s="16"/>
    </row>
    <row r="87" spans="1:6" x14ac:dyDescent="0.3">
      <c r="A87" s="12" t="s">
        <v>54</v>
      </c>
      <c r="B87" s="17">
        <f>B79+B85+B86</f>
        <v>363175224.03799993</v>
      </c>
      <c r="C87" s="18">
        <f t="shared" si="23"/>
        <v>0.19110571432935927</v>
      </c>
      <c r="D87" s="17">
        <f>D79+D85+D86</f>
        <v>448977363.88</v>
      </c>
      <c r="E87" s="12"/>
    </row>
  </sheetData>
  <autoFilter ref="A1:L67" xr:uid="{3D5D151E-E677-4BC4-BE1D-4D7A16B5DB7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 SN6600-_Horizon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Abuzaid, Abdullah</dc:creator>
  <cp:lastModifiedBy>Abuzaid, Abdullah</cp:lastModifiedBy>
  <dcterms:created xsi:type="dcterms:W3CDTF">2026-09-21T16:46:44Z</dcterms:created>
  <dcterms:modified xsi:type="dcterms:W3CDTF">2026-09-22T14:27:26Z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2026-09-21T16:47:25Z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c05e08f4-0914-4364-a143-88e7a0e62922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