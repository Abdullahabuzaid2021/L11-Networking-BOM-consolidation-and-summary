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IREN/IREN BOM - Sep 2026/"/>
    </mc:Choice>
  </mc:AlternateContent>
  <xr:revisionPtr revIDLastSave="4" documentId="8_{406EA227-E684-4738-AB1E-05930C05E422}" xr6:coauthVersionLast="47" xr6:coauthVersionMax="47" xr10:uidLastSave="{CAC2DC1D-A0F8-4F9E-BEDC-1C6FB2A3FB0C}"/>
  <bookViews>
    <workbookView xWindow="-108" yWindow="-108" windowWidth="23256" windowHeight="12456" tabRatio="762" firstSheet="2" activeTab="3" xr2:uid="{7B32C1FE-A573-4662-B1BF-9EBE43181AD9}"/>
  </bookViews>
  <sheets>
    <sheet name="P&amp;L" sheetId="58" state="hidden" r:id="rId1"/>
    <sheet name="GOAL Export" sheetId="57" state="hidden" r:id="rId2"/>
    <sheet name="Version" sheetId="17" r:id="rId3"/>
    <sheet name="L11 BOM Ntwk_512" sheetId="71" r:id="rId4"/>
    <sheet name="Rack_Elevations_512" sheetId="75" r:id="rId5"/>
    <sheet name="Storage Elevations" sheetId="73" r:id="rId6"/>
    <sheet name="Storage BOM" sheetId="74" r:id="rId7"/>
    <sheet name="Services Summary" sheetId="28" state="hidden" r:id="rId8"/>
    <sheet name="DW2000P_1" sheetId="11" state="hidden" r:id="rId9"/>
    <sheet name="Compute_Management" sheetId="12" state="hidden" r:id="rId10"/>
  </sheets>
  <externalReferences>
    <externalReference r:id="rId11"/>
  </externalReference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71" l="1"/>
  <c r="D46" i="71"/>
  <c r="D45" i="71"/>
  <c r="D44" i="71"/>
  <c r="D43" i="71"/>
  <c r="D42" i="71"/>
  <c r="E68" i="73" l="1"/>
  <c r="B68" i="73"/>
  <c r="E67" i="73"/>
  <c r="B67" i="73"/>
  <c r="E66" i="73"/>
  <c r="B66" i="73"/>
  <c r="E65" i="73"/>
  <c r="B65" i="73"/>
  <c r="U64" i="73"/>
  <c r="U63" i="73"/>
  <c r="U61" i="73"/>
  <c r="E60" i="73"/>
  <c r="B60" i="73"/>
  <c r="E59" i="73"/>
  <c r="B59" i="73"/>
  <c r="U59" i="73" s="1"/>
  <c r="E58" i="73"/>
  <c r="U58" i="73" s="1"/>
  <c r="B58" i="73"/>
  <c r="A3" i="73"/>
  <c r="U67" i="73" l="1"/>
  <c r="U65" i="73"/>
  <c r="U68" i="73"/>
  <c r="U66" i="73"/>
  <c r="U60" i="73"/>
  <c r="D85" i="71" l="1"/>
  <c r="D86" i="71"/>
  <c r="D87" i="71"/>
  <c r="D88" i="71"/>
  <c r="D94" i="71"/>
  <c r="D95" i="71"/>
  <c r="D96" i="71"/>
  <c r="D97" i="71"/>
  <c r="D102" i="71"/>
  <c r="D103" i="71"/>
  <c r="D104" i="71"/>
  <c r="B101" i="71"/>
  <c r="D101" i="71" s="1"/>
  <c r="D70" i="71" l="1"/>
  <c r="B61" i="71"/>
  <c r="C107" i="71"/>
  <c r="D107" i="71" s="1"/>
  <c r="C106" i="71"/>
  <c r="D106" i="71" s="1"/>
  <c r="C105" i="71"/>
  <c r="D105" i="71" s="1"/>
  <c r="B100" i="71"/>
  <c r="D100" i="71" s="1"/>
  <c r="D92" i="71"/>
  <c r="B79" i="71"/>
  <c r="D79" i="71" s="1"/>
  <c r="B78" i="71"/>
  <c r="D78" i="71" s="1"/>
  <c r="D77" i="71"/>
  <c r="C73" i="71"/>
  <c r="D73" i="71" s="1"/>
  <c r="B72" i="71"/>
  <c r="D72" i="71" s="1"/>
  <c r="D63" i="71"/>
  <c r="D62" i="71"/>
  <c r="D55" i="71"/>
  <c r="B53" i="71"/>
  <c r="D54" i="71" s="1"/>
  <c r="D35" i="71"/>
  <c r="B31" i="71"/>
  <c r="D31" i="71" s="1"/>
  <c r="B29" i="71"/>
  <c r="D29" i="71" s="1"/>
  <c r="B28" i="71"/>
  <c r="D28" i="71" s="1"/>
  <c r="D23" i="71"/>
  <c r="D21" i="71"/>
  <c r="D20" i="71"/>
  <c r="D15" i="71"/>
  <c r="D14" i="71"/>
  <c r="D13" i="71"/>
  <c r="D12" i="71"/>
  <c r="D6" i="71"/>
  <c r="D5" i="71"/>
  <c r="D4" i="71"/>
  <c r="D3" i="71"/>
  <c r="D154" i="71"/>
  <c r="D153" i="71"/>
  <c r="F154" i="71"/>
  <c r="D152" i="71"/>
  <c r="E125" i="71" a="1"/>
  <c r="F153" i="71"/>
  <c r="F152" i="71"/>
  <c r="D60" i="71" l="1"/>
  <c r="B93" i="71"/>
  <c r="D93" i="71" s="1"/>
  <c r="D61" i="71"/>
  <c r="B34" i="71"/>
  <c r="D34" i="71" s="1"/>
  <c r="E125" i="71"/>
  <c r="D83" i="71"/>
  <c r="B84" i="71"/>
  <c r="D84" i="71" s="1"/>
  <c r="D71" i="71"/>
  <c r="D53" i="71"/>
  <c r="D133" i="71"/>
  <c r="D142" i="71"/>
  <c r="F138" i="71"/>
  <c r="F136" i="71"/>
  <c r="D141" i="71"/>
  <c r="D136" i="71"/>
  <c r="F141" i="71"/>
  <c r="D150" i="71"/>
  <c r="F126" i="71"/>
  <c r="F128" i="71"/>
  <c r="F147" i="71"/>
  <c r="F132" i="71"/>
  <c r="F140" i="71"/>
  <c r="D135" i="71"/>
  <c r="F127" i="71"/>
  <c r="F150" i="71"/>
  <c r="F148" i="71"/>
  <c r="D147" i="71"/>
  <c r="F149" i="71"/>
  <c r="D144" i="71"/>
  <c r="D130" i="71"/>
  <c r="D126" i="71"/>
  <c r="D146" i="71"/>
  <c r="D132" i="71"/>
  <c r="F146" i="71"/>
  <c r="D134" i="71"/>
  <c r="D148" i="71"/>
  <c r="F143" i="71"/>
  <c r="F134" i="71"/>
  <c r="F133" i="71"/>
  <c r="D145" i="71"/>
  <c r="D151" i="71"/>
  <c r="F139" i="71"/>
  <c r="F145" i="71"/>
  <c r="F151" i="71"/>
  <c r="F142" i="71"/>
  <c r="F137" i="71"/>
  <c r="F144" i="71"/>
  <c r="D127" i="71"/>
  <c r="D131" i="71"/>
  <c r="F130" i="71"/>
  <c r="D138" i="71"/>
  <c r="D140" i="71"/>
  <c r="D137" i="71"/>
  <c r="D143" i="71"/>
  <c r="F135" i="71"/>
  <c r="D128" i="71"/>
  <c r="F131" i="71"/>
  <c r="D149" i="71"/>
  <c r="F129" i="71"/>
  <c r="D129" i="71"/>
  <c r="D139" i="71"/>
  <c r="A126" i="71" l="1"/>
  <c r="A134" i="71"/>
  <c r="A137" i="71"/>
  <c r="A132" i="71"/>
  <c r="A140" i="71"/>
  <c r="A127" i="71"/>
  <c r="A135" i="71"/>
  <c r="A130" i="71"/>
  <c r="A138" i="71"/>
  <c r="A128" i="71"/>
  <c r="A133" i="71"/>
  <c r="A129" i="71"/>
  <c r="A136" i="71"/>
  <c r="A131" i="71"/>
  <c r="A139" i="71"/>
  <c r="D125" i="71"/>
  <c r="F125" i="71"/>
  <c r="A125" i="71" l="1"/>
  <c r="J2" i="58" l="1"/>
  <c r="C2" i="58"/>
  <c r="B2" i="58"/>
  <c r="F9" i="57"/>
  <c r="E9" i="57"/>
  <c r="D3" i="57"/>
  <c r="E3" i="57" s="1"/>
  <c r="D4" i="57"/>
  <c r="F4" i="57" s="1"/>
  <c r="D5" i="57"/>
  <c r="F5" i="57" s="1"/>
  <c r="D6" i="57"/>
  <c r="E6" i="57" s="1"/>
  <c r="D7" i="57"/>
  <c r="F7" i="57" s="1"/>
  <c r="D8" i="57"/>
  <c r="E8" i="57" s="1"/>
  <c r="D2" i="57"/>
  <c r="F2" i="57" s="1"/>
  <c r="E2" i="58" l="1"/>
  <c r="G2" i="58" s="1"/>
  <c r="E2" i="57"/>
  <c r="E7" i="57"/>
  <c r="F6" i="57"/>
  <c r="E4" i="57"/>
  <c r="E5" i="57"/>
  <c r="F3" i="57"/>
  <c r="F8" i="57"/>
  <c r="I2" i="5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<sst xmlns="http://schemas.openxmlformats.org/spreadsheetml/2006/main" count="1942" uniqueCount="667">
  <si>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</si>
  <si>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</si>
  <si>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</si>
  <si>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</si>
  <si>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</si>
  <si>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</si>
  <si>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</si>
  <si>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</si>
  <si>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</si>
  <si>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</si>
  <si>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</si>
  <si>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</si>
  <si>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</si>
  <si>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</si>
  <si>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</si>
  <si>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</si>
  <si>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</si>
  <si>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</si>
  <si>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</si>
  <si>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</si>
  <si>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</si>
  <si>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</si>
  <si>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</si>
  <si>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</si>
  <si>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</si>
  <si>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</si>
  <si>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</si>
  <si>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</si>
  <si>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</si>
  <si>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</si>
  <si>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 XE9712i, Location: Childress, TX</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</si>
  <si>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</si>
  <si>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</si>
  <si>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</si>
  <si>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</si>
  <si>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</si>
  <si>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</si>
  <si>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</si>
  <si>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</si>
  <si>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</si>
  <si>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</si>
  <si>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</si>
  <si>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</si>
  <si>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</si>
  <si>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</si>
  <si>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</si>
  <si>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</si>
  <si>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</si>
  <si>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</si>
  <si>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</si>
  <si>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</si>
  <si>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</si>
  <si>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</si>
  <si>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</si>
  <si>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</si>
  <si>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</si>
  <si>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</si>
  <si>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Priority</t>
  </si>
  <si>
    <t>E-W Leaf (exclude E-W Leaf in GPU L11)</t>
  </si>
  <si>
    <t>920-9N42F-00RI-3C1</t>
  </si>
  <si>
    <t>SN5610, 2U , C2P</t>
  </si>
  <si>
    <t>E-W Spine</t>
  </si>
  <si>
    <t>E-W Core</t>
  </si>
  <si>
    <t>GPU Racks</t>
  </si>
  <si>
    <t>B300 XE9780 : 4x XE9780/Rack : 32 GPU/Rack</t>
  </si>
  <si>
    <t>E-W Leaf/Spine SONIC License</t>
  </si>
  <si>
    <t xml:space="preserve"> </t>
  </si>
  <si>
    <t>N-S Switches</t>
  </si>
  <si>
    <t>N-S Leaf</t>
  </si>
  <si>
    <t>N-S Spine</t>
  </si>
  <si>
    <t>Storage Leaf</t>
  </si>
  <si>
    <t>Control Leaf</t>
  </si>
  <si>
    <t>OOB Switches</t>
  </si>
  <si>
    <t>OOB ToR</t>
  </si>
  <si>
    <t>SN2201 , 1U , C2P</t>
  </si>
  <si>
    <t xml:space="preserve">48 × RJ45 10/100/1000BASE‑T ports PLUS 4 × QSFP28 ports (can be used as 4×100 GbE, or broken out to lower speeds like 4×25 GbE, etc.)  </t>
  </si>
  <si>
    <t>Does not include ToR for storage racks. It does include GPU and CPU compute.</t>
  </si>
  <si>
    <t>OOB Aggregator</t>
  </si>
  <si>
    <t>920-9N301-00RB-0C0</t>
  </si>
  <si>
    <t>SN4700,1U,C2P</t>
  </si>
  <si>
    <t xml:space="preserve"> 32 × QSFP‑DD 400 GbE ports</t>
  </si>
  <si>
    <t>core switches</t>
  </si>
  <si>
    <t>OOB BorderLeaf</t>
  </si>
  <si>
    <t>IREN WILL PROVIDE</t>
  </si>
  <si>
    <t>Racks, PDUs and CDUs</t>
  </si>
  <si>
    <t>T1 E-W NtwkRack</t>
  </si>
  <si>
    <t>750mm x 1200mm/ 48RU</t>
  </si>
  <si>
    <t>T2 E-W NtwkRack</t>
  </si>
  <si>
    <t>T1 N-S NtwkRack</t>
  </si>
  <si>
    <t>T2 N-S NtwkRack</t>
  </si>
  <si>
    <t>CTRL Racks</t>
  </si>
  <si>
    <t>OOB Racks</t>
  </si>
  <si>
    <t>PDU 3Ph, 415V, 60A</t>
  </si>
  <si>
    <t>3PH, 415V, 60A, 560P6, 42 Outlet</t>
  </si>
  <si>
    <t>RDHx CL20</t>
  </si>
  <si>
    <t>Patch Panels / Shuffle Componets Side Car</t>
  </si>
  <si>
    <t>EDGE Shuffle Box (Switch Rack)</t>
  </si>
  <si>
    <t>EDGE-SH-03U</t>
  </si>
  <si>
    <t>Holds 8 shuffle Modules for 128 (Input) x 128 (Output) ports</t>
  </si>
  <si>
    <t>Shuffle Cassette with  16 MPO inputs and 16 MPO Outputs</t>
  </si>
  <si>
    <t>NMMB-002X2-8989G</t>
  </si>
  <si>
    <t>SMF, Polarity B, Two 8-fiber MPO inputs shuffled to two 8-fiber MPO outputs in a 16 (Input) x 16 (Output) port configuration per Shuffle Module. Lines 3 &amp; 4 covered by the fully populated option in lines 9/10</t>
  </si>
  <si>
    <t>GPU to Fiber Panel Cable [DH3 Local shuffle box] MPO Cables</t>
  </si>
  <si>
    <t>GEDEDU8GPN-008-U030M</t>
  </si>
  <si>
    <t>288f Trunk, SMF, MPO8 APC Non-pinned to MPO8 APC Non-pinned, Type B Polarity, 8' leg length</t>
  </si>
  <si>
    <r>
      <t xml:space="preserve">Math: 4 ports per rail, 2 MPOs per port, 8 fibers per MPO, 8 rails per rack = 512 fibers per rack </t>
    </r>
    <r>
      <rPr>
        <sz val="9"/>
        <color theme="1"/>
        <rFont val="Wingdings"/>
        <charset val="2"/>
      </rPr>
      <t>à</t>
    </r>
    <r>
      <rPr>
        <sz val="9"/>
        <color theme="1"/>
        <rFont val="Arial"/>
        <family val="2"/>
      </rPr>
      <t xml:space="preserve"> (2) 288f trunks with spares</t>
    </r>
  </si>
  <si>
    <t>GPU to Fiber Panel Cable [DH4 Leaf shuffle box] MPO Cables</t>
  </si>
  <si>
    <t>288f trunk, with 4 spare connectors per trunk, and you will need (2) trunks per rack</t>
  </si>
  <si>
    <t>Fiber shuffle cassette [DH 3] In leaf racks</t>
  </si>
  <si>
    <t>EDGE-03U-8B2X2G</t>
  </si>
  <si>
    <t>3U EDGE Shuffling Housing, Holds 8_2x2 Type B Modules for 128 input x 128 output ports</t>
  </si>
  <si>
    <t>Fiber shuffle cassette [DH 4] In leaf racks</t>
  </si>
  <si>
    <t>MPO12/APC SMF Jumper cables [DH3 GPU to Fiber Panel to local DH3 Leafs  ]</t>
  </si>
  <si>
    <t>JEDED08GE8-NB003M</t>
  </si>
  <si>
    <t>8f Jumper, SMF, MPO8 APC Non-pinned to MPO8 APC Non-pinned, Type B Polarity</t>
  </si>
  <si>
    <t>MPO12/APC SMF Jumper cables [DH4 GPU to Fiber Panel to local DH4 Leafs]</t>
  </si>
  <si>
    <r>
      <t xml:space="preserve">East-West </t>
    </r>
    <r>
      <rPr>
        <b/>
        <sz val="10"/>
        <color theme="9" tint="-0.249977111117893"/>
        <rFont val="Calibri"/>
        <family val="2"/>
      </rPr>
      <t>NIC-LEAF</t>
    </r>
    <r>
      <rPr>
        <b/>
        <sz val="10"/>
        <rFont val="Calibri"/>
        <family val="2"/>
      </rPr>
      <t xml:space="preserve"> : Transceiver/Fiber/Cable</t>
    </r>
  </si>
  <si>
    <t>E-W NIC-Leaf Link NIC Xcvr</t>
  </si>
  <si>
    <t>MMS4X00-NM-FLT</t>
  </si>
  <si>
    <t>NVDA twin port XCVR, 800GbE, 2×400, O112, 2×MPO12 APC, 1310nm SMF, to 100m, flat top RHS</t>
  </si>
  <si>
    <t>Optics: Host to Leaf</t>
  </si>
  <si>
    <t>E-W NIC-Leaf Link NIC Xcvr Cable</t>
  </si>
  <si>
    <t>21RKC</t>
  </si>
  <si>
    <t>CBL-MPO12-APC-SMF-50M</t>
  </si>
  <si>
    <t>Cables: Host to Leaf</t>
  </si>
  <si>
    <t>E-W NIC-Leaf Link Leaf Xcvr</t>
  </si>
  <si>
    <t>MMS4X00-NM-T</t>
  </si>
  <si>
    <t>NVIDIA TWIN PORT TRANSCEIVER, 800GBPS,2X400GbE, OSFP, 2XMPO, 1310NM SMF, UP TO 500M, FINNED</t>
  </si>
  <si>
    <r>
      <t xml:space="preserve">East-West </t>
    </r>
    <r>
      <rPr>
        <b/>
        <sz val="10"/>
        <color theme="8"/>
        <rFont val="Calibri"/>
        <family val="2"/>
      </rPr>
      <t>LEAF-SPINE</t>
    </r>
    <r>
      <rPr>
        <b/>
        <sz val="10"/>
        <rFont val="Calibri"/>
        <family val="2"/>
      </rPr>
      <t xml:space="preserve"> : Transceiver and Fiber/Cable</t>
    </r>
  </si>
  <si>
    <t>E-W Leaf-Spine Link Leaf Xcvr</t>
  </si>
  <si>
    <t>Optics: Leaf to Spine</t>
  </si>
  <si>
    <t>E-W Leaf-Spine Link Leaf Xcvr Cable</t>
  </si>
  <si>
    <t>9VFNX</t>
  </si>
  <si>
    <t>CBL-MPO12-APC-SMF-100M</t>
  </si>
  <si>
    <t>Cables: Leaf to Spine</t>
  </si>
  <si>
    <t>E-W Leaf-Spine Link Spine Xcvr</t>
  </si>
  <si>
    <t>Optics: Spine to Leaf</t>
  </si>
  <si>
    <t xml:space="preserve">E-W Leaf-Spine Link Spine Xcvr Cable </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</si>
  <si>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</si>
  <si>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</si>
  <si>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</si>
  <si>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</si>
  <si>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</si>
  <si>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N-S NIC-Leaf Link Leaf Xcvr Cable</t>
  </si>
  <si>
    <t>NFM93</t>
  </si>
  <si>
    <t>CBL-MPO12-2xMPO4FA-SMF-30M</t>
  </si>
  <si>
    <r>
      <t>North-South</t>
    </r>
    <r>
      <rPr>
        <b/>
        <sz val="10"/>
        <color theme="8"/>
        <rFont val="Calibri"/>
        <family val="2"/>
      </rPr>
      <t xml:space="preserve"> LEAF-SPINE</t>
    </r>
    <r>
      <rPr>
        <b/>
        <sz val="10"/>
        <rFont val="Calibri"/>
        <family val="2"/>
      </rPr>
      <t xml:space="preserve"> : Transceiver and Fiber/Cable</t>
    </r>
  </si>
  <si>
    <t>N-S Leaf-Spine Link Leaf Xcvr</t>
  </si>
  <si>
    <t>N-S Leaf-Spine Link Leaf Xcvr Cable</t>
  </si>
  <si>
    <t>N-S Leaf-Spine Link Spine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</si>
  <si>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</si>
  <si>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</si>
  <si>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</si>
  <si>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</si>
  <si>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</si>
  <si>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MMA4Z00‑NS-T</t>
  </si>
  <si>
    <t>NVIDIA TWIN PORT TRANSCEIVER, 800GBPS, 2X400GbE, OSFP, 2XMPO-12/APC, MMF, UP TO 50M, FINNED</t>
  </si>
  <si>
    <t>N-S Storage Leaf-Compute Link  Cable</t>
  </si>
  <si>
    <t xml:space="preserve">MFP7E10‑N005 </t>
  </si>
  <si>
    <t>MultiMode Fiber  MPO12/APC OM4 Type-B - 5 meter</t>
  </si>
  <si>
    <t>N-S Storage Leaf-Compute Link  Xcvr</t>
  </si>
  <si>
    <t>C4X6C VSR4</t>
  </si>
  <si>
    <t>Hisense 80C multi‑mode QSFP112 transceiver</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</si>
  <si>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</si>
  <si>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</si>
  <si>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</si>
  <si>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</si>
  <si>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</si>
  <si>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</si>
  <si>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N-S Control Leaf-Compute Xcvr</t>
  </si>
  <si>
    <t>MMS1X00-NS400 - 6YVDP</t>
  </si>
  <si>
    <t>BF3140 - connect to sn5610 at 200G</t>
  </si>
  <si>
    <t>OOB Cluster : Transceiver and Fiber/Cable</t>
  </si>
  <si>
    <t>OOB ToR Cable to end nodes</t>
  </si>
  <si>
    <t>Cat 6</t>
  </si>
  <si>
    <t xml:space="preserve">Cat 6 </t>
  </si>
  <si>
    <t>OOB ToR-AGG Link ToR Xcvr</t>
  </si>
  <si>
    <t>980-9I042-00C000</t>
  </si>
  <si>
    <t>Mellanox transceiver, 100GbE, QSFP28, LC-LC, 1310nm, DR1</t>
  </si>
  <si>
    <t>OOB ToR-AGG Link ToR Xcvr Cable</t>
  </si>
  <si>
    <t>J6TD3</t>
  </si>
  <si>
    <t>CBL-MPO12-4LC-SMF-5M</t>
  </si>
  <si>
    <t xml:space="preserve">only 5M is available </t>
  </si>
  <si>
    <t>OOB ToR-AGG Link ToR Xcvr Cable Patch Cable</t>
  </si>
  <si>
    <t>470-ABGH</t>
  </si>
  <si>
    <t>Switch Xcvr to LC Patch Panel MPO-4xLC short leg patch cable, Other end is LC to OOB Leafs</t>
  </si>
  <si>
    <t>Cables: LC to LC Patch cables AGG to OOB ToRs</t>
  </si>
  <si>
    <t xml:space="preserve">OOB ToR-AGG Link AGGR Xcvr </t>
  </si>
  <si>
    <t>980-9I16Y-00W000</t>
  </si>
  <si>
    <t>Mellanox transceiver, 400GbE, QSFP-DD, MPO, 1310nm, DR4+</t>
  </si>
  <si>
    <t>OOB AGG-Border leaf Link Xcvr</t>
  </si>
  <si>
    <t>OOB AGG-Border Link Border Xcvr Cable</t>
  </si>
  <si>
    <t>D3P20</t>
  </si>
  <si>
    <t>CBL-MPO12-APC-SMF-5M</t>
  </si>
  <si>
    <t xml:space="preserve">OOB AGG-Border Link AGG Xcvr </t>
  </si>
  <si>
    <t>Border Leaf : Transceiver and Fiber/Cable</t>
  </si>
  <si>
    <t xml:space="preserve">Border Leaf to CTRL Leaf - Border leaf tranceiver </t>
  </si>
  <si>
    <t>J42PY (800G-O112-2EDR4-2MPO12/APC_) 800G-O112-2EDR4-2MPO12/APC</t>
  </si>
  <si>
    <t>Border Leaf to CTRL Leaf - Border leaf - CTRL Leaf Cable</t>
  </si>
  <si>
    <t>MPO12-APC-SMF</t>
  </si>
  <si>
    <t xml:space="preserve">Border Leaf to CTRL Leaf - Border CTRL Leaf tranceiver </t>
  </si>
  <si>
    <t>LIMITED EDITING BELOW THIS LINE</t>
  </si>
  <si>
    <t>Row End Range for Column D
 (MUST Be Set Correctly)</t>
  </si>
  <si>
    <t>Row End Range for Column E
 (MUST Be Set Correctly)</t>
  </si>
  <si>
    <t>Row End Range for Column F
 (MUST Be Set Correctly)</t>
  </si>
  <si>
    <t>D111</t>
  </si>
  <si>
    <t>E111</t>
  </si>
  <si>
    <t>F111</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</si>
  <si>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</si>
  <si>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Ntwk P/N</t>
  </si>
  <si>
    <t>Summary Table</t>
  </si>
  <si>
    <t>2% Spares</t>
  </si>
  <si>
    <t>DPN</t>
  </si>
  <si>
    <t>SKU</t>
  </si>
  <si>
    <t>Item Model/PN</t>
  </si>
  <si>
    <t>7F0JN</t>
  </si>
  <si>
    <t>52MJM</t>
  </si>
  <si>
    <t>8XTGF</t>
  </si>
  <si>
    <t>NRW8Y</t>
  </si>
  <si>
    <t>6YVDP</t>
  </si>
  <si>
    <t>WWMRC</t>
  </si>
  <si>
    <t>YW1C0</t>
  </si>
  <si>
    <t>TX78X</t>
  </si>
  <si>
    <t>DH3</t>
  </si>
  <si>
    <t>x30</t>
  </si>
  <si>
    <t>x2</t>
  </si>
  <si>
    <t>x4</t>
  </si>
  <si>
    <t>x1</t>
  </si>
  <si>
    <t>750mm</t>
  </si>
  <si>
    <t>RU</t>
  </si>
  <si>
    <t>E-W/N-S Common Leaf Plane 3_4</t>
  </si>
  <si>
    <t>E-W/N-S Common Spine Plane 3</t>
  </si>
  <si>
    <t>E-W Common Spine Plane 3</t>
  </si>
  <si>
    <t>E-W/N-S Common Spine  Plane 4</t>
  </si>
  <si>
    <t>E-W Common Spine Plane 4</t>
  </si>
  <si>
    <t>AGG/OOB/MISC</t>
  </si>
  <si>
    <t>97 mm Vetical Manager</t>
  </si>
  <si>
    <t>OOB TOR # 1(Sn2201)</t>
  </si>
  <si>
    <t>OOB TOR # 2(Sn2201)</t>
  </si>
  <si>
    <t>x3</t>
  </si>
  <si>
    <t xml:space="preserve">N-S Leaf-1(SN5610) </t>
  </si>
  <si>
    <t xml:space="preserve">N-S Spine-1(SN5610) </t>
  </si>
  <si>
    <t>64_ 2x2Shuffle (3blade) 128x128</t>
  </si>
  <si>
    <t>AGGR-1 SN4700</t>
  </si>
  <si>
    <t>AGGR-2 SN4700</t>
  </si>
  <si>
    <t>AGGR-3 SN4700</t>
  </si>
  <si>
    <t>E-W Leaf -1 Rail 1(SN5610)Plane 1</t>
  </si>
  <si>
    <t>AGGR-4 SN4700</t>
  </si>
  <si>
    <t>E-W Spine-1(SN5610) Plane 1</t>
  </si>
  <si>
    <t>E-W Spine-1(SN5610) Plane 2</t>
  </si>
  <si>
    <t>E-W Spine-1(SN5610)- Plane3</t>
  </si>
  <si>
    <t>E-W Spine-1(SN5610)- Plane 4</t>
  </si>
  <si>
    <t>R670</t>
  </si>
  <si>
    <t>E-W Leaf-1 Rail 2(SN5610) Plane 2</t>
  </si>
  <si>
    <t>E-W Spine-2(SN5610) Plane 1</t>
  </si>
  <si>
    <t>E-W Spine-2(SN5610) Plane 2</t>
  </si>
  <si>
    <t>E-W Spine-2(SN5610) Plane 3</t>
  </si>
  <si>
    <t>E-W Spine-2(SN5610) Plane 4</t>
  </si>
  <si>
    <t>E-W Spine-3(SN5610) Plane 1</t>
  </si>
  <si>
    <t>E-W Spine-3(SN5610) Plane 2</t>
  </si>
  <si>
    <t>E-W Spine-3(SN5610) Plane 3</t>
  </si>
  <si>
    <t>E-W Spine-3(SN5610) Plane 4</t>
  </si>
  <si>
    <t xml:space="preserve">Control Leaf-1(SN5610) </t>
  </si>
  <si>
    <t>E-W Leaf-1 Rail 3(SN5610)  Plane 3</t>
  </si>
  <si>
    <t>E-W Spine-4(SN5610) Plane 1</t>
  </si>
  <si>
    <t>E-W Spine-4(SN5610) Plane 2</t>
  </si>
  <si>
    <t>E-W Spine-4(SN5610) Plane 3</t>
  </si>
  <si>
    <t>E-W Spine-4(SN5610) Plane 4</t>
  </si>
  <si>
    <t xml:space="preserve">Control Leaf-2(SN5610) </t>
  </si>
  <si>
    <t>E-W Leaf-1 Rail 4(SN5610) Plane 4</t>
  </si>
  <si>
    <t>R680</t>
  </si>
  <si>
    <t>E-W Spine-5(SN5610) Plane 1</t>
  </si>
  <si>
    <t>E-W Spine-5(SN5610) Plane 2</t>
  </si>
  <si>
    <t>E-W Spine-5(SN5610) Plane 3</t>
  </si>
  <si>
    <t>E-W Spine-5(SN5610) Plane 4</t>
  </si>
  <si>
    <t>E-W Spine-6(SN5610) Plane 1</t>
  </si>
  <si>
    <t>E-W Spine-6(SN5610) Plane 2</t>
  </si>
  <si>
    <t>E-W Spine-6(SN5610) Plane 3</t>
  </si>
  <si>
    <t>E-W Spine-6(SN5610) Plane 4</t>
  </si>
  <si>
    <t>E-W Leaf-1 Rail 1(SN5610) Plane 1</t>
  </si>
  <si>
    <t>E-W Spine-7(SN5610) Plane 1</t>
  </si>
  <si>
    <t>E-W Spine-7(SN5610) Plane 2</t>
  </si>
  <si>
    <t>E-W Spine-7(SN5610) Plane 3</t>
  </si>
  <si>
    <t>E-W Spine-7(SN5610) Plane 4</t>
  </si>
  <si>
    <t>E-W Spine-8(SN5610) Plane 1</t>
  </si>
  <si>
    <t>E-W Spine-8(SN5610) Plane 2</t>
  </si>
  <si>
    <t>E-W Spine-8(SN5610) Plane 3</t>
  </si>
  <si>
    <t>E-W Spine-8(SN5610) Plane 4</t>
  </si>
  <si>
    <t xml:space="preserve">FE Storage leaf-1(SN5610) </t>
  </si>
  <si>
    <t xml:space="preserve">FE Storage leaf-2 (SN5610) </t>
  </si>
  <si>
    <t>DH4</t>
  </si>
  <si>
    <t>E-W/N-S Common Leaf Plane 1_2</t>
  </si>
  <si>
    <t>E-W/N-S Common Spine Plane 1</t>
  </si>
  <si>
    <t>E-W Common Spine Plane 1</t>
  </si>
  <si>
    <t>E-W/N-S Common Spine  Plane 2</t>
  </si>
  <si>
    <t>E-W Common Spine Plane 2</t>
  </si>
  <si>
    <t>HPS Storage Spine-1</t>
  </si>
  <si>
    <t> </t>
  </si>
  <si>
    <t>Back-End</t>
  </si>
  <si>
    <t>Data Hall 4</t>
  </si>
  <si>
    <t>Spine Switches</t>
  </si>
  <si>
    <t>Rack 1</t>
  </si>
  <si>
    <t>Rack 2</t>
  </si>
  <si>
    <t>In Data Hall 4</t>
  </si>
  <si>
    <t>SN2201</t>
  </si>
  <si>
    <t>Blanking Panel - 01</t>
  </si>
  <si>
    <t>SN5610</t>
  </si>
  <si>
    <t>R7725xd - 22</t>
  </si>
  <si>
    <t>R7725xd - 21</t>
  </si>
  <si>
    <t>R7725xd - 20</t>
  </si>
  <si>
    <t>R7725xd - 19</t>
  </si>
  <si>
    <t>R7725xd - 18</t>
  </si>
  <si>
    <t>R7725xd - 17</t>
  </si>
  <si>
    <t>R7725xd - 16</t>
  </si>
  <si>
    <t>R7725xd - 15</t>
  </si>
  <si>
    <t>R7725xd - 14</t>
  </si>
  <si>
    <t>R7725xd - 13</t>
  </si>
  <si>
    <t>R7725xd - 12</t>
  </si>
  <si>
    <t>R7725xd - 11</t>
  </si>
  <si>
    <t>R7725xd - 10</t>
  </si>
  <si>
    <t>R7725xd - 09</t>
  </si>
  <si>
    <t>R7725xd - 08</t>
  </si>
  <si>
    <t>R7725xd - 07</t>
  </si>
  <si>
    <t>R7725xd - 06</t>
  </si>
  <si>
    <t>R7725xd - 05</t>
  </si>
  <si>
    <t>R7725xd - 04</t>
  </si>
  <si>
    <t>R7725xd - 03</t>
  </si>
  <si>
    <t>R7725xd - 02</t>
  </si>
  <si>
    <t>R7725xd - 01</t>
  </si>
  <si>
    <t xml:space="preserve">Watts Max Fan  </t>
  </si>
  <si>
    <t xml:space="preserve">Watts Max Load  </t>
  </si>
  <si>
    <t>PDUs</t>
  </si>
  <si>
    <t>Back End Switches</t>
  </si>
  <si>
    <t>Storage Nodes</t>
  </si>
  <si>
    <t>Blanking Panels</t>
  </si>
  <si>
    <t xml:space="preserve">BE Switch Ports  </t>
  </si>
  <si>
    <t>FE Switch Ports</t>
  </si>
  <si>
    <t>OOB Switch Ports</t>
  </si>
  <si>
    <t>Raw Capacity</t>
  </si>
  <si>
    <t>Power Assumptions Table</t>
  </si>
  <si>
    <t>Type</t>
  </si>
  <si>
    <t xml:space="preserve">Watts per </t>
  </si>
  <si>
    <t>R7725xd Max Fan</t>
  </si>
  <si>
    <t>R7725xd Max Load</t>
  </si>
  <si>
    <t>Networking - Switch, Transceivers, Cables</t>
  </si>
  <si>
    <t>Networking</t>
  </si>
  <si>
    <t>Count per Cluster</t>
  </si>
  <si>
    <t>Back end Spine Switch</t>
  </si>
  <si>
    <t>NVIDIA SN5610 2U 64xOSFP112, 4AC PSU, C2P (I/P) Airflow</t>
  </si>
  <si>
    <t>Back End Leaf Switch</t>
  </si>
  <si>
    <t>OOB Switch</t>
  </si>
  <si>
    <t>SN2201, C2P</t>
  </si>
  <si>
    <t>BE Spine switch to BE leaf switch - Leaf XCVR</t>
  </si>
  <si>
    <t>BE Spine switch to BE leaf switch - Spine XCVR</t>
  </si>
  <si>
    <t>BE Spine switch to BE leaf switch - Cable</t>
  </si>
  <si>
    <t>BE Spine switch to CC Spine switch - BE Spine XCVR</t>
  </si>
  <si>
    <t>BE Spine switch to CC Spine switch - CC Spine XCVR</t>
  </si>
  <si>
    <t>BE Spine switch to CC Spine switch</t>
  </si>
  <si>
    <t>Node to SN5610 Switch Cable</t>
  </si>
  <si>
    <t>MFP7E10-N05</t>
  </si>
  <si>
    <t>MFP7E10‑N005 - (MPO‑12) multimode fiber cable Type‑B</t>
  </si>
  <si>
    <t>Node Transceiver QSFP112</t>
  </si>
  <si>
    <t>C4X6C VSR4 Hisense 80C multi‑mode QSFP112 transceiver</t>
  </si>
  <si>
    <t>Switch Transceiver OSFP</t>
  </si>
  <si>
    <t>MMA4Z00-NS</t>
  </si>
  <si>
    <t>MMA4Z00‑NS - NVIDIA TWIN PORT TRANSCEIVER, 800GBPS,2X400GbE, OSFP, 2XMPO, MMF, UP TO 500M, FINNED</t>
  </si>
  <si>
    <t>Switch to Switch VLT Transceiver</t>
  </si>
  <si>
    <t>MMA4Z00-NS - Twin-port OSFP multimode SR4 with 2x MPO-12/APC connectors</t>
  </si>
  <si>
    <t>Switch to Switch VLT Cable</t>
  </si>
  <si>
    <t>MFP7E10-N05 - MultiMode Fiber 5 meter MPO12/APC OM4</t>
  </si>
  <si>
    <t>OOB cable</t>
  </si>
  <si>
    <t>-</t>
  </si>
  <si>
    <t>Cat 6 cables - twisted pair copper with RJ45 connector</t>
  </si>
  <si>
    <t>OOB Upstream Transceivers</t>
  </si>
  <si>
    <t>QSFP28 Transceiver</t>
  </si>
  <si>
    <r>
      <rPr>
        <b/>
        <sz val="11"/>
        <color rgb="FF000000"/>
        <rFont val="Arial"/>
        <family val="2"/>
      </rPr>
      <t>Note 1:</t>
    </r>
    <r>
      <rPr>
        <sz val="11"/>
        <color rgb="FF000000"/>
        <rFont val="Arial"/>
        <family val="2"/>
      </rPr>
      <t xml:space="preserve"> Transceivers and Cables for Front End networking, and OOB uplinks located in the Main Networking BOM</t>
    </r>
  </si>
  <si>
    <r>
      <rPr>
        <b/>
        <sz val="11"/>
        <color rgb="FF000000"/>
        <rFont val="Arial"/>
        <family val="2"/>
      </rPr>
      <t>Note 2:</t>
    </r>
    <r>
      <rPr>
        <sz val="11"/>
        <color rgb="FF000000"/>
        <rFont val="Arial"/>
        <family val="2"/>
      </rPr>
      <t xml:space="preserve"> Switches, Transceivers and Cables for Storage Back End networking and OOB included in this BOM, and not the Main Networking BOM</t>
    </r>
  </si>
  <si>
    <r>
      <rPr>
        <b/>
        <sz val="11"/>
        <color rgb="FF000000"/>
        <rFont val="Arial"/>
        <family val="2"/>
      </rPr>
      <t>Note 3:</t>
    </r>
    <r>
      <rPr>
        <sz val="11"/>
        <color rgb="FF000000"/>
        <rFont val="Arial"/>
        <family val="2"/>
      </rPr>
      <t xml:space="preserve"> Spares not included, recommend at least 2%</t>
    </r>
  </si>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</sst>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60"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11"/>
      <color rgb="FF000000"/>
      <name val="Aptos Narrow"/>
      <family val="2"/>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color theme="1"/>
      <name val="Aptos Narrow"/>
      <family val="2"/>
    </font>
    <font>
      <sz val="11"/>
      <name val="Aptos Narrow"/>
      <family val="2"/>
      <scheme val="minor"/>
    </font>
    <font>
      <sz val="9"/>
      <color theme="1"/>
      <name val="Aptos Narrow"/>
      <family val="2"/>
      <scheme val="minor"/>
    </font>
    <font>
      <sz val="8"/>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0"/>
      <color theme="1"/>
      <name val="Aptos Narrow"/>
      <family val="2"/>
      <scheme val="minor"/>
    </font>
    <font>
      <sz val="9"/>
      <color rgb="FF000000"/>
      <name val="Arial"/>
      <family val="2"/>
    </font>
    <font>
      <sz val="11"/>
      <color rgb="FF000000"/>
      <name val="Aptos"/>
      <family val="2"/>
    </font>
    <font>
      <sz val="11"/>
      <color theme="1"/>
      <name val="Aptos"/>
      <family val="2"/>
    </font>
    <font>
      <sz val="10"/>
      <color rgb="FF242424"/>
      <name val="Calibri"/>
      <family val="2"/>
    </font>
    <font>
      <sz val="9"/>
      <color theme="1"/>
      <name val="Arial"/>
      <family val="2"/>
    </font>
    <font>
      <sz val="9"/>
      <color theme="1"/>
      <name val="Wingdings"/>
      <charset val="2"/>
    </font>
    <font>
      <sz val="10"/>
      <color rgb="FF000000"/>
      <name val="Aptos Narrow"/>
      <family val="2"/>
      <scheme val="minor"/>
    </font>
    <font>
      <sz val="11"/>
      <color rgb="FF000000"/>
      <name val="Aptos Narrow"/>
      <family val="2"/>
      <scheme val="minor"/>
    </font>
    <font>
      <sz val="18"/>
      <color theme="1"/>
      <name val="Aptos Narrow"/>
      <family val="2"/>
      <scheme val="minor"/>
    </font>
    <font>
      <sz val="11"/>
      <color rgb="FF000000"/>
      <name val="Calibri"/>
    </font>
    <font>
      <b/>
      <sz val="11"/>
      <name val="Aptos Narrow"/>
      <family val="2"/>
      <scheme val="minor"/>
    </font>
    <font>
      <sz val="11"/>
      <color rgb="FFFF0000"/>
      <name val="Aptos Narrow"/>
      <family val="2"/>
      <scheme val="minor"/>
    </font>
    <font>
      <sz val="12"/>
      <color theme="1"/>
      <name val="Aptos Narrow"/>
      <family val="2"/>
      <scheme val="minor"/>
    </font>
    <font>
      <sz val="12"/>
      <color rgb="FF000000"/>
      <name val="Aptos Narrow"/>
      <family val="2"/>
    </font>
    <font>
      <b/>
      <sz val="28"/>
      <color rgb="FF000000"/>
      <name val="Aptos Narrow"/>
      <family val="2"/>
    </font>
    <font>
      <b/>
      <sz val="16"/>
      <color rgb="FF000000"/>
      <name val="Aptos Narrow"/>
      <family val="2"/>
    </font>
    <font>
      <b/>
      <sz val="22"/>
      <color rgb="FF000000"/>
      <name val="Aptos Narrow"/>
      <family val="2"/>
    </font>
    <font>
      <sz val="14"/>
      <color rgb="FF000000"/>
      <name val="Aptos Narrow"/>
      <family val="2"/>
    </font>
    <font>
      <b/>
      <sz val="14"/>
      <color rgb="FF000000"/>
      <name val="Aptos Narrow"/>
      <family val="2"/>
    </font>
    <font>
      <b/>
      <sz val="11"/>
      <color rgb="FF000000"/>
      <name val="Aptos Narrow"/>
      <family val="2"/>
    </font>
    <font>
      <b/>
      <sz val="11"/>
      <color rgb="FF000000"/>
      <name val="Aptos Narrow"/>
      <family val="2"/>
      <scheme val="minor"/>
    </font>
    <font>
      <sz val="11"/>
      <color rgb="FF000000"/>
      <name val="Arial"/>
      <family val="2"/>
    </font>
    <font>
      <b/>
      <sz val="11"/>
      <color rgb="FF000000"/>
      <name val="Arial"/>
      <family val="2"/>
    </font>
  </fonts>
  <fills count="38">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rgb="FFE2E4FA"/>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E2EFDA"/>
        <bgColor rgb="FF000000"/>
      </patternFill>
    </fill>
    <fill>
      <patternFill patternType="solid">
        <fgColor rgb="FFFFFFFF"/>
        <bgColor rgb="FF000000"/>
      </patternFill>
    </fill>
    <fill>
      <patternFill patternType="solid">
        <fgColor theme="5" tint="0.59999389629810485"/>
        <bgColor indexed="64"/>
      </patternFill>
    </fill>
    <fill>
      <patternFill patternType="solid">
        <fgColor rgb="FFFFFFFF"/>
        <bgColor rgb="FFFFFFFF"/>
      </patternFill>
    </fill>
    <fill>
      <patternFill patternType="solid">
        <fgColor rgb="FFDAE9F8"/>
        <bgColor rgb="FFDAE9F8"/>
      </patternFill>
    </fill>
    <fill>
      <patternFill patternType="solid">
        <fgColor rgb="FFA6C9EC"/>
        <bgColor rgb="FFA6C9EC"/>
      </patternFill>
    </fill>
    <fill>
      <patternFill patternType="solid">
        <fgColor rgb="FFCAEDFB"/>
        <bgColor rgb="FFCAEDFB"/>
      </patternFill>
    </fill>
    <fill>
      <patternFill patternType="solid">
        <fgColor rgb="FFDAF2D0"/>
        <bgColor rgb="FFDAF2D0"/>
      </patternFill>
    </fill>
    <fill>
      <patternFill patternType="solid">
        <fgColor theme="9" tint="0.79998168889431442"/>
        <bgColor rgb="FF000000"/>
      </patternFill>
    </fill>
    <fill>
      <patternFill patternType="solid">
        <fgColor rgb="FFA6C9EC"/>
        <bgColor rgb="FF000000"/>
      </patternFill>
    </fill>
    <fill>
      <patternFill patternType="solid">
        <fgColor rgb="FFCAEDFB"/>
        <bgColor rgb="FF000000"/>
      </patternFill>
    </fill>
    <fill>
      <patternFill patternType="solid">
        <fgColor rgb="FFDAF2D0"/>
        <bgColor rgb="FF000000"/>
      </patternFill>
    </fill>
    <fill>
      <patternFill patternType="solid">
        <fgColor rgb="FFFFFF00"/>
        <bgColor rgb="FF000000"/>
      </patternFill>
    </fill>
    <fill>
      <patternFill patternType="solid">
        <fgColor rgb="FFCCCCCC"/>
        <bgColor rgb="FF000000"/>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bottom style="medium">
        <color indexed="64"/>
      </bottom>
      <diagonal/>
    </border>
    <border>
      <left/>
      <right/>
      <top style="thin">
        <color rgb="FF000000"/>
      </top>
      <bottom style="thin">
        <color rgb="FF000000"/>
      </bottom>
      <diagonal/>
    </border>
    <border>
      <left style="thin">
        <color indexed="64"/>
      </left>
      <right/>
      <top style="medium">
        <color indexed="64"/>
      </top>
      <bottom style="thin">
        <color indexed="64"/>
      </bottom>
      <diagonal/>
    </border>
    <border>
      <left style="thin">
        <color theme="1"/>
      </left>
      <right/>
      <top style="thin">
        <color theme="1"/>
      </top>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Border="0"/>
  </cellStyleXfs>
  <cellXfs count="305">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2" xfId="0" applyFont="1" applyFill="1" applyBorder="1" applyAlignment="1">
      <alignment horizontal="center" vertical="center" wrapText="1" readingOrder="1"/>
    </xf>
    <xf numFmtId="0" fontId="3" fillId="0" borderId="2"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2" xfId="0" applyFont="1" applyBorder="1" applyAlignment="1">
      <alignment horizontal="left" vertical="center" readingOrder="1"/>
    </xf>
    <xf numFmtId="14" fontId="3" fillId="0" borderId="2"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2"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0" fillId="8" borderId="2" xfId="0" applyFont="1" applyFill="1" applyBorder="1"/>
    <xf numFmtId="0" fontId="10" fillId="8" borderId="3"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20" fillId="0" borderId="0" xfId="0" applyFont="1" applyAlignment="1">
      <alignment horizontal="center"/>
    </xf>
    <xf numFmtId="0" fontId="21" fillId="0" borderId="0" xfId="0" applyFont="1"/>
    <xf numFmtId="0" fontId="21" fillId="0" borderId="0" xfId="0" applyFont="1" applyAlignment="1">
      <alignment horizontal="left"/>
    </xf>
    <xf numFmtId="0" fontId="22" fillId="0" borderId="23" xfId="0" applyFont="1" applyBorder="1"/>
    <xf numFmtId="0" fontId="22" fillId="0" borderId="24" xfId="0" applyFont="1" applyBorder="1"/>
    <xf numFmtId="0" fontId="22" fillId="0" borderId="24" xfId="0" applyFont="1" applyBorder="1" applyAlignment="1">
      <alignment horizontal="center"/>
    </xf>
    <xf numFmtId="0" fontId="22" fillId="15" borderId="25" xfId="0" applyFont="1" applyFill="1" applyBorder="1"/>
    <xf numFmtId="0" fontId="22" fillId="15" borderId="0" xfId="0" applyFont="1" applyFill="1"/>
    <xf numFmtId="0" fontId="22" fillId="0" borderId="19" xfId="0" applyFont="1" applyBorder="1"/>
    <xf numFmtId="0" fontId="22" fillId="0" borderId="20" xfId="0" applyFont="1" applyBorder="1" applyAlignment="1">
      <alignment horizontal="center"/>
    </xf>
    <xf numFmtId="0" fontId="22" fillId="0" borderId="21" xfId="0" applyFont="1" applyBorder="1"/>
    <xf numFmtId="0" fontId="22" fillId="0" borderId="0" xfId="0" applyFont="1"/>
    <xf numFmtId="0" fontId="23" fillId="16" borderId="2" xfId="0" applyFont="1" applyFill="1" applyBorder="1" applyAlignment="1">
      <alignment horizontal="center"/>
    </xf>
    <xf numFmtId="0" fontId="0" fillId="0" borderId="0" xfId="0" applyAlignment="1">
      <alignment vertical="center" textRotation="90"/>
    </xf>
    <xf numFmtId="0" fontId="0" fillId="0" borderId="27" xfId="0" applyBorder="1"/>
    <xf numFmtId="0" fontId="24" fillId="15" borderId="2" xfId="0" applyFont="1" applyFill="1" applyBorder="1" applyAlignment="1">
      <alignment vertical="center" wrapText="1"/>
    </xf>
    <xf numFmtId="0" fontId="25" fillId="0" borderId="0" xfId="0" applyFont="1"/>
    <xf numFmtId="3" fontId="24" fillId="0" borderId="0" xfId="0" applyNumberFormat="1" applyFont="1" applyAlignment="1">
      <alignment readingOrder="1"/>
    </xf>
    <xf numFmtId="0" fontId="26" fillId="6" borderId="22" xfId="0" applyFont="1" applyFill="1" applyBorder="1" applyAlignment="1">
      <alignment horizontal="center"/>
    </xf>
    <xf numFmtId="0" fontId="27" fillId="6" borderId="22" xfId="0" applyFont="1" applyFill="1" applyBorder="1" applyAlignment="1">
      <alignment horizontal="center"/>
    </xf>
    <xf numFmtId="0" fontId="26" fillId="6" borderId="2" xfId="0" applyFont="1" applyFill="1" applyBorder="1" applyAlignment="1">
      <alignment horizontal="center"/>
    </xf>
    <xf numFmtId="0" fontId="28" fillId="15" borderId="2" xfId="0" applyFont="1" applyFill="1" applyBorder="1"/>
    <xf numFmtId="0" fontId="25" fillId="15" borderId="2" xfId="0" applyFont="1" applyFill="1" applyBorder="1"/>
    <xf numFmtId="0" fontId="28" fillId="0" borderId="0" xfId="0" applyFont="1"/>
    <xf numFmtId="0" fontId="27" fillId="6" borderId="0" xfId="0" applyFont="1" applyFill="1" applyAlignment="1">
      <alignment horizontal="center"/>
    </xf>
    <xf numFmtId="0" fontId="28" fillId="0" borderId="2" xfId="0" applyFont="1" applyBorder="1"/>
    <xf numFmtId="0" fontId="28" fillId="0" borderId="0" xfId="0" applyFont="1" applyAlignment="1">
      <alignment wrapText="1"/>
    </xf>
    <xf numFmtId="0" fontId="27" fillId="6" borderId="2" xfId="0" applyFont="1" applyFill="1" applyBorder="1" applyAlignment="1">
      <alignment horizontal="center"/>
    </xf>
    <xf numFmtId="0" fontId="29" fillId="0" borderId="2" xfId="0" applyFont="1" applyBorder="1"/>
    <xf numFmtId="0" fontId="25" fillId="0" borderId="2" xfId="0" applyFont="1" applyBorder="1" applyAlignment="1">
      <alignment wrapText="1"/>
    </xf>
    <xf numFmtId="0" fontId="25" fillId="0" borderId="2" xfId="0" applyFont="1" applyBorder="1"/>
    <xf numFmtId="0" fontId="28" fillId="0" borderId="2" xfId="0" applyFont="1" applyBorder="1" applyAlignment="1">
      <alignment wrapText="1"/>
    </xf>
    <xf numFmtId="1" fontId="25" fillId="0" borderId="2" xfId="0" applyNumberFormat="1" applyFont="1" applyBorder="1" applyAlignment="1">
      <alignment wrapText="1"/>
    </xf>
    <xf numFmtId="3" fontId="28" fillId="0" borderId="2" xfId="0" applyNumberFormat="1" applyFont="1" applyBorder="1" applyAlignment="1">
      <alignment wrapText="1"/>
    </xf>
    <xf numFmtId="1" fontId="28" fillId="0" borderId="2" xfId="0" applyNumberFormat="1" applyFont="1" applyBorder="1"/>
    <xf numFmtId="1" fontId="28" fillId="0" borderId="5" xfId="0" applyNumberFormat="1" applyFont="1" applyBorder="1"/>
    <xf numFmtId="3" fontId="28" fillId="0" borderId="2" xfId="0" applyNumberFormat="1" applyFont="1" applyBorder="1"/>
    <xf numFmtId="0" fontId="28" fillId="0" borderId="4" xfId="0" applyFont="1" applyBorder="1"/>
    <xf numFmtId="1" fontId="28" fillId="0" borderId="4" xfId="0" applyNumberFormat="1" applyFont="1" applyBorder="1"/>
    <xf numFmtId="1" fontId="28" fillId="0" borderId="19" xfId="0" applyNumberFormat="1" applyFont="1" applyBorder="1"/>
    <xf numFmtId="0" fontId="24" fillId="0" borderId="0" xfId="0" applyFont="1"/>
    <xf numFmtId="0" fontId="32" fillId="13" borderId="15" xfId="0" applyFont="1" applyFill="1" applyBorder="1" applyAlignment="1">
      <alignment horizontal="center" wrapText="1"/>
    </xf>
    <xf numFmtId="0" fontId="32" fillId="13" borderId="17" xfId="0" applyFont="1" applyFill="1" applyBorder="1" applyAlignment="1">
      <alignment horizontal="center" wrapText="1"/>
    </xf>
    <xf numFmtId="0" fontId="27" fillId="0" borderId="0" xfId="0" applyFont="1"/>
    <xf numFmtId="0" fontId="24" fillId="0" borderId="16" xfId="0" applyFont="1" applyBorder="1" applyAlignment="1">
      <alignment horizontal="center"/>
    </xf>
    <xf numFmtId="0" fontId="24" fillId="0" borderId="18" xfId="0" applyFont="1" applyBorder="1" applyAlignment="1">
      <alignment horizontal="center"/>
    </xf>
    <xf numFmtId="0" fontId="24" fillId="0" borderId="0" xfId="0" applyFont="1" applyAlignment="1">
      <alignment horizontal="center"/>
    </xf>
    <xf numFmtId="0" fontId="34" fillId="0" borderId="2" xfId="0" applyFont="1" applyBorder="1" applyAlignment="1">
      <alignment horizontal="center"/>
    </xf>
    <xf numFmtId="0" fontId="26" fillId="5" borderId="4" xfId="0" applyFont="1" applyFill="1" applyBorder="1" applyAlignment="1">
      <alignment horizontal="center"/>
    </xf>
    <xf numFmtId="0" fontId="26" fillId="5" borderId="4" xfId="0" applyFont="1" applyFill="1" applyBorder="1"/>
    <xf numFmtId="1" fontId="28" fillId="15" borderId="2" xfId="0" applyNumberFormat="1" applyFont="1" applyFill="1" applyBorder="1"/>
    <xf numFmtId="0" fontId="25" fillId="2" borderId="2" xfId="0" applyFont="1" applyFill="1" applyBorder="1" applyAlignment="1">
      <alignment horizontal="center" vertical="center" readingOrder="1"/>
    </xf>
    <xf numFmtId="0" fontId="35" fillId="7" borderId="0" xfId="0" applyFont="1" applyFill="1" applyAlignment="1">
      <alignment vertical="center" wrapText="1"/>
    </xf>
    <xf numFmtId="0" fontId="28" fillId="20" borderId="0" xfId="0" applyFont="1" applyFill="1"/>
    <xf numFmtId="3" fontId="28" fillId="15" borderId="2" xfId="0" applyNumberFormat="1" applyFont="1" applyFill="1" applyBorder="1"/>
    <xf numFmtId="0" fontId="26" fillId="21" borderId="2" xfId="0" applyFont="1" applyFill="1" applyBorder="1" applyAlignment="1">
      <alignment horizontal="center"/>
    </xf>
    <xf numFmtId="0" fontId="27" fillId="21" borderId="2" xfId="0" applyFont="1" applyFill="1" applyBorder="1" applyAlignment="1">
      <alignment horizontal="center"/>
    </xf>
    <xf numFmtId="0" fontId="25" fillId="0" borderId="2" xfId="0" applyFont="1" applyBorder="1" applyAlignment="1">
      <alignment horizontal="center"/>
    </xf>
    <xf numFmtId="0" fontId="0" fillId="0" borderId="0" xfId="0" applyAlignment="1">
      <alignment vertical="center" wrapText="1"/>
    </xf>
    <xf numFmtId="0" fontId="25" fillId="15" borderId="2" xfId="0" applyFont="1" applyFill="1" applyBorder="1" applyAlignment="1">
      <alignment horizontal="left" vertical="center" readingOrder="1"/>
    </xf>
    <xf numFmtId="0" fontId="0" fillId="0" borderId="2" xfId="0" applyBorder="1"/>
    <xf numFmtId="0" fontId="0" fillId="15" borderId="2" xfId="0" applyFill="1" applyBorder="1"/>
    <xf numFmtId="0" fontId="12" fillId="0" borderId="0" xfId="0" applyFont="1"/>
    <xf numFmtId="0" fontId="36" fillId="17" borderId="2" xfId="0" applyFont="1" applyFill="1" applyBorder="1" applyAlignment="1">
      <alignment horizontal="center"/>
    </xf>
    <xf numFmtId="0" fontId="24" fillId="0" borderId="2" xfId="0" applyFont="1" applyBorder="1" applyAlignment="1">
      <alignment readingOrder="1"/>
    </xf>
    <xf numFmtId="0" fontId="24" fillId="0" borderId="2" xfId="0" applyFont="1" applyBorder="1" applyAlignment="1">
      <alignment horizontal="left" vertical="center" wrapText="1" indent="1"/>
    </xf>
    <xf numFmtId="0" fontId="19" fillId="15" borderId="2" xfId="0" applyFont="1" applyFill="1" applyBorder="1" applyAlignment="1">
      <alignment horizontal="left" vertical="center" readingOrder="1"/>
    </xf>
    <xf numFmtId="0" fontId="16" fillId="0" borderId="2" xfId="0" applyFont="1" applyBorder="1" applyAlignment="1">
      <alignment horizontal="left" vertical="top"/>
    </xf>
    <xf numFmtId="0" fontId="11" fillId="0" borderId="2" xfId="0" applyFont="1" applyBorder="1" applyAlignment="1">
      <alignment horizontal="left" vertical="top" readingOrder="1"/>
    </xf>
    <xf numFmtId="0" fontId="37" fillId="0" borderId="2" xfId="0" applyFont="1" applyBorder="1" applyAlignment="1">
      <alignment horizontal="left" vertical="top" readingOrder="1"/>
    </xf>
    <xf numFmtId="0" fontId="38" fillId="7" borderId="2" xfId="0" applyFont="1" applyFill="1" applyBorder="1" applyAlignment="1">
      <alignment vertical="center" wrapText="1"/>
    </xf>
    <xf numFmtId="0" fontId="38" fillId="7" borderId="3" xfId="0" applyFont="1" applyFill="1" applyBorder="1" applyAlignment="1">
      <alignment vertical="center" wrapText="1"/>
    </xf>
    <xf numFmtId="0" fontId="38" fillId="7" borderId="28" xfId="0" applyFont="1" applyFill="1" applyBorder="1" applyAlignment="1">
      <alignment horizontal="left" vertical="center" wrapText="1"/>
    </xf>
    <xf numFmtId="1" fontId="28" fillId="0" borderId="0" xfId="0" applyNumberFormat="1" applyFont="1"/>
    <xf numFmtId="0" fontId="21" fillId="0" borderId="0" xfId="0" applyFont="1" applyAlignment="1">
      <alignment horizontal="center"/>
    </xf>
    <xf numFmtId="0" fontId="38" fillId="7" borderId="29" xfId="0" applyFont="1" applyFill="1" applyBorder="1" applyAlignment="1">
      <alignment vertical="center" wrapText="1"/>
    </xf>
    <xf numFmtId="0" fontId="39" fillId="7" borderId="2" xfId="0" applyFont="1" applyFill="1" applyBorder="1" applyAlignment="1">
      <alignment vertical="center" wrapText="1"/>
    </xf>
    <xf numFmtId="0" fontId="39" fillId="7" borderId="3" xfId="0" applyFont="1" applyFill="1" applyBorder="1" applyAlignment="1">
      <alignment vertical="center" wrapText="1"/>
    </xf>
    <xf numFmtId="0" fontId="20" fillId="15" borderId="2" xfId="0" applyFont="1" applyFill="1" applyBorder="1" applyAlignment="1">
      <alignment horizontal="left" vertical="top" wrapText="1"/>
    </xf>
    <xf numFmtId="0" fontId="20" fillId="0" borderId="0" xfId="0" applyFont="1" applyAlignment="1">
      <alignment horizontal="left" vertical="top" wrapText="1"/>
    </xf>
    <xf numFmtId="0" fontId="24" fillId="15" borderId="2" xfId="0" applyFont="1" applyFill="1" applyBorder="1" applyAlignment="1">
      <alignment readingOrder="1"/>
    </xf>
    <xf numFmtId="0" fontId="17" fillId="0" borderId="2" xfId="0" applyFont="1" applyBorder="1"/>
    <xf numFmtId="0" fontId="25" fillId="0" borderId="2" xfId="0" applyFont="1" applyBorder="1" applyAlignment="1">
      <alignment vertical="center"/>
    </xf>
    <xf numFmtId="0" fontId="24" fillId="0" borderId="2" xfId="0" applyFont="1" applyBorder="1" applyAlignment="1">
      <alignment vertical="center"/>
    </xf>
    <xf numFmtId="0" fontId="40" fillId="0" borderId="2" xfId="0" applyFont="1" applyBorder="1"/>
    <xf numFmtId="0" fontId="25" fillId="0" borderId="2" xfId="0" applyFont="1" applyBorder="1" applyAlignment="1">
      <alignment horizontal="center" vertical="center"/>
    </xf>
    <xf numFmtId="0" fontId="40" fillId="0" borderId="2" xfId="0" applyFont="1" applyBorder="1" applyAlignment="1">
      <alignment horizontal="center"/>
    </xf>
    <xf numFmtId="0" fontId="25" fillId="0" borderId="2" xfId="0" applyFont="1" applyBorder="1" applyAlignment="1">
      <alignment horizontal="center" vertical="center" wrapText="1"/>
    </xf>
    <xf numFmtId="3" fontId="25" fillId="0" borderId="2" xfId="0" applyNumberFormat="1" applyFont="1" applyBorder="1" applyAlignment="1">
      <alignment horizontal="center" vertical="center" wrapText="1"/>
    </xf>
    <xf numFmtId="3" fontId="25" fillId="0" borderId="2" xfId="0" applyNumberFormat="1" applyFont="1" applyBorder="1" applyAlignment="1">
      <alignment horizontal="center" vertical="center"/>
    </xf>
    <xf numFmtId="3" fontId="24" fillId="0" borderId="2" xfId="0" applyNumberFormat="1" applyFont="1" applyBorder="1" applyAlignment="1">
      <alignment horizontal="center" vertical="center"/>
    </xf>
    <xf numFmtId="1" fontId="25" fillId="15" borderId="2" xfId="0" applyNumberFormat="1" applyFont="1" applyFill="1" applyBorder="1"/>
    <xf numFmtId="0" fontId="43" fillId="25" borderId="2" xfId="0" applyFont="1" applyFill="1" applyBorder="1" applyAlignment="1">
      <alignment horizontal="left"/>
    </xf>
    <xf numFmtId="0" fontId="44" fillId="25" borderId="2" xfId="0" applyFont="1" applyFill="1" applyBorder="1" applyAlignment="1">
      <alignment horizontal="left"/>
    </xf>
    <xf numFmtId="0" fontId="38" fillId="25" borderId="2" xfId="0" applyFont="1" applyFill="1" applyBorder="1" applyAlignment="1">
      <alignment horizontal="left" vertical="center" wrapText="1"/>
    </xf>
    <xf numFmtId="0" fontId="0" fillId="26" borderId="0" xfId="0" applyFill="1" applyAlignment="1">
      <alignment horizontal="center"/>
    </xf>
    <xf numFmtId="0" fontId="26" fillId="6" borderId="5" xfId="0" applyFont="1" applyFill="1" applyBorder="1" applyAlignment="1">
      <alignment horizontal="center"/>
    </xf>
    <xf numFmtId="0" fontId="28" fillId="0" borderId="6" xfId="0" applyFont="1" applyBorder="1"/>
    <xf numFmtId="0" fontId="16" fillId="0" borderId="5" xfId="0" applyFont="1" applyBorder="1" applyAlignment="1">
      <alignment horizontal="left" vertical="top"/>
    </xf>
    <xf numFmtId="0" fontId="28" fillId="0" borderId="5" xfId="0" applyFont="1" applyBorder="1" applyAlignment="1">
      <alignment wrapText="1"/>
    </xf>
    <xf numFmtId="0" fontId="28" fillId="0" borderId="5" xfId="0" applyFont="1" applyBorder="1"/>
    <xf numFmtId="0" fontId="28" fillId="20" borderId="5" xfId="0" applyFont="1" applyFill="1" applyBorder="1"/>
    <xf numFmtId="0" fontId="38" fillId="7" borderId="31" xfId="0" applyFont="1" applyFill="1" applyBorder="1" applyAlignment="1">
      <alignment horizontal="left" vertical="center" wrapText="1" indent="1"/>
    </xf>
    <xf numFmtId="0" fontId="26" fillId="6" borderId="23" xfId="0" applyFont="1" applyFill="1" applyBorder="1" applyAlignment="1">
      <alignment horizontal="center"/>
    </xf>
    <xf numFmtId="0" fontId="28" fillId="0" borderId="19" xfId="0" applyFont="1" applyBorder="1"/>
    <xf numFmtId="0" fontId="28" fillId="20" borderId="6" xfId="0" applyFont="1" applyFill="1" applyBorder="1"/>
    <xf numFmtId="0" fontId="28" fillId="15" borderId="5" xfId="0" applyFont="1" applyFill="1" applyBorder="1"/>
    <xf numFmtId="0" fontId="0" fillId="0" borderId="5" xfId="0" applyBorder="1" applyAlignment="1">
      <alignment vertical="center" wrapText="1"/>
    </xf>
    <xf numFmtId="0" fontId="26" fillId="21" borderId="6" xfId="0" applyFont="1" applyFill="1" applyBorder="1" applyAlignment="1">
      <alignment horizontal="center"/>
    </xf>
    <xf numFmtId="0" fontId="13" fillId="15" borderId="6" xfId="0" applyFont="1" applyFill="1" applyBorder="1" applyAlignment="1">
      <alignment horizontal="left" vertical="top" wrapText="1"/>
    </xf>
    <xf numFmtId="0" fontId="28" fillId="15" borderId="32" xfId="0" applyFont="1" applyFill="1" applyBorder="1"/>
    <xf numFmtId="0" fontId="26" fillId="0" borderId="19" xfId="0" applyFont="1" applyBorder="1" applyAlignment="1">
      <alignment horizontal="center"/>
    </xf>
    <xf numFmtId="0" fontId="25" fillId="0" borderId="5" xfId="0" applyFont="1" applyBorder="1"/>
    <xf numFmtId="0" fontId="15" fillId="6" borderId="2" xfId="0" applyFont="1" applyFill="1" applyBorder="1" applyAlignment="1">
      <alignment horizontal="center"/>
    </xf>
    <xf numFmtId="0" fontId="12" fillId="0" borderId="2" xfId="0" applyFont="1" applyBorder="1" applyAlignment="1">
      <alignment horizontal="center"/>
    </xf>
    <xf numFmtId="0" fontId="21" fillId="0" borderId="2" xfId="0" applyFont="1" applyBorder="1" applyAlignment="1">
      <alignment horizontal="center"/>
    </xf>
    <xf numFmtId="0" fontId="16" fillId="0" borderId="2" xfId="0" applyFont="1" applyBorder="1" applyAlignment="1">
      <alignment horizontal="left" vertical="top" wrapText="1"/>
    </xf>
    <xf numFmtId="0" fontId="16" fillId="0" borderId="2" xfId="0" applyFont="1" applyBorder="1" applyAlignment="1">
      <alignment horizontal="center"/>
    </xf>
    <xf numFmtId="0" fontId="17" fillId="0" borderId="2" xfId="0" applyFont="1" applyBorder="1" applyAlignment="1">
      <alignment horizontal="center"/>
    </xf>
    <xf numFmtId="0" fontId="16" fillId="0" borderId="2" xfId="0" applyFont="1" applyBorder="1" applyAlignment="1">
      <alignment horizontal="center" wrapText="1"/>
    </xf>
    <xf numFmtId="0" fontId="18" fillId="0" borderId="2" xfId="0" applyFont="1" applyBorder="1" applyAlignment="1">
      <alignment horizontal="center" wrapText="1"/>
    </xf>
    <xf numFmtId="0" fontId="18" fillId="0" borderId="2" xfId="0" applyFont="1" applyBorder="1" applyAlignment="1">
      <alignment horizontal="center"/>
    </xf>
    <xf numFmtId="0" fontId="0" fillId="0" borderId="2" xfId="0" applyBorder="1" applyAlignment="1">
      <alignment horizontal="center"/>
    </xf>
    <xf numFmtId="0" fontId="2" fillId="0" borderId="2" xfId="0" applyFont="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25" fillId="0" borderId="2" xfId="0" applyFont="1" applyBorder="1" applyAlignment="1">
      <alignment vertical="center" wrapText="1"/>
    </xf>
    <xf numFmtId="0" fontId="41" fillId="0" borderId="2" xfId="0" applyFont="1" applyBorder="1" applyAlignment="1">
      <alignment horizontal="center" vertical="center" wrapText="1"/>
    </xf>
    <xf numFmtId="0" fontId="41" fillId="0" borderId="2" xfId="0" applyFont="1" applyBorder="1" applyAlignment="1">
      <alignment horizontal="center" wrapText="1"/>
    </xf>
    <xf numFmtId="0" fontId="0" fillId="2" borderId="2" xfId="0" applyFill="1" applyBorder="1" applyAlignment="1">
      <alignment horizontal="center"/>
    </xf>
    <xf numFmtId="0" fontId="45" fillId="0" borderId="0" xfId="0" applyFont="1"/>
    <xf numFmtId="0" fontId="0" fillId="0" borderId="22" xfId="0" applyBorder="1" applyAlignment="1">
      <alignment vertical="center" textRotation="90"/>
    </xf>
    <xf numFmtId="0" fontId="0" fillId="0" borderId="26" xfId="0" applyBorder="1" applyAlignment="1">
      <alignment vertical="center" textRotation="90"/>
    </xf>
    <xf numFmtId="0" fontId="0" fillId="0" borderId="4" xfId="0" applyBorder="1" applyAlignment="1">
      <alignment vertical="center" textRotation="90"/>
    </xf>
    <xf numFmtId="0" fontId="0" fillId="0" borderId="4" xfId="0" applyBorder="1" applyAlignment="1">
      <alignment vertical="center"/>
    </xf>
    <xf numFmtId="0" fontId="0" fillId="0" borderId="4" xfId="0" applyBorder="1"/>
    <xf numFmtId="0" fontId="0" fillId="0" borderId="0" xfId="0" applyAlignment="1">
      <alignment vertical="center"/>
    </xf>
    <xf numFmtId="0" fontId="0" fillId="0" borderId="4" xfId="0" applyBorder="1" applyAlignment="1">
      <alignment vertical="center" wrapText="1"/>
    </xf>
    <xf numFmtId="0" fontId="47" fillId="0" borderId="0" xfId="0" applyFont="1"/>
    <xf numFmtId="0" fontId="21" fillId="0" borderId="0" xfId="0" applyFont="1" applyAlignment="1">
      <alignment wrapText="1"/>
    </xf>
    <xf numFmtId="0" fontId="29" fillId="0" borderId="2" xfId="0" applyFont="1" applyBorder="1" applyAlignment="1">
      <alignment vertical="center" wrapText="1"/>
    </xf>
    <xf numFmtId="0" fontId="29" fillId="0" borderId="2" xfId="0" applyFont="1" applyBorder="1" applyAlignment="1">
      <alignment horizontal="center" vertical="center" wrapText="1"/>
    </xf>
    <xf numFmtId="0" fontId="29" fillId="0" borderId="2" xfId="0" applyFont="1" applyBorder="1" applyAlignment="1">
      <alignment horizontal="center" vertical="center"/>
    </xf>
    <xf numFmtId="0" fontId="29" fillId="0" borderId="5" xfId="0" applyFont="1" applyBorder="1"/>
    <xf numFmtId="0" fontId="0" fillId="5" borderId="2" xfId="0" applyFill="1" applyBorder="1" applyAlignment="1">
      <alignment horizontal="center"/>
    </xf>
    <xf numFmtId="0" fontId="0" fillId="15" borderId="0" xfId="0" applyFill="1" applyAlignment="1">
      <alignment horizontal="center"/>
    </xf>
    <xf numFmtId="0" fontId="49" fillId="15" borderId="0" xfId="0" applyFont="1" applyFill="1" applyAlignment="1">
      <alignment horizontal="center"/>
    </xf>
    <xf numFmtId="0" fontId="0" fillId="15" borderId="0" xfId="0" applyFill="1"/>
    <xf numFmtId="0" fontId="13" fillId="25" borderId="0" xfId="0" applyFont="1" applyFill="1"/>
    <xf numFmtId="0" fontId="50" fillId="25" borderId="0" xfId="0" applyFont="1" applyFill="1"/>
    <xf numFmtId="0" fontId="51" fillId="25" borderId="0" xfId="0" applyFont="1" applyFill="1"/>
    <xf numFmtId="0" fontId="51" fillId="21" borderId="0" xfId="0" applyFont="1" applyFill="1"/>
    <xf numFmtId="0" fontId="52" fillId="25" borderId="0" xfId="0" applyFont="1" applyFill="1" applyAlignment="1">
      <alignment horizontal="center" vertical="center"/>
    </xf>
    <xf numFmtId="0" fontId="13" fillId="25" borderId="0" xfId="0" applyFont="1" applyFill="1" applyAlignment="1">
      <alignment vertical="center"/>
    </xf>
    <xf numFmtId="0" fontId="13" fillId="27" borderId="0" xfId="0" applyFont="1" applyFill="1"/>
    <xf numFmtId="0" fontId="52" fillId="25" borderId="0" xfId="0" applyFont="1" applyFill="1"/>
    <xf numFmtId="0" fontId="52" fillId="27" borderId="0" xfId="0" applyFont="1" applyFill="1" applyAlignment="1">
      <alignment horizontal="center" vertical="center"/>
    </xf>
    <xf numFmtId="0" fontId="13" fillId="28" borderId="5" xfId="0" applyFont="1" applyFill="1" applyBorder="1" applyAlignment="1">
      <alignment horizontal="center" vertical="center"/>
    </xf>
    <xf numFmtId="0" fontId="50" fillId="29" borderId="2" xfId="0" applyFont="1" applyFill="1" applyBorder="1" applyAlignment="1">
      <alignment horizontal="center" vertical="center"/>
    </xf>
    <xf numFmtId="0" fontId="13" fillId="27" borderId="0" xfId="0" applyFont="1" applyFill="1" applyAlignment="1">
      <alignment horizontal="center" vertical="center"/>
    </xf>
    <xf numFmtId="0" fontId="50" fillId="27" borderId="0" xfId="0" applyFont="1" applyFill="1" applyAlignment="1">
      <alignment horizontal="center" vertical="center"/>
    </xf>
    <xf numFmtId="0" fontId="13" fillId="28" borderId="19" xfId="0" applyFont="1" applyFill="1" applyBorder="1" applyAlignment="1">
      <alignment horizontal="center" vertical="center"/>
    </xf>
    <xf numFmtId="0" fontId="50" fillId="27" borderId="2" xfId="0" applyFont="1" applyFill="1" applyBorder="1" applyAlignment="1">
      <alignment horizontal="center" vertical="center" wrapText="1"/>
    </xf>
    <xf numFmtId="0" fontId="50" fillId="27" borderId="0" xfId="0" applyFont="1" applyFill="1" applyAlignment="1">
      <alignment horizontal="center" vertical="center" wrapText="1"/>
    </xf>
    <xf numFmtId="0" fontId="50" fillId="30" borderId="22" xfId="0" applyFont="1" applyFill="1" applyBorder="1" applyAlignment="1">
      <alignment horizontal="center" vertical="center"/>
    </xf>
    <xf numFmtId="0" fontId="50" fillId="30" borderId="4" xfId="0" applyFont="1" applyFill="1" applyBorder="1" applyAlignment="1">
      <alignment horizontal="center" vertical="center"/>
    </xf>
    <xf numFmtId="0" fontId="50" fillId="31" borderId="22" xfId="0" applyFont="1" applyFill="1" applyBorder="1" applyAlignment="1">
      <alignment horizontal="center" vertical="center" wrapText="1"/>
    </xf>
    <xf numFmtId="0" fontId="13" fillId="25" borderId="0" xfId="0" applyFont="1" applyFill="1" applyAlignment="1">
      <alignment horizontal="center" vertical="center"/>
    </xf>
    <xf numFmtId="0" fontId="50" fillId="31" borderId="26" xfId="0" applyFont="1" applyFill="1" applyBorder="1" applyAlignment="1">
      <alignment horizontal="center" vertical="center" wrapText="1"/>
    </xf>
    <xf numFmtId="0" fontId="50" fillId="31" borderId="4" xfId="0" applyFont="1" applyFill="1" applyBorder="1" applyAlignment="1">
      <alignment horizontal="center" vertical="center" wrapText="1"/>
    </xf>
    <xf numFmtId="0" fontId="50" fillId="31" borderId="26" xfId="0" applyFont="1" applyFill="1" applyBorder="1" applyAlignment="1">
      <alignment horizontal="center" vertical="center"/>
    </xf>
    <xf numFmtId="0" fontId="50" fillId="31" borderId="4" xfId="0" applyFont="1" applyFill="1" applyBorder="1" applyAlignment="1">
      <alignment horizontal="center" vertical="center"/>
    </xf>
    <xf numFmtId="0" fontId="13" fillId="21" borderId="0" xfId="0" applyFont="1" applyFill="1"/>
    <xf numFmtId="0" fontId="50" fillId="31" borderId="4" xfId="0" applyFont="1" applyFill="1" applyBorder="1" applyAlignment="1">
      <alignment vertical="center"/>
    </xf>
    <xf numFmtId="0" fontId="50" fillId="27" borderId="0" xfId="0" applyFont="1" applyFill="1" applyAlignment="1">
      <alignment vertical="center"/>
    </xf>
    <xf numFmtId="0" fontId="13" fillId="25" borderId="0" xfId="0" applyFont="1" applyFill="1" applyAlignment="1">
      <alignment horizontal="center"/>
    </xf>
    <xf numFmtId="0" fontId="13" fillId="27" borderId="0" xfId="0" applyFont="1" applyFill="1" applyAlignment="1">
      <alignment horizontal="center"/>
    </xf>
    <xf numFmtId="0" fontId="52" fillId="25" borderId="0" xfId="0" applyFont="1" applyFill="1" applyAlignment="1">
      <alignment horizontal="center"/>
    </xf>
    <xf numFmtId="0" fontId="52" fillId="27" borderId="0" xfId="0" applyFont="1" applyFill="1" applyAlignment="1">
      <alignment horizontal="center"/>
    </xf>
    <xf numFmtId="0" fontId="54" fillId="25" borderId="0" xfId="0" applyFont="1" applyFill="1"/>
    <xf numFmtId="0" fontId="54" fillId="25" borderId="2" xfId="0" applyFont="1" applyFill="1" applyBorder="1" applyAlignment="1">
      <alignment horizontal="center"/>
    </xf>
    <xf numFmtId="0" fontId="54" fillId="25" borderId="0" xfId="0" applyFont="1" applyFill="1" applyAlignment="1">
      <alignment horizontal="center"/>
    </xf>
    <xf numFmtId="0" fontId="54" fillId="27" borderId="0" xfId="0" applyFont="1" applyFill="1" applyAlignment="1">
      <alignment horizontal="center"/>
    </xf>
    <xf numFmtId="0" fontId="54" fillId="25" borderId="2" xfId="0" applyFont="1" applyFill="1" applyBorder="1"/>
    <xf numFmtId="3" fontId="55" fillId="25" borderId="3" xfId="0" applyNumberFormat="1" applyFont="1" applyFill="1" applyBorder="1"/>
    <xf numFmtId="0" fontId="54" fillId="25" borderId="4" xfId="0" applyFont="1" applyFill="1" applyBorder="1" applyAlignment="1">
      <alignment horizontal="center"/>
    </xf>
    <xf numFmtId="0" fontId="54" fillId="25" borderId="4" xfId="0" applyFont="1" applyFill="1" applyBorder="1"/>
    <xf numFmtId="0" fontId="54" fillId="32" borderId="4" xfId="0" applyFont="1" applyFill="1" applyBorder="1" applyAlignment="1">
      <alignment horizontal="center"/>
    </xf>
    <xf numFmtId="3" fontId="55" fillId="32" borderId="2" xfId="0" applyNumberFormat="1" applyFont="1" applyFill="1" applyBorder="1"/>
    <xf numFmtId="3" fontId="54" fillId="25" borderId="4" xfId="0" applyNumberFormat="1" applyFont="1" applyFill="1" applyBorder="1" applyAlignment="1">
      <alignment horizontal="center"/>
    </xf>
    <xf numFmtId="3" fontId="54" fillId="27" borderId="0" xfId="0" applyNumberFormat="1" applyFont="1" applyFill="1" applyAlignment="1">
      <alignment horizontal="center"/>
    </xf>
    <xf numFmtId="0" fontId="56" fillId="25" borderId="0" xfId="0" applyFont="1" applyFill="1"/>
    <xf numFmtId="0" fontId="13" fillId="33" borderId="2" xfId="0" applyFont="1" applyFill="1" applyBorder="1"/>
    <xf numFmtId="0" fontId="13" fillId="33" borderId="3" xfId="0" applyFont="1" applyFill="1" applyBorder="1"/>
    <xf numFmtId="0" fontId="13" fillId="34" borderId="4" xfId="0" applyFont="1" applyFill="1" applyBorder="1"/>
    <xf numFmtId="0" fontId="13" fillId="34" borderId="21" xfId="0" applyFont="1" applyFill="1" applyBorder="1"/>
    <xf numFmtId="0" fontId="13" fillId="35" borderId="4" xfId="0" applyFont="1" applyFill="1" applyBorder="1"/>
    <xf numFmtId="0" fontId="13" fillId="35" borderId="21" xfId="0" applyFont="1" applyFill="1" applyBorder="1"/>
    <xf numFmtId="0" fontId="57" fillId="36" borderId="34" xfId="0" applyFont="1" applyFill="1" applyBorder="1"/>
    <xf numFmtId="0" fontId="44" fillId="0" borderId="0" xfId="0" applyFont="1"/>
    <xf numFmtId="0" fontId="47" fillId="37" borderId="35" xfId="0" applyFont="1" applyFill="1" applyBorder="1" applyAlignment="1">
      <alignment horizontal="left" vertical="center" wrapText="1" readingOrder="1"/>
    </xf>
    <xf numFmtId="0" fontId="47" fillId="37" borderId="35" xfId="0" applyFont="1" applyFill="1" applyBorder="1" applyAlignment="1">
      <alignment horizontal="center" vertical="center" wrapText="1" readingOrder="1"/>
    </xf>
    <xf numFmtId="0" fontId="21" fillId="25" borderId="35" xfId="0" applyFont="1" applyFill="1" applyBorder="1" applyAlignment="1">
      <alignment horizontal="left" vertical="center" wrapText="1" readingOrder="1"/>
    </xf>
    <xf numFmtId="0" fontId="0" fillId="15" borderId="35" xfId="0" applyFill="1" applyBorder="1" applyAlignment="1">
      <alignment horizontal="center"/>
    </xf>
    <xf numFmtId="0" fontId="21" fillId="25" borderId="35" xfId="0" applyFont="1" applyFill="1" applyBorder="1" applyAlignment="1">
      <alignment horizontal="center" vertical="center" wrapText="1" readingOrder="1"/>
    </xf>
    <xf numFmtId="0" fontId="21" fillId="0" borderId="35" xfId="0" applyFont="1" applyBorder="1" applyAlignment="1">
      <alignment horizontal="left" vertical="center" wrapText="1" readingOrder="1"/>
    </xf>
    <xf numFmtId="0" fontId="21" fillId="21" borderId="35" xfId="0" applyFont="1" applyFill="1" applyBorder="1" applyAlignment="1">
      <alignment horizontal="center" vertical="center" wrapText="1" readingOrder="1"/>
    </xf>
    <xf numFmtId="0" fontId="21" fillId="0" borderId="35" xfId="0" applyFont="1" applyBorder="1" applyAlignment="1">
      <alignment horizontal="center" vertical="center" wrapText="1" readingOrder="1"/>
    </xf>
    <xf numFmtId="0" fontId="44" fillId="0" borderId="35" xfId="0" applyFont="1" applyBorder="1" applyAlignment="1">
      <alignment horizontal="left" vertical="center"/>
    </xf>
    <xf numFmtId="0" fontId="21" fillId="21" borderId="35" xfId="0" applyFont="1" applyFill="1" applyBorder="1" applyAlignment="1">
      <alignment horizontal="center" vertical="center"/>
    </xf>
    <xf numFmtId="0" fontId="21" fillId="0" borderId="35" xfId="0" applyFont="1" applyBorder="1" applyAlignment="1">
      <alignment horizontal="center" vertical="center"/>
    </xf>
    <xf numFmtId="0" fontId="44" fillId="21" borderId="35" xfId="0" applyFont="1" applyFill="1" applyBorder="1" applyAlignment="1">
      <alignment horizontal="center" vertical="center" wrapText="1"/>
    </xf>
    <xf numFmtId="0" fontId="21" fillId="21" borderId="35" xfId="0" applyFont="1" applyFill="1" applyBorder="1" applyAlignment="1">
      <alignment horizontal="center" wrapText="1"/>
    </xf>
    <xf numFmtId="0" fontId="21" fillId="0" borderId="35" xfId="0" applyFont="1" applyBorder="1" applyAlignment="1">
      <alignment horizontal="center"/>
    </xf>
    <xf numFmtId="0" fontId="44" fillId="25" borderId="35" xfId="0" applyFont="1" applyFill="1" applyBorder="1" applyAlignment="1">
      <alignment horizontal="center" wrapText="1"/>
    </xf>
    <xf numFmtId="0" fontId="44" fillId="0" borderId="35" xfId="0" applyFont="1" applyBorder="1" applyAlignment="1">
      <alignment horizontal="center"/>
    </xf>
    <xf numFmtId="0" fontId="58" fillId="15" borderId="0" xfId="0" applyFont="1" applyFill="1"/>
    <xf numFmtId="0" fontId="48" fillId="15" borderId="0" xfId="0" applyFont="1" applyFill="1"/>
    <xf numFmtId="0" fontId="38" fillId="7" borderId="2" xfId="0" applyFont="1" applyFill="1" applyBorder="1" applyAlignment="1">
      <alignment horizontal="center" vertical="center" wrapText="1"/>
    </xf>
    <xf numFmtId="0" fontId="6" fillId="0" borderId="0" xfId="0" applyFont="1" applyAlignment="1">
      <alignment horizontal="right" vertical="center" indent="1" readingOrder="1"/>
    </xf>
    <xf numFmtId="0" fontId="6" fillId="0" borderId="0" xfId="0" applyFont="1" applyAlignment="1">
      <alignment horizontal="right" indent="1"/>
    </xf>
    <xf numFmtId="0" fontId="26" fillId="10" borderId="30" xfId="0" applyFont="1" applyFill="1" applyBorder="1" applyAlignment="1">
      <alignment horizontal="center"/>
    </xf>
    <xf numFmtId="0" fontId="26" fillId="10" borderId="0" xfId="0" applyFont="1" applyFill="1" applyAlignment="1">
      <alignment horizontal="center"/>
    </xf>
    <xf numFmtId="0" fontId="0" fillId="0" borderId="0" xfId="0"/>
    <xf numFmtId="0" fontId="26" fillId="11" borderId="2" xfId="0" applyFont="1" applyFill="1" applyBorder="1" applyAlignment="1">
      <alignment horizontal="center"/>
    </xf>
    <xf numFmtId="0" fontId="26" fillId="11" borderId="5" xfId="0" applyFont="1" applyFill="1" applyBorder="1" applyAlignment="1">
      <alignment horizontal="center"/>
    </xf>
    <xf numFmtId="0" fontId="26" fillId="10" borderId="2" xfId="0" applyFont="1" applyFill="1" applyBorder="1" applyAlignment="1">
      <alignment horizontal="center"/>
    </xf>
    <xf numFmtId="0" fontId="26" fillId="10" borderId="5" xfId="0" applyFont="1" applyFill="1" applyBorder="1" applyAlignment="1">
      <alignment horizontal="center"/>
    </xf>
    <xf numFmtId="0" fontId="26" fillId="10" borderId="19" xfId="0" applyFont="1" applyFill="1" applyBorder="1" applyAlignment="1">
      <alignment horizontal="center"/>
    </xf>
    <xf numFmtId="0" fontId="26" fillId="10" borderId="20" xfId="0" applyFont="1" applyFill="1" applyBorder="1" applyAlignment="1">
      <alignment horizontal="center"/>
    </xf>
    <xf numFmtId="0" fontId="26" fillId="10" borderId="6" xfId="0" applyFont="1" applyFill="1" applyBorder="1" applyAlignment="1">
      <alignment horizontal="center"/>
    </xf>
    <xf numFmtId="0" fontId="26" fillId="12" borderId="2" xfId="0" applyFont="1" applyFill="1" applyBorder="1" applyAlignment="1">
      <alignment horizontal="center"/>
    </xf>
    <xf numFmtId="0" fontId="26" fillId="12" borderId="5" xfId="0" applyFont="1" applyFill="1" applyBorder="1" applyAlignment="1">
      <alignment horizontal="center"/>
    </xf>
    <xf numFmtId="0" fontId="26" fillId="0" borderId="7" xfId="0" applyFont="1" applyBorder="1" applyAlignment="1">
      <alignment horizontal="center"/>
    </xf>
    <xf numFmtId="0" fontId="26" fillId="0" borderId="8" xfId="0" applyFont="1" applyBorder="1" applyAlignment="1">
      <alignment horizontal="center"/>
    </xf>
    <xf numFmtId="0" fontId="26" fillId="0" borderId="33" xfId="0" applyFont="1" applyBorder="1" applyAlignment="1">
      <alignment horizontal="center"/>
    </xf>
    <xf numFmtId="0" fontId="26" fillId="11" borderId="6" xfId="0" applyFont="1" applyFill="1" applyBorder="1" applyAlignment="1">
      <alignment horizontal="center"/>
    </xf>
    <xf numFmtId="0" fontId="26" fillId="11" borderId="19" xfId="0" applyFont="1" applyFill="1" applyBorder="1" applyAlignment="1">
      <alignment horizontal="center"/>
    </xf>
    <xf numFmtId="0" fontId="26" fillId="11" borderId="20" xfId="0" applyFont="1" applyFill="1" applyBorder="1" applyAlignment="1">
      <alignment horizontal="center"/>
    </xf>
    <xf numFmtId="0" fontId="26" fillId="21" borderId="2" xfId="0" applyFont="1" applyFill="1" applyBorder="1" applyAlignment="1">
      <alignment horizontal="center"/>
    </xf>
    <xf numFmtId="0" fontId="26" fillId="21" borderId="5" xfId="0" applyFont="1" applyFill="1" applyBorder="1" applyAlignment="1">
      <alignment horizontal="center"/>
    </xf>
    <xf numFmtId="0" fontId="24" fillId="14" borderId="10" xfId="0" applyFont="1" applyFill="1" applyBorder="1" applyAlignment="1">
      <alignment horizontal="center" vertical="center"/>
    </xf>
    <xf numFmtId="0" fontId="24" fillId="14" borderId="11" xfId="0" applyFont="1" applyFill="1" applyBorder="1" applyAlignment="1">
      <alignment horizontal="center" vertical="center"/>
    </xf>
    <xf numFmtId="0" fontId="32" fillId="13" borderId="7" xfId="0" applyFont="1" applyFill="1" applyBorder="1" applyAlignment="1">
      <alignment horizontal="center" wrapText="1"/>
    </xf>
    <xf numFmtId="0" fontId="32" fillId="13" borderId="8" xfId="0" applyFont="1" applyFill="1" applyBorder="1" applyAlignment="1">
      <alignment horizontal="center" wrapText="1"/>
    </xf>
    <xf numFmtId="0" fontId="32" fillId="13" borderId="9" xfId="0" applyFont="1" applyFill="1" applyBorder="1" applyAlignment="1">
      <alignment horizontal="center" wrapText="1"/>
    </xf>
    <xf numFmtId="0" fontId="24" fillId="0" borderId="12" xfId="0" applyFont="1" applyBorder="1" applyAlignment="1">
      <alignment horizontal="center"/>
    </xf>
    <xf numFmtId="0" fontId="24" fillId="0" borderId="13" xfId="0" applyFont="1" applyBorder="1" applyAlignment="1">
      <alignment horizontal="center"/>
    </xf>
    <xf numFmtId="0" fontId="24" fillId="0" borderId="14" xfId="0" applyFont="1" applyBorder="1" applyAlignment="1">
      <alignment horizontal="center"/>
    </xf>
    <xf numFmtId="0" fontId="27" fillId="0" borderId="0" xfId="0" applyFont="1" applyAlignment="1">
      <alignment horizontal="left" wrapText="1"/>
    </xf>
    <xf numFmtId="0" fontId="27" fillId="0" borderId="0" xfId="0" applyFont="1" applyAlignment="1">
      <alignment horizontal="left"/>
    </xf>
    <xf numFmtId="0" fontId="0" fillId="0" borderId="22" xfId="0" applyBorder="1" applyAlignment="1">
      <alignment vertical="center" textRotation="90"/>
    </xf>
    <xf numFmtId="0" fontId="0" fillId="0" borderId="26" xfId="0" applyBorder="1" applyAlignment="1">
      <alignment vertical="center" textRotation="90"/>
    </xf>
    <xf numFmtId="0" fontId="0" fillId="0" borderId="4" xfId="0" applyBorder="1" applyAlignment="1">
      <alignment vertical="center" textRotation="90"/>
    </xf>
    <xf numFmtId="0" fontId="46" fillId="24" borderId="22" xfId="0" applyFont="1" applyFill="1" applyBorder="1" applyAlignment="1">
      <alignment horizontal="center" vertical="center"/>
    </xf>
    <xf numFmtId="0" fontId="0" fillId="0" borderId="26" xfId="0" applyBorder="1" applyAlignment="1">
      <alignment horizontal="center" vertical="center"/>
    </xf>
    <xf numFmtId="0" fontId="0" fillId="0" borderId="4" xfId="0" applyBorder="1" applyAlignment="1">
      <alignment horizontal="center" vertical="center"/>
    </xf>
    <xf numFmtId="0" fontId="0" fillId="18" borderId="22" xfId="0" applyFill="1" applyBorder="1" applyAlignment="1">
      <alignment horizontal="center" vertical="center"/>
    </xf>
    <xf numFmtId="0" fontId="0" fillId="18" borderId="4" xfId="0" applyFill="1" applyBorder="1" applyAlignment="1">
      <alignment horizontal="center" vertical="center"/>
    </xf>
    <xf numFmtId="0" fontId="0" fillId="18" borderId="22" xfId="0" applyFill="1" applyBorder="1" applyAlignment="1">
      <alignment horizontal="center" vertical="center" wrapText="1"/>
    </xf>
    <xf numFmtId="0" fontId="0" fillId="0" borderId="4" xfId="0" applyBorder="1" applyAlignment="1">
      <alignment horizontal="center" vertical="center" wrapText="1"/>
    </xf>
    <xf numFmtId="0" fontId="0" fillId="18" borderId="22" xfId="0" applyFill="1" applyBorder="1" applyAlignment="1">
      <alignment horizontal="center"/>
    </xf>
    <xf numFmtId="0" fontId="0" fillId="18" borderId="4" xfId="0" applyFill="1" applyBorder="1" applyAlignment="1">
      <alignment horizontal="center"/>
    </xf>
    <xf numFmtId="0" fontId="0" fillId="22" borderId="22" xfId="0" applyFill="1" applyBorder="1" applyAlignment="1">
      <alignment horizontal="center"/>
    </xf>
    <xf numFmtId="0" fontId="0" fillId="22" borderId="4" xfId="0" applyFill="1" applyBorder="1" applyAlignment="1">
      <alignment horizontal="center"/>
    </xf>
    <xf numFmtId="0" fontId="0" fillId="23" borderId="22" xfId="0" applyFill="1" applyBorder="1" applyAlignment="1">
      <alignment horizontal="center"/>
    </xf>
    <xf numFmtId="0" fontId="0" fillId="23" borderId="4" xfId="0" applyFill="1" applyBorder="1" applyAlignment="1">
      <alignment horizontal="center"/>
    </xf>
    <xf numFmtId="0" fontId="0" fillId="19" borderId="22" xfId="0" applyFill="1" applyBorder="1" applyAlignment="1">
      <alignment horizontal="center"/>
    </xf>
    <xf numFmtId="0" fontId="0" fillId="19" borderId="4" xfId="0" applyFill="1" applyBorder="1" applyAlignment="1">
      <alignment horizontal="center"/>
    </xf>
    <xf numFmtId="0" fontId="53" fillId="25" borderId="5" xfId="0" applyFont="1" applyFill="1" applyBorder="1" applyAlignment="1">
      <alignment horizontal="center" vertical="center"/>
    </xf>
    <xf numFmtId="0" fontId="53" fillId="25" borderId="6" xfId="0" applyFont="1" applyFill="1" applyBorder="1" applyAlignment="1">
      <alignment horizontal="center" vertical="center"/>
    </xf>
  </cellXfs>
  <cellStyles count="2">
    <cellStyle name="Normal" xfId="0" builtinId="0"/>
    <cellStyle name="Normal 2" xfId="1" xr:uid="{7EB298B3-B501-4096-B7D1-BD9F5733902D}"/>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ites/CSPPursuits/Shared%20Documents/IREN/Working%20Files/2026-04%20-%20Mackenzie%20BC%20-%20B300/BOM%20-%20STORAGE%20-%202026-06-25%20-%20IREN%20-%20Mackenzie%2016k%20B300%20combined%20expandable%20-%20v1.xlsx" TargetMode="External"/><Relationship Id="rId2" Type="http://schemas.openxmlformats.org/officeDocument/2006/relationships/externalLinkPath" Target="https://dell.sharepoint.com/sites/CSPPursuits/Shared%20Documents/IREN/Working%20Files/2026-04%20-%20Mackenzie%20BC%20-%20B300/BOM%20-%20STORAGE%20-%202026-06-25%20-%20IREN%20-%20Mackenzie%2016k%20B300%20combined%20expandable%20-%20v1.xlsx" TargetMode="External"/><Relationship Id="rId1" Type="http://schemas.openxmlformats.org/officeDocument/2006/relationships/externalLinkPath" Target="/sites/CSPPursuits/Shared%20Documents/IREN/Working%20Files/2026-04%20-%20Mackenzie%20BC%20-%20B300/BOM%20-%20STORAGE%20-%202026-06-25%20-%20IREN%20-%20Mackenzie%2016k%20B300%20combined%20expandable%20-%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mp;L"/>
      <sheetName val="GOAL Export"/>
      <sheetName val="Version"/>
      <sheetName val="L10 BOM Storage"/>
      <sheetName val="L11 BOM Storage"/>
      <sheetName val="BOM Storage Network Original"/>
      <sheetName val="BOM Storage Network DELTA"/>
      <sheetName val="BOM Storage Software"/>
      <sheetName val="L11 Storage Rack Elevation"/>
      <sheetName val="Back-End Network Design"/>
      <sheetName val="Services Summary"/>
      <sheetName val="DW2000P_1"/>
      <sheetName val="Compute_Management"/>
    </sheetNames>
    <sheetDataSet>
      <sheetData sheetId="0"/>
      <sheetData sheetId="1"/>
      <sheetData sheetId="2">
        <row r="3">
          <cell r="B3" t="str">
            <v>Solution Description:</v>
          </cell>
        </row>
      </sheetData>
      <sheetData sheetId="3">
        <row r="11">
          <cell r="E11">
            <v>24</v>
          </cell>
        </row>
        <row r="23">
          <cell r="C23">
            <v>15.36</v>
          </cell>
        </row>
      </sheetData>
      <sheetData sheetId="4">
        <row r="15">
          <cell r="D15">
            <v>0</v>
          </cell>
        </row>
      </sheetData>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6640625" bestFit="1" customWidth="1"/>
    <col min="6" max="6" width="11.3320312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29" t="s">
        <v>0</v>
      </c>
      <c r="B1" s="29" t="s">
        <v>1</v>
      </c>
      <c r="C1" s="29" t="s">
        <v>2</v>
      </c>
      <c r="D1" s="29" t="s">
        <v>3</v>
      </c>
      <c r="E1" s="29" t="s">
        <v>4</v>
      </c>
      <c r="F1" s="29" t="s">
        <v>5</v>
      </c>
      <c r="G1" s="29" t="s">
        <v>6</v>
      </c>
      <c r="H1" s="29" t="s">
        <v>7</v>
      </c>
      <c r="I1" s="29" t="s">
        <v>8</v>
      </c>
      <c r="J1" s="29" t="s">
        <v>9</v>
      </c>
      <c r="K1" s="29" t="s">
        <v>10</v>
      </c>
    </row>
    <row r="2" spans="1:11" x14ac:dyDescent="0.3">
      <c r="A2" s="30" t="s">
        <v>11</v>
      </c>
      <c r="B2" s="31">
        <f>'GOAL Export'!G9</f>
        <v>285251.93</v>
      </c>
      <c r="C2" s="31">
        <f>2430*2</f>
        <v>4860</v>
      </c>
      <c r="D2" s="31">
        <v>8600</v>
      </c>
      <c r="E2" s="31">
        <f>B2-C2-D2</f>
        <v>271791.93</v>
      </c>
      <c r="F2" s="30">
        <v>1664</v>
      </c>
      <c r="G2" s="31">
        <f>F2*E2</f>
        <v>452261771.51999998</v>
      </c>
      <c r="H2" s="31">
        <v>267000</v>
      </c>
      <c r="I2" s="32">
        <f>(H2-E2)/H2</f>
        <v>-1.794730337078649E-2</v>
      </c>
      <c r="J2" s="31">
        <f>H2*F2</f>
        <v>444288000</v>
      </c>
      <c r="K2" s="30"/>
    </row>
    <row r="23" spans="1:1" x14ac:dyDescent="0.3">
      <c r="A23" s="33"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x14ac:dyDescent="0.3">
      <c r="A1" s="24" t="s">
        <v>13</v>
      </c>
      <c r="B1" s="25" t="s">
        <v>14</v>
      </c>
      <c r="C1" s="25" t="s">
        <v>15</v>
      </c>
      <c r="D1" s="25" t="s">
        <v>16</v>
      </c>
      <c r="E1" s="25" t="s">
        <v>17</v>
      </c>
      <c r="F1" s="25" t="s">
        <v>18</v>
      </c>
      <c r="G1" s="25" t="s">
        <v>1</v>
      </c>
    </row>
    <row r="2" spans="1:7" x14ac:dyDescent="0.3">
      <c r="A2" s="26" t="s">
        <v>19</v>
      </c>
      <c r="B2" s="26" t="s">
        <v>20</v>
      </c>
      <c r="C2" s="26">
        <v>634</v>
      </c>
      <c r="D2" s="27">
        <f>G2/0.8</f>
        <v>32099.309999999998</v>
      </c>
      <c r="E2" s="27">
        <f>D2*C2</f>
        <v>20350962.539999999</v>
      </c>
      <c r="F2" s="28">
        <f>(D2-G2)/D2</f>
        <v>0.19999999999999993</v>
      </c>
      <c r="G2" s="27">
        <v>25679.448</v>
      </c>
    </row>
    <row r="3" spans="1:7" x14ac:dyDescent="0.3">
      <c r="A3" s="26" t="s">
        <v>19</v>
      </c>
      <c r="B3" s="26" t="s">
        <v>21</v>
      </c>
      <c r="C3" s="26">
        <v>2</v>
      </c>
      <c r="D3" s="27">
        <f t="shared" ref="D3:D8" si="0">G3/0.8</f>
        <v>16908.856249999997</v>
      </c>
      <c r="E3" s="27">
        <f t="shared" ref="E3:E9" si="1">D3*C3</f>
        <v>33817.712499999994</v>
      </c>
      <c r="F3" s="28">
        <f t="shared" ref="F3:F9" si="2">(D3-G3)/D3</f>
        <v>0.1999999999999999</v>
      </c>
      <c r="G3" s="27">
        <v>13527.084999999999</v>
      </c>
    </row>
    <row r="4" spans="1:7" x14ac:dyDescent="0.3">
      <c r="A4" s="26" t="s">
        <v>19</v>
      </c>
      <c r="B4" s="26" t="s">
        <v>22</v>
      </c>
      <c r="C4" s="26">
        <v>79</v>
      </c>
      <c r="D4" s="27">
        <f t="shared" si="0"/>
        <v>2967.4468749999996</v>
      </c>
      <c r="E4" s="27">
        <f t="shared" si="1"/>
        <v>234428.30312499998</v>
      </c>
      <c r="F4" s="28">
        <f t="shared" si="2"/>
        <v>0.1999999999999999</v>
      </c>
      <c r="G4" s="27">
        <v>2373.9575</v>
      </c>
    </row>
    <row r="5" spans="1:7" x14ac:dyDescent="0.3">
      <c r="A5" s="26" t="s">
        <v>19</v>
      </c>
      <c r="B5" s="26" t="s">
        <v>20</v>
      </c>
      <c r="C5" s="26">
        <v>208</v>
      </c>
      <c r="D5" s="27">
        <f t="shared" si="0"/>
        <v>35899.859999999993</v>
      </c>
      <c r="E5" s="27">
        <f t="shared" si="1"/>
        <v>7467170.879999999</v>
      </c>
      <c r="F5" s="28">
        <f t="shared" si="2"/>
        <v>0.19999999999999987</v>
      </c>
      <c r="G5" s="27">
        <v>28719.887999999999</v>
      </c>
    </row>
    <row r="6" spans="1:7" x14ac:dyDescent="0.3">
      <c r="A6" s="26" t="s">
        <v>23</v>
      </c>
      <c r="B6" s="26" t="s">
        <v>20</v>
      </c>
      <c r="C6" s="26">
        <v>840</v>
      </c>
      <c r="D6" s="27">
        <f t="shared" si="0"/>
        <v>35644.097499999996</v>
      </c>
      <c r="E6" s="27">
        <f t="shared" si="1"/>
        <v>29941041.899999999</v>
      </c>
      <c r="F6" s="28">
        <f t="shared" si="2"/>
        <v>0.19999999999999996</v>
      </c>
      <c r="G6" s="27">
        <v>28515.277999999998</v>
      </c>
    </row>
    <row r="7" spans="1:7" x14ac:dyDescent="0.3">
      <c r="A7" s="26" t="s">
        <v>23</v>
      </c>
      <c r="B7" s="26" t="s">
        <v>21</v>
      </c>
      <c r="C7" s="26">
        <v>2</v>
      </c>
      <c r="D7" s="27">
        <f t="shared" si="0"/>
        <v>17248.393749999999</v>
      </c>
      <c r="E7" s="27">
        <f t="shared" si="1"/>
        <v>34496.787499999999</v>
      </c>
      <c r="F7" s="28">
        <f t="shared" si="2"/>
        <v>0.19999999999999996</v>
      </c>
      <c r="G7" s="27">
        <v>13798.715</v>
      </c>
    </row>
    <row r="8" spans="1:7" x14ac:dyDescent="0.3">
      <c r="A8" s="26" t="s">
        <v>23</v>
      </c>
      <c r="B8" s="26" t="s">
        <v>22</v>
      </c>
      <c r="C8" s="26">
        <v>79</v>
      </c>
      <c r="D8" s="27">
        <f t="shared" si="0"/>
        <v>3727.3968749999999</v>
      </c>
      <c r="E8" s="27">
        <f t="shared" si="1"/>
        <v>294464.35312499997</v>
      </c>
      <c r="F8" s="28">
        <f t="shared" si="2"/>
        <v>0.19999999999999998</v>
      </c>
      <c r="G8" s="27">
        <v>2981.9175</v>
      </c>
    </row>
    <row r="9" spans="1:7" x14ac:dyDescent="0.3">
      <c r="A9" s="26" t="s">
        <v>24</v>
      </c>
      <c r="B9" s="26" t="s">
        <v>25</v>
      </c>
      <c r="C9" s="26">
        <v>1664</v>
      </c>
      <c r="D9" s="27">
        <v>267000</v>
      </c>
      <c r="E9" s="27">
        <f t="shared" si="1"/>
        <v>444288000</v>
      </c>
      <c r="F9" s="28">
        <f t="shared" si="2"/>
        <v>-6.8359288389513079E-2</v>
      </c>
      <c r="G9" s="27">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topLeftCell="A13" zoomScale="110" zoomScaleNormal="110" workbookViewId="0">
      <selection sqref="A1:C1"/>
    </sheetView>
  </sheetViews>
  <sheetFormatPr defaultColWidth="9.109375" defaultRowHeight="13.8" x14ac:dyDescent="0.25"/>
  <cols>
    <col min="1" max="1" width="12.109375" style="5" customWidth="1"/>
    <col min="2" max="2" width="12" style="8" customWidth="1"/>
    <col min="3" max="3" width="12" style="5" customWidth="1"/>
    <col min="4" max="5" width="30.6640625" style="9" customWidth="1"/>
    <col min="6" max="6" width="193" style="5" customWidth="1"/>
    <col min="7" max="16384" width="9.109375" style="5"/>
  </cols>
  <sheetData>
    <row r="1" spans="1:6" s="11" customFormat="1" ht="17.399999999999999" x14ac:dyDescent="0.3">
      <c r="A1" s="253" t="s">
        <v>26</v>
      </c>
      <c r="B1" s="253"/>
      <c r="C1" s="253"/>
      <c r="D1" s="22" t="s">
        <v>27</v>
      </c>
      <c r="E1" s="20"/>
    </row>
    <row r="2" spans="1:6" s="11" customFormat="1" ht="17.399999999999999" x14ac:dyDescent="0.3">
      <c r="A2" s="15"/>
      <c r="B2" s="15"/>
      <c r="C2" s="15" t="s">
        <v>28</v>
      </c>
      <c r="D2" s="22"/>
      <c r="E2" s="20"/>
    </row>
    <row r="3" spans="1:6" s="11" customFormat="1" ht="17.399999999999999" x14ac:dyDescent="0.3">
      <c r="A3" s="253" t="s">
        <v>29</v>
      </c>
      <c r="B3" s="253"/>
      <c r="C3" s="253"/>
      <c r="D3" s="23" t="s">
        <v>30</v>
      </c>
      <c r="E3" s="20"/>
    </row>
    <row r="4" spans="1:6" s="11" customFormat="1" ht="17.399999999999999" x14ac:dyDescent="0.3">
      <c r="A4" s="15"/>
      <c r="B4" s="15"/>
      <c r="C4" s="15" t="s">
        <v>31</v>
      </c>
      <c r="D4" s="22" t="s">
        <v>32</v>
      </c>
      <c r="E4" s="20"/>
    </row>
    <row r="5" spans="1:6" s="11" customFormat="1" ht="17.399999999999999" x14ac:dyDescent="0.3">
      <c r="A5" s="254" t="s">
        <v>33</v>
      </c>
      <c r="B5" s="254"/>
      <c r="C5" s="254"/>
      <c r="D5" s="21"/>
      <c r="E5" s="20"/>
    </row>
    <row r="6" spans="1:6" s="11" customFormat="1" ht="17.399999999999999" x14ac:dyDescent="0.3">
      <c r="A6" s="12"/>
      <c r="B6" s="12"/>
      <c r="C6" s="12" t="s">
        <v>34</v>
      </c>
      <c r="D6" s="21"/>
      <c r="E6" s="20"/>
    </row>
    <row r="7" spans="1:6" s="11" customFormat="1" ht="17.399999999999999" x14ac:dyDescent="0.3">
      <c r="A7" s="12"/>
      <c r="B7" s="12"/>
      <c r="C7" s="12" t="s">
        <v>35</v>
      </c>
      <c r="D7" s="21"/>
      <c r="E7" s="20"/>
    </row>
    <row r="8" spans="1:6" s="11" customFormat="1" ht="17.399999999999999" x14ac:dyDescent="0.3">
      <c r="A8" s="12"/>
      <c r="B8" s="12"/>
      <c r="C8" s="12" t="s">
        <v>36</v>
      </c>
      <c r="D8" s="21"/>
      <c r="E8" s="20"/>
    </row>
    <row r="9" spans="1:6" s="11" customFormat="1" ht="17.399999999999999" x14ac:dyDescent="0.3">
      <c r="A9" s="12"/>
      <c r="B9" s="12"/>
      <c r="C9" s="12" t="s">
        <v>37</v>
      </c>
      <c r="D9" s="21"/>
      <c r="E9" s="20"/>
    </row>
    <row r="10" spans="1:6" s="11" customFormat="1" ht="17.399999999999999" x14ac:dyDescent="0.3">
      <c r="A10" s="12"/>
      <c r="B10" s="12"/>
      <c r="C10" s="12"/>
      <c r="D10" s="21"/>
      <c r="E10" s="20"/>
    </row>
    <row r="11" spans="1:6" ht="15.75" customHeight="1" x14ac:dyDescent="0.25">
      <c r="B11" s="6" t="s">
        <v>38</v>
      </c>
      <c r="C11" s="6" t="s">
        <v>39</v>
      </c>
      <c r="D11" s="6" t="s">
        <v>40</v>
      </c>
      <c r="E11" s="6" t="s">
        <v>41</v>
      </c>
      <c r="F11" s="17" t="s">
        <v>42</v>
      </c>
    </row>
    <row r="12" spans="1:6" x14ac:dyDescent="0.25">
      <c r="B12" s="7">
        <v>1</v>
      </c>
      <c r="C12" s="14">
        <v>46111</v>
      </c>
      <c r="D12" s="7" t="s">
        <v>43</v>
      </c>
      <c r="E12" s="7" t="s">
        <v>44</v>
      </c>
      <c r="F12" s="13" t="s">
        <v>45</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x14ac:dyDescent="0.3">
      <c r="A21" s="9"/>
      <c r="B21" s="16" t="s">
        <v>46</v>
      </c>
    </row>
    <row r="22" spans="1:6" ht="15.75" customHeight="1" x14ac:dyDescent="0.25">
      <c r="A22" s="9"/>
      <c r="B22" s="9"/>
      <c r="C22" s="6" t="s">
        <v>39</v>
      </c>
      <c r="D22" s="6" t="s">
        <v>47</v>
      </c>
      <c r="E22" s="6" t="s">
        <v>48</v>
      </c>
      <c r="F22" s="17" t="s">
        <v>49</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CA4F-490F-4650-9BF5-BA739EE3B1A8}">
  <dimension ref="A1:H174"/>
  <sheetViews>
    <sheetView tabSelected="1" topLeftCell="A118" zoomScale="65" zoomScaleNormal="65" workbookViewId="0">
      <selection activeCell="D70" sqref="D70"/>
    </sheetView>
  </sheetViews>
  <sheetFormatPr defaultRowHeight="14.4" x14ac:dyDescent="0.3"/>
  <cols>
    <col min="1" max="1" width="59.33203125" customWidth="1"/>
    <col min="4" max="4" width="9.44140625" bestFit="1" customWidth="1"/>
    <col min="5" max="5" width="23.44140625" customWidth="1"/>
    <col min="6" max="6" width="69.88671875" customWidth="1"/>
    <col min="7" max="7" width="26.109375" customWidth="1"/>
    <col min="8" max="8" width="41" style="159" customWidth="1"/>
  </cols>
  <sheetData>
    <row r="1" spans="1:8" x14ac:dyDescent="0.3">
      <c r="A1" s="255" t="s">
        <v>50</v>
      </c>
      <c r="B1" s="256"/>
      <c r="C1" s="256"/>
      <c r="D1" s="256"/>
      <c r="E1" s="256"/>
      <c r="F1" s="256"/>
      <c r="G1" s="256"/>
      <c r="H1" s="257"/>
    </row>
    <row r="2" spans="1:8" x14ac:dyDescent="0.3">
      <c r="A2" s="52" t="s">
        <v>0</v>
      </c>
      <c r="B2" s="52" t="s">
        <v>51</v>
      </c>
      <c r="C2" s="52" t="s">
        <v>52</v>
      </c>
      <c r="D2" s="53" t="s">
        <v>53</v>
      </c>
      <c r="E2" s="52" t="s">
        <v>54</v>
      </c>
      <c r="F2" s="52" t="s">
        <v>55</v>
      </c>
      <c r="G2" s="130" t="s">
        <v>56</v>
      </c>
      <c r="H2" s="147" t="s">
        <v>57</v>
      </c>
    </row>
    <row r="3" spans="1:8" x14ac:dyDescent="0.3">
      <c r="A3" s="55" t="s">
        <v>58</v>
      </c>
      <c r="B3" s="55">
        <v>16</v>
      </c>
      <c r="C3" s="55">
        <v>0</v>
      </c>
      <c r="D3" s="55">
        <f>SUM(B3:C3)</f>
        <v>16</v>
      </c>
      <c r="E3" s="102" t="s">
        <v>59</v>
      </c>
      <c r="F3" s="102" t="s">
        <v>60</v>
      </c>
      <c r="G3" s="131"/>
      <c r="H3" s="151">
        <v>2</v>
      </c>
    </row>
    <row r="4" spans="1:8" x14ac:dyDescent="0.3">
      <c r="A4" s="55" t="s">
        <v>61</v>
      </c>
      <c r="B4" s="55">
        <v>8</v>
      </c>
      <c r="C4" s="55">
        <v>0</v>
      </c>
      <c r="D4" s="55">
        <f t="shared" ref="D4:D6" si="0">SUM(B4:C4)</f>
        <v>8</v>
      </c>
      <c r="E4" s="102" t="s">
        <v>59</v>
      </c>
      <c r="F4" s="102" t="s">
        <v>60</v>
      </c>
      <c r="G4" s="131"/>
      <c r="H4" s="151">
        <v>2</v>
      </c>
    </row>
    <row r="5" spans="1:8" x14ac:dyDescent="0.3">
      <c r="A5" s="55" t="s">
        <v>62</v>
      </c>
      <c r="B5" s="55">
        <v>0</v>
      </c>
      <c r="C5" s="55">
        <v>0</v>
      </c>
      <c r="D5" s="55">
        <f t="shared" si="0"/>
        <v>0</v>
      </c>
      <c r="E5" s="56"/>
      <c r="F5" s="55"/>
      <c r="G5" s="131"/>
      <c r="H5" s="151">
        <v>2</v>
      </c>
    </row>
    <row r="6" spans="1:8" x14ac:dyDescent="0.3">
      <c r="A6" s="55" t="s">
        <v>63</v>
      </c>
      <c r="B6" s="55">
        <v>16</v>
      </c>
      <c r="C6" s="55">
        <v>0</v>
      </c>
      <c r="D6" s="55">
        <f t="shared" si="0"/>
        <v>16</v>
      </c>
      <c r="E6" s="56"/>
      <c r="F6" s="55" t="s">
        <v>64</v>
      </c>
      <c r="G6" s="57"/>
      <c r="H6" s="151">
        <v>2</v>
      </c>
    </row>
    <row r="7" spans="1:8" x14ac:dyDescent="0.3">
      <c r="A7" s="55" t="s">
        <v>65</v>
      </c>
      <c r="B7" s="55">
        <v>0</v>
      </c>
      <c r="C7" s="55">
        <v>0</v>
      </c>
      <c r="D7" s="55">
        <v>0</v>
      </c>
      <c r="E7" s="49" t="s">
        <v>66</v>
      </c>
      <c r="F7" s="49" t="s">
        <v>66</v>
      </c>
      <c r="G7" s="57"/>
      <c r="H7" s="151"/>
    </row>
    <row r="8" spans="1:8" x14ac:dyDescent="0.3">
      <c r="A8" s="55"/>
      <c r="B8" s="55">
        <v>0</v>
      </c>
      <c r="C8" s="55">
        <v>0</v>
      </c>
      <c r="D8" s="55">
        <v>0</v>
      </c>
      <c r="E8" s="49" t="s">
        <v>66</v>
      </c>
      <c r="F8" s="49" t="s">
        <v>66</v>
      </c>
      <c r="G8" s="57"/>
      <c r="H8" s="151"/>
    </row>
    <row r="9" spans="1:8" x14ac:dyDescent="0.3">
      <c r="A9" s="57"/>
      <c r="B9" s="57"/>
      <c r="C9" s="57"/>
      <c r="D9" s="57"/>
      <c r="E9" s="50"/>
      <c r="F9" s="57"/>
      <c r="G9" s="57"/>
      <c r="H9" s="151"/>
    </row>
    <row r="10" spans="1:8" x14ac:dyDescent="0.3">
      <c r="A10" s="260" t="s">
        <v>67</v>
      </c>
      <c r="B10" s="260"/>
      <c r="C10" s="260"/>
      <c r="D10" s="260"/>
      <c r="E10" s="260"/>
      <c r="F10" s="260"/>
      <c r="G10" s="261"/>
      <c r="H10" s="151"/>
    </row>
    <row r="11" spans="1:8" x14ac:dyDescent="0.3">
      <c r="A11" s="52" t="s">
        <v>0</v>
      </c>
      <c r="B11" s="52" t="s">
        <v>51</v>
      </c>
      <c r="C11" s="52" t="s">
        <v>52</v>
      </c>
      <c r="D11" s="58" t="s">
        <v>53</v>
      </c>
      <c r="E11" s="52" t="s">
        <v>54</v>
      </c>
      <c r="F11" s="52" t="s">
        <v>55</v>
      </c>
      <c r="G11" s="130" t="s">
        <v>56</v>
      </c>
      <c r="H11" s="151">
        <v>1</v>
      </c>
    </row>
    <row r="12" spans="1:8" x14ac:dyDescent="0.3">
      <c r="A12" s="59" t="s">
        <v>68</v>
      </c>
      <c r="B12" s="59">
        <v>2</v>
      </c>
      <c r="C12" s="59">
        <v>0</v>
      </c>
      <c r="D12" s="59">
        <f t="shared" ref="D12:D79" si="1">B12+C12</f>
        <v>2</v>
      </c>
      <c r="E12" s="102" t="s">
        <v>59</v>
      </c>
      <c r="F12" s="102" t="s">
        <v>60</v>
      </c>
      <c r="G12" s="131"/>
      <c r="H12" s="151">
        <v>1</v>
      </c>
    </row>
    <row r="13" spans="1:8" x14ac:dyDescent="0.3">
      <c r="A13" s="59" t="s">
        <v>69</v>
      </c>
      <c r="B13" s="59">
        <v>16</v>
      </c>
      <c r="C13" s="59">
        <v>0</v>
      </c>
      <c r="D13" s="59">
        <f t="shared" si="1"/>
        <v>16</v>
      </c>
      <c r="E13" s="102" t="s">
        <v>59</v>
      </c>
      <c r="F13" s="102" t="s">
        <v>60</v>
      </c>
      <c r="G13" s="131"/>
      <c r="H13" s="151">
        <v>1</v>
      </c>
    </row>
    <row r="14" spans="1:8" x14ac:dyDescent="0.3">
      <c r="A14" s="59" t="s">
        <v>70</v>
      </c>
      <c r="B14" s="59">
        <v>2</v>
      </c>
      <c r="C14" s="59">
        <v>0</v>
      </c>
      <c r="D14" s="59">
        <f t="shared" si="1"/>
        <v>2</v>
      </c>
      <c r="E14" s="102" t="s">
        <v>59</v>
      </c>
      <c r="F14" s="102" t="s">
        <v>60</v>
      </c>
      <c r="G14" s="131"/>
      <c r="H14" s="151">
        <v>1</v>
      </c>
    </row>
    <row r="15" spans="1:8" x14ac:dyDescent="0.3">
      <c r="A15" s="59" t="s">
        <v>71</v>
      </c>
      <c r="B15" s="59">
        <v>2</v>
      </c>
      <c r="C15" s="59">
        <v>0</v>
      </c>
      <c r="D15" s="59">
        <f t="shared" si="1"/>
        <v>2</v>
      </c>
      <c r="E15" s="102" t="s">
        <v>59</v>
      </c>
      <c r="F15" s="102" t="s">
        <v>60</v>
      </c>
      <c r="G15" s="131"/>
      <c r="H15" s="151">
        <v>1</v>
      </c>
    </row>
    <row r="16" spans="1:8" x14ac:dyDescent="0.3">
      <c r="A16" s="59"/>
      <c r="B16" s="59"/>
      <c r="C16" s="59"/>
      <c r="D16" s="59"/>
      <c r="E16" s="98"/>
      <c r="F16" s="99"/>
      <c r="G16" s="131"/>
      <c r="H16" s="151"/>
    </row>
    <row r="17" spans="1:8" x14ac:dyDescent="0.3">
      <c r="A17" s="59"/>
      <c r="B17" s="59"/>
      <c r="C17" s="59"/>
      <c r="D17" s="59"/>
      <c r="E17" s="98"/>
      <c r="F17" s="99"/>
      <c r="G17" s="131"/>
      <c r="H17" s="151"/>
    </row>
    <row r="18" spans="1:8" x14ac:dyDescent="0.3">
      <c r="A18" s="262" t="s">
        <v>72</v>
      </c>
      <c r="B18" s="263"/>
      <c r="C18" s="263"/>
      <c r="D18" s="263"/>
      <c r="E18" s="263"/>
      <c r="F18" s="263"/>
      <c r="G18" s="264"/>
      <c r="H18" s="151"/>
    </row>
    <row r="19" spans="1:8" x14ac:dyDescent="0.3">
      <c r="A19" s="54" t="s">
        <v>0</v>
      </c>
      <c r="B19" s="54" t="s">
        <v>51</v>
      </c>
      <c r="C19" s="54" t="s">
        <v>52</v>
      </c>
      <c r="D19" s="61" t="s">
        <v>53</v>
      </c>
      <c r="E19" s="54" t="s">
        <v>54</v>
      </c>
      <c r="F19" s="54" t="s">
        <v>55</v>
      </c>
      <c r="G19" s="130" t="s">
        <v>56</v>
      </c>
      <c r="H19" s="151"/>
    </row>
    <row r="20" spans="1:8" ht="43.2" x14ac:dyDescent="0.3">
      <c r="A20" s="59" t="s">
        <v>73</v>
      </c>
      <c r="B20" s="59">
        <v>20</v>
      </c>
      <c r="C20" s="59">
        <v>0</v>
      </c>
      <c r="D20" s="59">
        <f>C20+B20</f>
        <v>20</v>
      </c>
      <c r="E20" s="101" t="s">
        <v>74</v>
      </c>
      <c r="F20" s="150" t="s">
        <v>75</v>
      </c>
      <c r="G20" s="86" t="s">
        <v>76</v>
      </c>
      <c r="H20" s="152">
        <v>1</v>
      </c>
    </row>
    <row r="21" spans="1:8" x14ac:dyDescent="0.3">
      <c r="A21" s="59" t="s">
        <v>77</v>
      </c>
      <c r="B21" s="59">
        <v>2</v>
      </c>
      <c r="C21" s="59">
        <v>0</v>
      </c>
      <c r="D21" s="59">
        <f t="shared" ref="D21:D23" si="2">C21+B21</f>
        <v>2</v>
      </c>
      <c r="E21" s="103" t="s">
        <v>78</v>
      </c>
      <c r="F21" s="103" t="s">
        <v>79</v>
      </c>
      <c r="G21" s="132" t="s">
        <v>80</v>
      </c>
      <c r="H21" s="152">
        <v>1</v>
      </c>
    </row>
    <row r="22" spans="1:8" x14ac:dyDescent="0.3">
      <c r="A22" s="59" t="s">
        <v>81</v>
      </c>
      <c r="B22" s="59">
        <v>0</v>
      </c>
      <c r="C22" s="59">
        <v>0</v>
      </c>
      <c r="D22" s="59">
        <v>0</v>
      </c>
      <c r="E22" s="91" t="s">
        <v>66</v>
      </c>
      <c r="F22" s="64" t="s">
        <v>66</v>
      </c>
      <c r="G22" s="131"/>
      <c r="H22" s="152">
        <v>1</v>
      </c>
    </row>
    <row r="23" spans="1:8" x14ac:dyDescent="0.3">
      <c r="A23" s="62" t="s">
        <v>82</v>
      </c>
      <c r="B23" s="59">
        <v>2</v>
      </c>
      <c r="C23" s="59">
        <v>0</v>
      </c>
      <c r="D23" s="59">
        <f t="shared" si="2"/>
        <v>2</v>
      </c>
      <c r="E23" s="85" t="s">
        <v>83</v>
      </c>
      <c r="F23" s="64" t="s">
        <v>66</v>
      </c>
      <c r="G23" s="131"/>
      <c r="H23" s="152">
        <v>1</v>
      </c>
    </row>
    <row r="24" spans="1:8" x14ac:dyDescent="0.3">
      <c r="A24" s="59"/>
      <c r="B24" s="65"/>
      <c r="C24" s="65"/>
      <c r="D24" s="59"/>
      <c r="E24" s="59"/>
      <c r="F24" s="59"/>
      <c r="G24" s="57"/>
      <c r="H24" s="153"/>
    </row>
    <row r="25" spans="1:8" x14ac:dyDescent="0.3">
      <c r="A25" s="59"/>
      <c r="B25" s="65"/>
      <c r="C25" s="65"/>
      <c r="D25" s="59"/>
      <c r="E25" s="59"/>
      <c r="F25" s="59"/>
      <c r="G25" s="57"/>
      <c r="H25" s="153"/>
    </row>
    <row r="26" spans="1:8" x14ac:dyDescent="0.3">
      <c r="A26" s="265" t="s">
        <v>84</v>
      </c>
      <c r="B26" s="265"/>
      <c r="C26" s="265"/>
      <c r="D26" s="265"/>
      <c r="E26" s="265"/>
      <c r="F26" s="265"/>
      <c r="G26" s="266"/>
      <c r="H26" s="153"/>
    </row>
    <row r="27" spans="1:8" x14ac:dyDescent="0.3">
      <c r="A27" s="54" t="s">
        <v>0</v>
      </c>
      <c r="B27" s="54" t="s">
        <v>51</v>
      </c>
      <c r="C27" s="54" t="s">
        <v>52</v>
      </c>
      <c r="D27" s="58" t="s">
        <v>53</v>
      </c>
      <c r="E27" s="54" t="s">
        <v>54</v>
      </c>
      <c r="F27" s="54" t="s">
        <v>55</v>
      </c>
      <c r="G27" s="130" t="s">
        <v>56</v>
      </c>
      <c r="H27" s="153"/>
    </row>
    <row r="28" spans="1:8" x14ac:dyDescent="0.3">
      <c r="A28" s="63" t="s">
        <v>85</v>
      </c>
      <c r="B28" s="63">
        <f>B3/8</f>
        <v>2</v>
      </c>
      <c r="C28" s="63">
        <v>0</v>
      </c>
      <c r="D28" s="59">
        <f t="shared" si="1"/>
        <v>2</v>
      </c>
      <c r="E28" s="64" t="s">
        <v>66</v>
      </c>
      <c r="F28" s="63" t="s">
        <v>86</v>
      </c>
      <c r="G28" s="133"/>
      <c r="H28" s="152">
        <v>1</v>
      </c>
    </row>
    <row r="29" spans="1:8" x14ac:dyDescent="0.3">
      <c r="A29" s="63" t="s">
        <v>87</v>
      </c>
      <c r="B29" s="63">
        <f>B4/8</f>
        <v>1</v>
      </c>
      <c r="C29" s="63">
        <v>0</v>
      </c>
      <c r="D29" s="59">
        <f t="shared" si="1"/>
        <v>1</v>
      </c>
      <c r="E29" s="64" t="s">
        <v>66</v>
      </c>
      <c r="F29" s="63" t="s">
        <v>86</v>
      </c>
      <c r="G29" s="133"/>
      <c r="H29" s="152">
        <v>1</v>
      </c>
    </row>
    <row r="30" spans="1:8" x14ac:dyDescent="0.3">
      <c r="A30" s="63" t="s">
        <v>88</v>
      </c>
      <c r="B30" s="63">
        <v>0</v>
      </c>
      <c r="C30" s="63">
        <v>0</v>
      </c>
      <c r="D30" s="59">
        <v>0</v>
      </c>
      <c r="E30" s="64"/>
      <c r="F30" s="63" t="s">
        <v>86</v>
      </c>
      <c r="G30" s="133"/>
      <c r="H30" s="152">
        <v>0</v>
      </c>
    </row>
    <row r="31" spans="1:8" x14ac:dyDescent="0.3">
      <c r="A31" s="63" t="s">
        <v>89</v>
      </c>
      <c r="B31" s="63">
        <f>B13/8</f>
        <v>2</v>
      </c>
      <c r="C31" s="63">
        <v>0</v>
      </c>
      <c r="D31" s="59">
        <f t="shared" si="1"/>
        <v>2</v>
      </c>
      <c r="E31" s="64"/>
      <c r="F31" s="63" t="s">
        <v>86</v>
      </c>
      <c r="G31" s="134"/>
      <c r="H31" s="152">
        <v>1</v>
      </c>
    </row>
    <row r="32" spans="1:8" x14ac:dyDescent="0.3">
      <c r="A32" s="63" t="s">
        <v>90</v>
      </c>
      <c r="B32" s="63">
        <v>3</v>
      </c>
      <c r="C32" s="63">
        <v>0</v>
      </c>
      <c r="D32" s="59">
        <v>3</v>
      </c>
      <c r="E32" s="64"/>
      <c r="F32" s="63" t="s">
        <v>86</v>
      </c>
      <c r="G32" s="134"/>
      <c r="H32" s="152">
        <v>1</v>
      </c>
    </row>
    <row r="33" spans="1:8" x14ac:dyDescent="0.3">
      <c r="A33" s="63" t="s">
        <v>91</v>
      </c>
      <c r="B33" s="66">
        <v>1</v>
      </c>
      <c r="C33" s="63"/>
      <c r="D33" s="59">
        <v>1</v>
      </c>
      <c r="E33" s="64"/>
      <c r="F33" s="63" t="s">
        <v>86</v>
      </c>
      <c r="G33" s="134"/>
      <c r="H33" s="152">
        <v>1</v>
      </c>
    </row>
    <row r="34" spans="1:8" x14ac:dyDescent="0.3">
      <c r="A34" s="63" t="s">
        <v>92</v>
      </c>
      <c r="B34" s="63">
        <f>SUM(B28:B33)*2</f>
        <v>18</v>
      </c>
      <c r="C34" s="63">
        <v>0</v>
      </c>
      <c r="D34" s="59">
        <f t="shared" si="1"/>
        <v>18</v>
      </c>
      <c r="E34" s="64"/>
      <c r="F34" t="s">
        <v>93</v>
      </c>
      <c r="G34" s="134"/>
      <c r="H34" s="152">
        <v>1</v>
      </c>
    </row>
    <row r="35" spans="1:8" x14ac:dyDescent="0.3">
      <c r="A35" s="63" t="s">
        <v>94</v>
      </c>
      <c r="B35" s="63">
        <v>0</v>
      </c>
      <c r="C35" s="63">
        <v>0</v>
      </c>
      <c r="D35" s="59">
        <f t="shared" si="1"/>
        <v>0</v>
      </c>
      <c r="E35" s="64"/>
      <c r="F35" s="63"/>
      <c r="G35" s="134"/>
      <c r="H35" s="154">
        <v>0</v>
      </c>
    </row>
    <row r="36" spans="1:8" x14ac:dyDescent="0.3">
      <c r="A36" s="57"/>
      <c r="B36" s="57"/>
      <c r="C36" s="57"/>
      <c r="D36" s="57"/>
      <c r="E36" s="57"/>
      <c r="F36" s="57"/>
      <c r="G36" s="57"/>
      <c r="H36" s="155"/>
    </row>
    <row r="37" spans="1:8" x14ac:dyDescent="0.3">
      <c r="A37" s="60"/>
      <c r="B37" s="60"/>
      <c r="C37" s="60"/>
      <c r="D37" s="57"/>
      <c r="E37" s="57"/>
      <c r="F37" s="57"/>
      <c r="G37" s="60"/>
      <c r="H37" s="153"/>
    </row>
    <row r="38" spans="1:8" x14ac:dyDescent="0.3">
      <c r="A38" s="265" t="s">
        <v>95</v>
      </c>
      <c r="B38" s="265"/>
      <c r="C38" s="265"/>
      <c r="D38" s="265"/>
      <c r="E38" s="265"/>
      <c r="F38" s="265"/>
      <c r="G38" s="266"/>
      <c r="H38" s="153"/>
    </row>
    <row r="39" spans="1:8" x14ac:dyDescent="0.3">
      <c r="A39" s="54" t="s">
        <v>0</v>
      </c>
      <c r="B39" s="54" t="s">
        <v>51</v>
      </c>
      <c r="C39" s="54" t="s">
        <v>52</v>
      </c>
      <c r="D39" s="58" t="s">
        <v>53</v>
      </c>
      <c r="E39" s="54">
        <v>0</v>
      </c>
      <c r="F39" s="54" t="s">
        <v>55</v>
      </c>
      <c r="G39" s="130" t="s">
        <v>56</v>
      </c>
      <c r="H39" s="151"/>
    </row>
    <row r="40" spans="1:8" x14ac:dyDescent="0.3">
      <c r="A40" s="174" t="s">
        <v>96</v>
      </c>
      <c r="B40" s="175">
        <v>0</v>
      </c>
      <c r="C40" s="175">
        <v>0</v>
      </c>
      <c r="D40" s="176">
        <v>0</v>
      </c>
      <c r="E40" s="175" t="s">
        <v>97</v>
      </c>
      <c r="F40" s="174" t="s">
        <v>98</v>
      </c>
      <c r="G40" s="177"/>
      <c r="H40" s="153"/>
    </row>
    <row r="41" spans="1:8" ht="41.4" x14ac:dyDescent="0.3">
      <c r="A41" s="174" t="s">
        <v>99</v>
      </c>
      <c r="B41" s="175">
        <v>0</v>
      </c>
      <c r="C41" s="175">
        <v>0</v>
      </c>
      <c r="D41" s="176">
        <v>0</v>
      </c>
      <c r="E41" s="175" t="s">
        <v>100</v>
      </c>
      <c r="F41" s="174" t="s">
        <v>101</v>
      </c>
      <c r="G41" s="177"/>
      <c r="H41" s="153"/>
    </row>
    <row r="42" spans="1:8" ht="45.9" customHeight="1" x14ac:dyDescent="0.3">
      <c r="A42" s="116" t="s">
        <v>102</v>
      </c>
      <c r="B42" s="122">
        <v>32</v>
      </c>
      <c r="C42" s="121">
        <v>0</v>
      </c>
      <c r="D42" s="123">
        <f>B42</f>
        <v>32</v>
      </c>
      <c r="E42" s="119" t="s">
        <v>103</v>
      </c>
      <c r="F42" s="160" t="s">
        <v>104</v>
      </c>
      <c r="G42" s="161" t="s">
        <v>105</v>
      </c>
      <c r="H42" s="161">
        <v>2</v>
      </c>
    </row>
    <row r="43" spans="1:8" ht="35.4" x14ac:dyDescent="0.3">
      <c r="A43" s="116" t="s">
        <v>106</v>
      </c>
      <c r="B43" s="122">
        <v>32</v>
      </c>
      <c r="C43" s="121">
        <v>0</v>
      </c>
      <c r="D43" s="123">
        <f t="shared" ref="D43:D47" si="3">B43</f>
        <v>32</v>
      </c>
      <c r="E43" s="119" t="s">
        <v>103</v>
      </c>
      <c r="F43" s="116" t="s">
        <v>104</v>
      </c>
      <c r="G43" s="162" t="s">
        <v>107</v>
      </c>
      <c r="H43" s="161">
        <v>2</v>
      </c>
    </row>
    <row r="44" spans="1:8" x14ac:dyDescent="0.3">
      <c r="A44" s="117" t="s">
        <v>108</v>
      </c>
      <c r="B44" s="124">
        <v>8</v>
      </c>
      <c r="C44" s="121">
        <v>0</v>
      </c>
      <c r="D44" s="123">
        <f t="shared" si="3"/>
        <v>8</v>
      </c>
      <c r="E44" s="120" t="s">
        <v>109</v>
      </c>
      <c r="F44" s="118" t="s">
        <v>110</v>
      </c>
      <c r="G44" s="134"/>
      <c r="H44" s="161">
        <v>2</v>
      </c>
    </row>
    <row r="45" spans="1:8" x14ac:dyDescent="0.3">
      <c r="A45" s="117" t="s">
        <v>111</v>
      </c>
      <c r="B45" s="124">
        <v>8</v>
      </c>
      <c r="C45" s="121">
        <v>0</v>
      </c>
      <c r="D45" s="123">
        <f t="shared" si="3"/>
        <v>8</v>
      </c>
      <c r="E45" s="120" t="s">
        <v>109</v>
      </c>
      <c r="F45" s="118" t="s">
        <v>110</v>
      </c>
      <c r="G45" s="134"/>
      <c r="H45" s="161">
        <v>2</v>
      </c>
    </row>
    <row r="46" spans="1:8" x14ac:dyDescent="0.3">
      <c r="A46" s="116" t="s">
        <v>112</v>
      </c>
      <c r="B46" s="122">
        <v>1024</v>
      </c>
      <c r="C46" s="121">
        <v>0</v>
      </c>
      <c r="D46" s="123">
        <f t="shared" si="3"/>
        <v>1024</v>
      </c>
      <c r="E46" s="119" t="s">
        <v>113</v>
      </c>
      <c r="F46" s="116" t="s">
        <v>114</v>
      </c>
      <c r="G46" s="134"/>
      <c r="H46" s="161">
        <v>2</v>
      </c>
    </row>
    <row r="47" spans="1:8" x14ac:dyDescent="0.3">
      <c r="A47" s="116" t="s">
        <v>115</v>
      </c>
      <c r="B47" s="122">
        <v>1024</v>
      </c>
      <c r="C47" s="121">
        <v>0</v>
      </c>
      <c r="D47" s="123">
        <f t="shared" si="3"/>
        <v>1024</v>
      </c>
      <c r="E47" s="119" t="s">
        <v>113</v>
      </c>
      <c r="F47" s="116" t="s">
        <v>114</v>
      </c>
      <c r="G47" s="134"/>
      <c r="H47" s="161">
        <v>2</v>
      </c>
    </row>
    <row r="48" spans="1:8" x14ac:dyDescent="0.3">
      <c r="A48" s="59" t="s">
        <v>66</v>
      </c>
      <c r="B48" s="67" t="s">
        <v>66</v>
      </c>
      <c r="C48" s="65" t="s">
        <v>66</v>
      </c>
      <c r="D48" s="70" t="s">
        <v>66</v>
      </c>
      <c r="E48" s="59" t="s">
        <v>66</v>
      </c>
      <c r="F48" s="57"/>
      <c r="G48" s="57"/>
      <c r="H48" s="153"/>
    </row>
    <row r="49" spans="1:8" x14ac:dyDescent="0.3">
      <c r="A49" s="115" t="s">
        <v>66</v>
      </c>
      <c r="B49" s="65" t="s">
        <v>66</v>
      </c>
      <c r="C49" s="65" t="s">
        <v>66</v>
      </c>
      <c r="D49" s="70" t="s">
        <v>66</v>
      </c>
      <c r="E49" s="59" t="s">
        <v>66</v>
      </c>
      <c r="F49" s="57"/>
      <c r="G49" s="57"/>
      <c r="H49" s="153"/>
    </row>
    <row r="50" spans="1:8" x14ac:dyDescent="0.3">
      <c r="A50" s="115" t="s">
        <v>66</v>
      </c>
      <c r="B50" s="65" t="s">
        <v>66</v>
      </c>
      <c r="C50" s="65" t="s">
        <v>66</v>
      </c>
      <c r="D50" s="70" t="s">
        <v>66</v>
      </c>
      <c r="E50" s="59" t="s">
        <v>66</v>
      </c>
      <c r="F50" s="57"/>
      <c r="G50" s="57"/>
      <c r="H50" s="153"/>
    </row>
    <row r="51" spans="1:8" x14ac:dyDescent="0.3">
      <c r="A51" s="258" t="s">
        <v>116</v>
      </c>
      <c r="B51" s="258"/>
      <c r="C51" s="258"/>
      <c r="D51" s="258"/>
      <c r="E51" s="258"/>
      <c r="F51" s="258"/>
      <c r="G51" s="259"/>
      <c r="H51" s="151"/>
    </row>
    <row r="52" spans="1:8" x14ac:dyDescent="0.3">
      <c r="A52" s="54" t="s">
        <v>0</v>
      </c>
      <c r="B52" s="54" t="s">
        <v>51</v>
      </c>
      <c r="C52" s="54" t="s">
        <v>52</v>
      </c>
      <c r="D52" s="58" t="s">
        <v>53</v>
      </c>
      <c r="E52" s="52" t="s">
        <v>54</v>
      </c>
      <c r="F52" s="52" t="s">
        <v>55</v>
      </c>
      <c r="G52" s="130" t="s">
        <v>56</v>
      </c>
      <c r="H52" s="151"/>
    </row>
    <row r="53" spans="1:8" x14ac:dyDescent="0.3">
      <c r="A53" s="59" t="s">
        <v>117</v>
      </c>
      <c r="B53" s="51">
        <f>B6*32*1</f>
        <v>512</v>
      </c>
      <c r="C53" s="68">
        <v>0</v>
      </c>
      <c r="D53" s="69">
        <f t="shared" si="1"/>
        <v>512</v>
      </c>
      <c r="E53" s="94" t="s">
        <v>118</v>
      </c>
      <c r="F53" s="96" t="s">
        <v>119</v>
      </c>
      <c r="G53" s="135" t="s">
        <v>120</v>
      </c>
      <c r="H53" s="151">
        <v>2</v>
      </c>
    </row>
    <row r="54" spans="1:8" x14ac:dyDescent="0.3">
      <c r="A54" s="59" t="s">
        <v>121</v>
      </c>
      <c r="B54" s="70">
        <v>0</v>
      </c>
      <c r="C54" s="68">
        <v>0</v>
      </c>
      <c r="D54" s="69">
        <f t="shared" si="1"/>
        <v>0</v>
      </c>
      <c r="E54" s="94" t="s">
        <v>122</v>
      </c>
      <c r="F54" t="s">
        <v>123</v>
      </c>
      <c r="G54" s="135" t="s">
        <v>124</v>
      </c>
      <c r="H54" s="151">
        <v>2</v>
      </c>
    </row>
    <row r="55" spans="1:8" ht="25.2" customHeight="1" thickBot="1" x14ac:dyDescent="0.35">
      <c r="A55" s="59" t="s">
        <v>125</v>
      </c>
      <c r="B55" s="59">
        <v>256</v>
      </c>
      <c r="C55" s="68">
        <v>0</v>
      </c>
      <c r="D55" s="69">
        <f t="shared" si="1"/>
        <v>256</v>
      </c>
      <c r="E55" s="104" t="s">
        <v>126</v>
      </c>
      <c r="F55" s="105" t="s">
        <v>127</v>
      </c>
      <c r="G55" s="136" t="s">
        <v>66</v>
      </c>
      <c r="H55" s="151">
        <v>2</v>
      </c>
    </row>
    <row r="56" spans="1:8" x14ac:dyDescent="0.3">
      <c r="A56" s="57"/>
      <c r="B56" s="57"/>
      <c r="C56" s="57"/>
      <c r="D56" s="57"/>
      <c r="E56" t="s">
        <v>66</v>
      </c>
      <c r="F56" s="57"/>
      <c r="G56" s="57"/>
      <c r="H56" s="151"/>
    </row>
    <row r="57" spans="1:8" x14ac:dyDescent="0.3">
      <c r="A57" s="57"/>
      <c r="B57" s="57"/>
      <c r="C57" s="57"/>
      <c r="D57" s="57"/>
      <c r="E57" s="57"/>
      <c r="F57" s="57"/>
      <c r="G57" s="57"/>
      <c r="H57" s="151"/>
    </row>
    <row r="58" spans="1:8" x14ac:dyDescent="0.3">
      <c r="A58" s="259" t="s">
        <v>128</v>
      </c>
      <c r="B58" s="270"/>
      <c r="C58" s="270"/>
      <c r="D58" s="270"/>
      <c r="E58" s="270"/>
      <c r="F58" s="270"/>
      <c r="G58" s="270"/>
      <c r="H58" s="151"/>
    </row>
    <row r="59" spans="1:8" x14ac:dyDescent="0.3">
      <c r="A59" s="54" t="s">
        <v>0</v>
      </c>
      <c r="B59" s="54" t="s">
        <v>51</v>
      </c>
      <c r="C59" s="54" t="s">
        <v>52</v>
      </c>
      <c r="D59" s="61" t="s">
        <v>53</v>
      </c>
      <c r="E59" s="52" t="s">
        <v>54</v>
      </c>
      <c r="F59" s="52" t="s">
        <v>55</v>
      </c>
      <c r="G59" s="137" t="s">
        <v>56</v>
      </c>
      <c r="H59" s="151"/>
    </row>
    <row r="60" spans="1:8" ht="28.8" x14ac:dyDescent="0.3">
      <c r="A60" s="71" t="s">
        <v>129</v>
      </c>
      <c r="B60" s="71">
        <v>256</v>
      </c>
      <c r="C60" s="72">
        <v>0</v>
      </c>
      <c r="D60" s="73">
        <f>SUM(B60:C60)</f>
        <v>256</v>
      </c>
      <c r="E60" s="104" t="s">
        <v>126</v>
      </c>
      <c r="F60" s="105" t="s">
        <v>127</v>
      </c>
      <c r="G60" s="134" t="s">
        <v>130</v>
      </c>
      <c r="H60" s="151">
        <v>2</v>
      </c>
    </row>
    <row r="61" spans="1:8" x14ac:dyDescent="0.3">
      <c r="A61" s="59" t="s">
        <v>131</v>
      </c>
      <c r="B61" s="70">
        <f>B60*2</f>
        <v>512</v>
      </c>
      <c r="C61" s="72">
        <v>0</v>
      </c>
      <c r="D61" s="73">
        <f t="shared" ref="D61:D63" si="4">SUM(B61:C61)</f>
        <v>512</v>
      </c>
      <c r="E61" t="s">
        <v>132</v>
      </c>
      <c r="F61" t="s">
        <v>133</v>
      </c>
      <c r="G61" s="134" t="s">
        <v>134</v>
      </c>
      <c r="H61" s="151">
        <v>2</v>
      </c>
    </row>
    <row r="62" spans="1:8" ht="28.8" x14ac:dyDescent="0.3">
      <c r="A62" s="59" t="s">
        <v>135</v>
      </c>
      <c r="B62" s="59">
        <v>256</v>
      </c>
      <c r="C62" s="72">
        <v>0</v>
      </c>
      <c r="D62" s="73">
        <f t="shared" si="4"/>
        <v>256</v>
      </c>
      <c r="E62" s="104" t="s">
        <v>126</v>
      </c>
      <c r="F62" s="105" t="s">
        <v>127</v>
      </c>
      <c r="G62" s="135" t="s">
        <v>136</v>
      </c>
      <c r="H62" s="151">
        <v>2</v>
      </c>
    </row>
    <row r="63" spans="1:8" x14ac:dyDescent="0.3">
      <c r="A63" s="59" t="s">
        <v>137</v>
      </c>
      <c r="B63" s="59">
        <v>0</v>
      </c>
      <c r="C63" s="72">
        <v>0</v>
      </c>
      <c r="D63" s="73">
        <f t="shared" si="4"/>
        <v>0</v>
      </c>
      <c r="E63" s="71"/>
      <c r="F63" s="71"/>
      <c r="G63" s="138"/>
      <c r="H63" s="151"/>
    </row>
    <row r="64" spans="1:8" x14ac:dyDescent="0.3">
      <c r="A64" s="57"/>
      <c r="B64" s="57"/>
      <c r="C64" s="107"/>
      <c r="D64" s="107"/>
      <c r="E64" s="57"/>
      <c r="F64" s="57"/>
      <c r="G64" s="57"/>
      <c r="H64" s="151"/>
    </row>
    <row r="65" spans="1:8" x14ac:dyDescent="0.3">
      <c r="A65" s="57"/>
      <c r="B65" s="57"/>
      <c r="C65" s="107"/>
      <c r="D65" s="107"/>
      <c r="E65" s="57"/>
      <c r="F65" s="57"/>
      <c r="G65" s="57"/>
      <c r="H65" s="151"/>
    </row>
    <row r="66" spans="1:8" x14ac:dyDescent="0.3">
      <c r="A66" s="57"/>
      <c r="B66" s="57"/>
      <c r="C66" s="107"/>
      <c r="D66" s="107"/>
      <c r="E66" s="57"/>
      <c r="F66" s="57"/>
      <c r="G66" s="57"/>
      <c r="H66" s="151"/>
    </row>
    <row r="67" spans="1:8" x14ac:dyDescent="0.3">
      <c r="A67" s="57"/>
      <c r="B67" s="57"/>
      <c r="C67" s="57"/>
      <c r="D67" s="57"/>
      <c r="E67" s="57"/>
      <c r="F67" s="57"/>
      <c r="G67" s="57"/>
      <c r="H67" s="151"/>
    </row>
    <row r="68" spans="1:8" x14ac:dyDescent="0.3">
      <c r="A68" s="259" t="s">
        <v>138</v>
      </c>
      <c r="B68" s="270"/>
      <c r="C68" s="270"/>
      <c r="D68" s="270"/>
      <c r="E68" s="270"/>
      <c r="F68" s="270"/>
      <c r="G68" s="270"/>
      <c r="H68" s="151"/>
    </row>
    <row r="69" spans="1:8" x14ac:dyDescent="0.3">
      <c r="A69" s="52" t="s">
        <v>0</v>
      </c>
      <c r="B69" s="52" t="s">
        <v>51</v>
      </c>
      <c r="C69" s="52" t="s">
        <v>52</v>
      </c>
      <c r="D69" s="53" t="s">
        <v>53</v>
      </c>
      <c r="E69" s="52" t="s">
        <v>54</v>
      </c>
      <c r="F69" s="52" t="s">
        <v>55</v>
      </c>
      <c r="G69" s="130" t="s">
        <v>56</v>
      </c>
      <c r="H69" s="151"/>
    </row>
    <row r="70" spans="1:8" ht="31.2" customHeight="1" thickBot="1" x14ac:dyDescent="0.35">
      <c r="A70" s="59" t="s">
        <v>139</v>
      </c>
      <c r="B70" s="59">
        <v>64</v>
      </c>
      <c r="C70" s="68">
        <v>0</v>
      </c>
      <c r="D70" s="68">
        <f>SUM(B70:C70)</f>
        <v>64</v>
      </c>
      <c r="E70" s="106" t="s">
        <v>140</v>
      </c>
      <c r="F70" s="109" t="s">
        <v>141</v>
      </c>
      <c r="G70" s="136" t="s">
        <v>141</v>
      </c>
      <c r="H70" s="151">
        <v>1</v>
      </c>
    </row>
    <row r="71" spans="1:8" ht="28.8" x14ac:dyDescent="0.3">
      <c r="A71" s="59" t="s">
        <v>142</v>
      </c>
      <c r="B71" s="59">
        <v>16</v>
      </c>
      <c r="C71" s="68">
        <v>0</v>
      </c>
      <c r="D71" s="68">
        <f t="shared" ref="D71:D73" si="5">SUM(B71:C71)</f>
        <v>16</v>
      </c>
      <c r="E71" s="104" t="s">
        <v>126</v>
      </c>
      <c r="F71" s="105" t="s">
        <v>127</v>
      </c>
      <c r="G71" s="131"/>
      <c r="H71" s="151">
        <v>1</v>
      </c>
    </row>
    <row r="72" spans="1:8" x14ac:dyDescent="0.3">
      <c r="A72" s="59" t="s">
        <v>143</v>
      </c>
      <c r="B72" s="59">
        <f>B71*2</f>
        <v>32</v>
      </c>
      <c r="C72" s="68">
        <v>0</v>
      </c>
      <c r="D72" s="68">
        <f t="shared" si="5"/>
        <v>32</v>
      </c>
      <c r="E72" t="s">
        <v>144</v>
      </c>
      <c r="F72" t="s">
        <v>145</v>
      </c>
      <c r="G72" s="92" t="s">
        <v>66</v>
      </c>
      <c r="H72" s="151">
        <v>1</v>
      </c>
    </row>
    <row r="73" spans="1:8" x14ac:dyDescent="0.3">
      <c r="A73" s="57"/>
      <c r="B73" s="59">
        <v>0</v>
      </c>
      <c r="C73" s="72">
        <f t="shared" ref="C73" si="6">B73*0.01</f>
        <v>0</v>
      </c>
      <c r="D73" s="73">
        <f t="shared" si="5"/>
        <v>0</v>
      </c>
      <c r="E73" s="57"/>
      <c r="F73" s="57"/>
      <c r="G73" s="57"/>
      <c r="H73" s="151"/>
    </row>
    <row r="74" spans="1:8" x14ac:dyDescent="0.3">
      <c r="A74" s="57"/>
      <c r="B74" s="57" t="s">
        <v>66</v>
      </c>
      <c r="C74" s="57"/>
      <c r="D74" s="57"/>
      <c r="E74" s="57"/>
      <c r="F74" s="57"/>
      <c r="G74" s="57"/>
      <c r="H74" s="151"/>
    </row>
    <row r="75" spans="1:8" x14ac:dyDescent="0.3">
      <c r="A75" s="259" t="s">
        <v>146</v>
      </c>
      <c r="B75" s="270"/>
      <c r="C75" s="270"/>
      <c r="D75" s="270"/>
      <c r="E75" s="270"/>
      <c r="F75" s="270"/>
      <c r="G75" s="270"/>
      <c r="H75" s="151"/>
    </row>
    <row r="76" spans="1:8" x14ac:dyDescent="0.3">
      <c r="A76" s="54" t="s">
        <v>0</v>
      </c>
      <c r="B76" s="54" t="s">
        <v>51</v>
      </c>
      <c r="C76" s="54" t="s">
        <v>52</v>
      </c>
      <c r="D76" s="61" t="s">
        <v>53</v>
      </c>
      <c r="E76" s="52" t="s">
        <v>54</v>
      </c>
      <c r="F76" s="52" t="s">
        <v>55</v>
      </c>
      <c r="G76" s="130" t="s">
        <v>56</v>
      </c>
      <c r="H76" s="151"/>
    </row>
    <row r="77" spans="1:8" ht="28.8" x14ac:dyDescent="0.3">
      <c r="A77" s="55" t="s">
        <v>147</v>
      </c>
      <c r="B77" s="55">
        <v>16</v>
      </c>
      <c r="C77" s="84">
        <v>0</v>
      </c>
      <c r="D77" s="84">
        <f t="shared" si="1"/>
        <v>16</v>
      </c>
      <c r="E77" s="104" t="s">
        <v>126</v>
      </c>
      <c r="F77" s="105" t="s">
        <v>127</v>
      </c>
      <c r="G77" s="131" t="s">
        <v>130</v>
      </c>
      <c r="H77" s="151">
        <v>1</v>
      </c>
    </row>
    <row r="78" spans="1:8" x14ac:dyDescent="0.3">
      <c r="A78" s="55" t="s">
        <v>148</v>
      </c>
      <c r="B78" s="55">
        <f>B77*2</f>
        <v>32</v>
      </c>
      <c r="C78" s="84">
        <v>0</v>
      </c>
      <c r="D78" s="84">
        <f t="shared" si="1"/>
        <v>32</v>
      </c>
      <c r="E78" t="s">
        <v>132</v>
      </c>
      <c r="F78" t="s">
        <v>133</v>
      </c>
      <c r="G78" s="131" t="s">
        <v>134</v>
      </c>
      <c r="H78" s="151">
        <v>1</v>
      </c>
    </row>
    <row r="79" spans="1:8" ht="28.8" x14ac:dyDescent="0.3">
      <c r="A79" s="55" t="s">
        <v>149</v>
      </c>
      <c r="B79" s="55">
        <f>B77</f>
        <v>16</v>
      </c>
      <c r="C79" s="84">
        <v>0</v>
      </c>
      <c r="D79" s="84">
        <f t="shared" si="1"/>
        <v>16</v>
      </c>
      <c r="E79" s="104" t="s">
        <v>126</v>
      </c>
      <c r="F79" s="105" t="s">
        <v>127</v>
      </c>
      <c r="G79" s="139" t="s">
        <v>136</v>
      </c>
      <c r="H79" s="151">
        <v>1</v>
      </c>
    </row>
    <row r="80" spans="1:8" x14ac:dyDescent="0.3">
      <c r="A80" s="55"/>
      <c r="B80" s="55"/>
      <c r="C80" s="84"/>
      <c r="D80" s="84"/>
      <c r="E80" s="55"/>
      <c r="F80" s="55"/>
      <c r="G80" s="57"/>
      <c r="H80" s="151"/>
    </row>
    <row r="81" spans="1:8" x14ac:dyDescent="0.3">
      <c r="A81" s="259" t="s">
        <v>150</v>
      </c>
      <c r="B81" s="270"/>
      <c r="C81" s="270"/>
      <c r="D81" s="270"/>
      <c r="E81" s="270"/>
      <c r="F81" s="270"/>
      <c r="G81" s="270"/>
      <c r="H81" s="151"/>
    </row>
    <row r="82" spans="1:8" x14ac:dyDescent="0.3">
      <c r="A82" s="54" t="s">
        <v>0</v>
      </c>
      <c r="B82" s="54" t="s">
        <v>51</v>
      </c>
      <c r="C82" s="54" t="s">
        <v>52</v>
      </c>
      <c r="D82" s="61" t="s">
        <v>53</v>
      </c>
      <c r="E82" s="52" t="s">
        <v>54</v>
      </c>
      <c r="F82" s="52" t="s">
        <v>55</v>
      </c>
      <c r="G82" s="130" t="s">
        <v>56</v>
      </c>
      <c r="H82" s="151"/>
    </row>
    <row r="83" spans="1:8" ht="28.8" x14ac:dyDescent="0.3">
      <c r="A83" s="55" t="s">
        <v>151</v>
      </c>
      <c r="B83" s="55">
        <v>96</v>
      </c>
      <c r="C83" s="84">
        <v>0</v>
      </c>
      <c r="D83" s="84">
        <f>B83</f>
        <v>96</v>
      </c>
      <c r="E83" s="104" t="s">
        <v>126</v>
      </c>
      <c r="F83" s="105" t="s">
        <v>127</v>
      </c>
      <c r="G83" s="131" t="s">
        <v>130</v>
      </c>
      <c r="H83" s="151">
        <v>1</v>
      </c>
    </row>
    <row r="84" spans="1:8" x14ac:dyDescent="0.3">
      <c r="A84" s="55" t="s">
        <v>152</v>
      </c>
      <c r="B84" s="55">
        <f>B83*2</f>
        <v>192</v>
      </c>
      <c r="C84" s="84">
        <v>0</v>
      </c>
      <c r="D84" s="84">
        <f t="shared" ref="D84:D88" si="7">B84</f>
        <v>192</v>
      </c>
      <c r="E84" t="s">
        <v>132</v>
      </c>
      <c r="F84" t="s">
        <v>133</v>
      </c>
      <c r="G84" s="131" t="s">
        <v>134</v>
      </c>
      <c r="H84" s="151">
        <v>1</v>
      </c>
    </row>
    <row r="85" spans="1:8" ht="28.8" x14ac:dyDescent="0.3">
      <c r="A85" s="55" t="s">
        <v>153</v>
      </c>
      <c r="B85" s="55">
        <v>96</v>
      </c>
      <c r="C85" s="84">
        <v>0</v>
      </c>
      <c r="D85" s="84">
        <f t="shared" si="7"/>
        <v>96</v>
      </c>
      <c r="E85" s="104" t="s">
        <v>126</v>
      </c>
      <c r="F85" s="105" t="s">
        <v>127</v>
      </c>
      <c r="G85" s="139" t="s">
        <v>136</v>
      </c>
      <c r="H85" s="151">
        <v>1</v>
      </c>
    </row>
    <row r="86" spans="1:8" ht="28.8" x14ac:dyDescent="0.3">
      <c r="A86" s="55" t="s">
        <v>154</v>
      </c>
      <c r="B86" s="55">
        <v>88</v>
      </c>
      <c r="C86" s="84">
        <v>0</v>
      </c>
      <c r="D86" s="84">
        <f t="shared" si="7"/>
        <v>88</v>
      </c>
      <c r="E86" s="126" t="s">
        <v>155</v>
      </c>
      <c r="F86" s="128" t="s">
        <v>156</v>
      </c>
      <c r="G86" s="87"/>
      <c r="H86" s="151">
        <v>1</v>
      </c>
    </row>
    <row r="87" spans="1:8" x14ac:dyDescent="0.3">
      <c r="A87" s="55" t="s">
        <v>157</v>
      </c>
      <c r="B87" s="55">
        <v>176</v>
      </c>
      <c r="C87" s="84">
        <v>0</v>
      </c>
      <c r="D87" s="84">
        <f t="shared" si="7"/>
        <v>176</v>
      </c>
      <c r="E87" s="126" t="s">
        <v>158</v>
      </c>
      <c r="F87" s="127" t="s">
        <v>159</v>
      </c>
      <c r="G87" s="87"/>
      <c r="H87" s="151">
        <v>1</v>
      </c>
    </row>
    <row r="88" spans="1:8" x14ac:dyDescent="0.3">
      <c r="A88" s="55" t="s">
        <v>160</v>
      </c>
      <c r="B88" s="55">
        <v>176</v>
      </c>
      <c r="C88" s="84">
        <v>0</v>
      </c>
      <c r="D88" s="84">
        <f t="shared" si="7"/>
        <v>176</v>
      </c>
      <c r="E88" s="126" t="s">
        <v>161</v>
      </c>
      <c r="F88" s="127" t="s">
        <v>162</v>
      </c>
      <c r="G88" s="87"/>
      <c r="H88" s="151">
        <v>1</v>
      </c>
    </row>
    <row r="89" spans="1:8" x14ac:dyDescent="0.3">
      <c r="A89" s="55"/>
      <c r="B89" s="55"/>
      <c r="C89" s="84"/>
      <c r="D89" s="84"/>
      <c r="E89" s="55"/>
      <c r="F89" s="55"/>
      <c r="G89" s="57"/>
      <c r="H89" s="151"/>
    </row>
    <row r="90" spans="1:8" x14ac:dyDescent="0.3">
      <c r="A90" s="259" t="s">
        <v>163</v>
      </c>
      <c r="B90" s="270"/>
      <c r="C90" s="270"/>
      <c r="D90" s="270"/>
      <c r="E90" s="270"/>
      <c r="F90" s="270"/>
      <c r="G90" s="270"/>
      <c r="H90" s="151"/>
    </row>
    <row r="91" spans="1:8" x14ac:dyDescent="0.3">
      <c r="A91" s="54" t="s">
        <v>0</v>
      </c>
      <c r="B91" s="54" t="s">
        <v>51</v>
      </c>
      <c r="C91" s="54" t="s">
        <v>52</v>
      </c>
      <c r="D91" s="61" t="s">
        <v>53</v>
      </c>
      <c r="E91" s="52" t="s">
        <v>54</v>
      </c>
      <c r="F91" s="52" t="s">
        <v>55</v>
      </c>
      <c r="G91" s="130" t="s">
        <v>56</v>
      </c>
      <c r="H91" s="151"/>
    </row>
    <row r="92" spans="1:8" ht="28.8" x14ac:dyDescent="0.3">
      <c r="A92" s="55" t="s">
        <v>164</v>
      </c>
      <c r="B92" s="55">
        <v>96</v>
      </c>
      <c r="C92" s="84">
        <v>0</v>
      </c>
      <c r="D92" s="84">
        <f t="shared" ref="D92:D97" si="8">B92+C92</f>
        <v>96</v>
      </c>
      <c r="E92" s="104" t="s">
        <v>126</v>
      </c>
      <c r="F92" s="105" t="s">
        <v>127</v>
      </c>
      <c r="G92" s="131" t="s">
        <v>130</v>
      </c>
      <c r="H92" s="151">
        <v>1</v>
      </c>
    </row>
    <row r="93" spans="1:8" x14ac:dyDescent="0.3">
      <c r="A93" s="55" t="s">
        <v>165</v>
      </c>
      <c r="B93" s="55">
        <f>B92*2</f>
        <v>192</v>
      </c>
      <c r="C93" s="84">
        <v>0</v>
      </c>
      <c r="D93" s="84">
        <f t="shared" si="8"/>
        <v>192</v>
      </c>
      <c r="E93" t="s">
        <v>132</v>
      </c>
      <c r="F93" t="s">
        <v>133</v>
      </c>
      <c r="G93" s="131" t="s">
        <v>134</v>
      </c>
      <c r="H93" s="151">
        <v>1</v>
      </c>
    </row>
    <row r="94" spans="1:8" ht="28.8" x14ac:dyDescent="0.3">
      <c r="A94" s="55" t="s">
        <v>166</v>
      </c>
      <c r="B94" s="55">
        <v>96</v>
      </c>
      <c r="C94" s="84">
        <v>0</v>
      </c>
      <c r="D94" s="84">
        <f t="shared" si="8"/>
        <v>96</v>
      </c>
      <c r="E94" s="104" t="s">
        <v>126</v>
      </c>
      <c r="F94" s="105" t="s">
        <v>127</v>
      </c>
      <c r="G94" s="139" t="s">
        <v>136</v>
      </c>
      <c r="H94" s="151">
        <v>1</v>
      </c>
    </row>
    <row r="95" spans="1:8" ht="28.8" x14ac:dyDescent="0.3">
      <c r="A95" s="56" t="s">
        <v>167</v>
      </c>
      <c r="B95" s="56">
        <v>48</v>
      </c>
      <c r="C95" s="125">
        <v>0</v>
      </c>
      <c r="D95" s="84">
        <f t="shared" si="8"/>
        <v>48</v>
      </c>
      <c r="E95" s="110" t="s">
        <v>126</v>
      </c>
      <c r="F95" s="111" t="s">
        <v>127</v>
      </c>
      <c r="G95" s="139"/>
      <c r="H95" s="151">
        <v>1</v>
      </c>
    </row>
    <row r="96" spans="1:8" x14ac:dyDescent="0.3">
      <c r="A96" s="56" t="s">
        <v>168</v>
      </c>
      <c r="B96" s="56">
        <v>96</v>
      </c>
      <c r="C96" s="125">
        <v>0</v>
      </c>
      <c r="D96" s="84">
        <f t="shared" si="8"/>
        <v>96</v>
      </c>
      <c r="E96" t="s">
        <v>144</v>
      </c>
      <c r="F96" t="s">
        <v>145</v>
      </c>
      <c r="G96" s="131"/>
      <c r="H96" s="151">
        <v>1</v>
      </c>
    </row>
    <row r="97" spans="1:8" ht="28.8" x14ac:dyDescent="0.3">
      <c r="A97" s="56" t="s">
        <v>169</v>
      </c>
      <c r="B97" s="56">
        <v>192</v>
      </c>
      <c r="C97" s="125">
        <v>0</v>
      </c>
      <c r="D97" s="84">
        <f t="shared" si="8"/>
        <v>192</v>
      </c>
      <c r="E97" s="112" t="s">
        <v>170</v>
      </c>
      <c r="F97" s="113" t="s">
        <v>141</v>
      </c>
      <c r="G97" s="57" t="s">
        <v>171</v>
      </c>
      <c r="H97" s="151">
        <v>1</v>
      </c>
    </row>
    <row r="98" spans="1:8" x14ac:dyDescent="0.3">
      <c r="A98" s="271" t="s">
        <v>172</v>
      </c>
      <c r="B98" s="272"/>
      <c r="C98" s="272"/>
      <c r="D98" s="272"/>
      <c r="E98" s="272"/>
      <c r="F98" s="272"/>
      <c r="G98" s="270"/>
      <c r="H98" s="152"/>
    </row>
    <row r="99" spans="1:8" x14ac:dyDescent="0.3">
      <c r="A99" s="52" t="s">
        <v>0</v>
      </c>
      <c r="B99" s="52" t="s">
        <v>51</v>
      </c>
      <c r="C99" s="52" t="s">
        <v>52</v>
      </c>
      <c r="D99" s="53" t="s">
        <v>53</v>
      </c>
      <c r="E99" s="52" t="s">
        <v>54</v>
      </c>
      <c r="F99" s="52" t="s">
        <v>55</v>
      </c>
      <c r="G99" s="137" t="s">
        <v>56</v>
      </c>
      <c r="H99" s="151"/>
    </row>
    <row r="100" spans="1:8" x14ac:dyDescent="0.3">
      <c r="A100" s="55" t="s">
        <v>173</v>
      </c>
      <c r="B100" s="88">
        <f>B20*48</f>
        <v>960</v>
      </c>
      <c r="C100" s="84">
        <v>0</v>
      </c>
      <c r="D100" s="84">
        <f>SUM(B100:C100)</f>
        <v>960</v>
      </c>
      <c r="E100" s="56" t="s">
        <v>174</v>
      </c>
      <c r="F100" s="55" t="s">
        <v>175</v>
      </c>
      <c r="G100" s="140"/>
      <c r="H100" s="152">
        <v>1</v>
      </c>
    </row>
    <row r="101" spans="1:8" x14ac:dyDescent="0.3">
      <c r="A101" s="55" t="s">
        <v>176</v>
      </c>
      <c r="B101" s="55">
        <f>B20*2</f>
        <v>40</v>
      </c>
      <c r="C101" s="84">
        <v>0</v>
      </c>
      <c r="D101" s="84">
        <f t="shared" ref="D101:D107" si="9">SUM(B101:C101)</f>
        <v>40</v>
      </c>
      <c r="E101" t="s">
        <v>177</v>
      </c>
      <c r="F101" t="s">
        <v>178</v>
      </c>
      <c r="G101" s="141" t="s">
        <v>66</v>
      </c>
      <c r="H101" s="152">
        <v>1</v>
      </c>
    </row>
    <row r="102" spans="1:8" x14ac:dyDescent="0.3">
      <c r="A102" s="55" t="s">
        <v>179</v>
      </c>
      <c r="B102" s="55">
        <v>24</v>
      </c>
      <c r="C102" s="84">
        <v>0</v>
      </c>
      <c r="D102" s="84">
        <f t="shared" si="9"/>
        <v>24</v>
      </c>
      <c r="E102" s="95" t="s">
        <v>180</v>
      </c>
      <c r="F102" s="100" t="s">
        <v>181</v>
      </c>
      <c r="G102" s="140" t="s">
        <v>182</v>
      </c>
      <c r="H102" s="152">
        <v>1</v>
      </c>
    </row>
    <row r="103" spans="1:8" ht="28.8" x14ac:dyDescent="0.3">
      <c r="A103" s="55" t="s">
        <v>183</v>
      </c>
      <c r="B103" s="55">
        <v>92</v>
      </c>
      <c r="C103" s="84">
        <v>0</v>
      </c>
      <c r="D103" s="84">
        <f t="shared" si="9"/>
        <v>92</v>
      </c>
      <c r="E103" s="172" t="s">
        <v>184</v>
      </c>
      <c r="F103" s="173" t="s">
        <v>185</v>
      </c>
      <c r="G103" s="35" t="s">
        <v>186</v>
      </c>
      <c r="H103" s="152">
        <v>1</v>
      </c>
    </row>
    <row r="104" spans="1:8" x14ac:dyDescent="0.3">
      <c r="A104" s="55" t="s">
        <v>187</v>
      </c>
      <c r="B104" s="55">
        <v>32</v>
      </c>
      <c r="C104" s="84">
        <v>0</v>
      </c>
      <c r="D104" s="84">
        <f t="shared" si="9"/>
        <v>32</v>
      </c>
      <c r="E104" t="s">
        <v>188</v>
      </c>
      <c r="F104" t="s">
        <v>189</v>
      </c>
      <c r="G104" s="140"/>
      <c r="H104" s="152">
        <v>1</v>
      </c>
    </row>
    <row r="105" spans="1:8" x14ac:dyDescent="0.3">
      <c r="A105" s="55" t="s">
        <v>190</v>
      </c>
      <c r="B105" s="55">
        <v>4</v>
      </c>
      <c r="C105" s="84">
        <f t="shared" ref="C105:C107" si="10">B105*0.02</f>
        <v>0.08</v>
      </c>
      <c r="D105" s="84">
        <f t="shared" si="9"/>
        <v>4.08</v>
      </c>
      <c r="E105" t="s">
        <v>188</v>
      </c>
      <c r="F105" t="s">
        <v>189</v>
      </c>
      <c r="G105" s="140"/>
      <c r="H105" s="152">
        <v>1</v>
      </c>
    </row>
    <row r="106" spans="1:8" x14ac:dyDescent="0.3">
      <c r="A106" s="55" t="s">
        <v>191</v>
      </c>
      <c r="B106" s="55">
        <v>4</v>
      </c>
      <c r="C106" s="84">
        <f t="shared" si="10"/>
        <v>0.08</v>
      </c>
      <c r="D106" s="84">
        <f t="shared" si="9"/>
        <v>4.08</v>
      </c>
      <c r="E106" s="93" t="s">
        <v>192</v>
      </c>
      <c r="F106" t="s">
        <v>193</v>
      </c>
      <c r="G106" s="140"/>
      <c r="H106" s="152">
        <v>1</v>
      </c>
    </row>
    <row r="107" spans="1:8" x14ac:dyDescent="0.3">
      <c r="A107" s="55" t="s">
        <v>194</v>
      </c>
      <c r="B107" s="55">
        <v>4</v>
      </c>
      <c r="C107" s="84">
        <f t="shared" si="10"/>
        <v>0.08</v>
      </c>
      <c r="D107" s="84">
        <f t="shared" si="9"/>
        <v>4.08</v>
      </c>
      <c r="E107" t="s">
        <v>188</v>
      </c>
      <c r="F107" t="s">
        <v>189</v>
      </c>
      <c r="G107" s="140"/>
      <c r="H107" s="152">
        <v>1</v>
      </c>
    </row>
    <row r="108" spans="1:8" x14ac:dyDescent="0.3">
      <c r="A108" s="273" t="s">
        <v>195</v>
      </c>
      <c r="B108" s="273"/>
      <c r="C108" s="273"/>
      <c r="D108" s="273"/>
      <c r="E108" s="273"/>
      <c r="F108" s="273"/>
      <c r="G108" s="274"/>
      <c r="H108" s="151"/>
    </row>
    <row r="109" spans="1:8" x14ac:dyDescent="0.3">
      <c r="A109" s="89" t="s">
        <v>0</v>
      </c>
      <c r="B109" s="89" t="s">
        <v>51</v>
      </c>
      <c r="C109" s="89" t="s">
        <v>52</v>
      </c>
      <c r="D109" s="90" t="s">
        <v>53</v>
      </c>
      <c r="E109" s="89" t="s">
        <v>54</v>
      </c>
      <c r="F109" s="89" t="s">
        <v>55</v>
      </c>
      <c r="G109" s="142" t="s">
        <v>56</v>
      </c>
      <c r="H109" s="151"/>
    </row>
    <row r="110" spans="1:8" ht="43.2" x14ac:dyDescent="0.3">
      <c r="A110" s="55" t="s">
        <v>196</v>
      </c>
      <c r="B110" s="55">
        <v>8</v>
      </c>
      <c r="C110" s="55">
        <v>0</v>
      </c>
      <c r="D110" s="55">
        <v>8</v>
      </c>
      <c r="E110" s="94" t="s">
        <v>188</v>
      </c>
      <c r="F110" s="94" t="s">
        <v>189</v>
      </c>
      <c r="G110" s="143" t="s">
        <v>197</v>
      </c>
      <c r="H110" s="152">
        <v>1</v>
      </c>
    </row>
    <row r="111" spans="1:8" x14ac:dyDescent="0.3">
      <c r="A111" s="55" t="s">
        <v>198</v>
      </c>
      <c r="B111" s="55">
        <v>8</v>
      </c>
      <c r="C111" s="55">
        <v>0</v>
      </c>
      <c r="D111" s="55">
        <v>8</v>
      </c>
      <c r="E111" s="93" t="s">
        <v>192</v>
      </c>
      <c r="F111" s="114" t="s">
        <v>199</v>
      </c>
      <c r="G111" s="144"/>
      <c r="H111" s="152">
        <v>1</v>
      </c>
    </row>
    <row r="112" spans="1:8" ht="28.8" x14ac:dyDescent="0.3">
      <c r="A112" s="55" t="s">
        <v>200</v>
      </c>
      <c r="B112" s="55">
        <v>8</v>
      </c>
      <c r="C112" s="55">
        <v>0</v>
      </c>
      <c r="D112" s="55">
        <v>8</v>
      </c>
      <c r="E112" s="104" t="s">
        <v>126</v>
      </c>
      <c r="F112" s="104" t="s">
        <v>127</v>
      </c>
      <c r="G112" s="144"/>
      <c r="H112" s="152">
        <v>1</v>
      </c>
    </row>
    <row r="113" spans="1:8" x14ac:dyDescent="0.3">
      <c r="A113" s="57"/>
      <c r="B113" s="57"/>
      <c r="C113" s="57"/>
      <c r="D113" s="57"/>
      <c r="E113" s="57"/>
      <c r="F113" s="57"/>
      <c r="G113" s="57"/>
      <c r="H113" s="151"/>
    </row>
    <row r="114" spans="1:8" ht="15" thickBot="1" x14ac:dyDescent="0.35">
      <c r="A114" s="74"/>
      <c r="B114" s="74"/>
      <c r="C114" s="74"/>
      <c r="D114" s="74"/>
      <c r="E114" s="74"/>
      <c r="F114" s="74"/>
      <c r="G114" s="74"/>
      <c r="H114" s="156"/>
    </row>
    <row r="115" spans="1:8" ht="15" thickBot="1" x14ac:dyDescent="0.35">
      <c r="A115" s="275" t="s">
        <v>201</v>
      </c>
      <c r="B115" s="276"/>
      <c r="C115" s="276"/>
      <c r="D115" s="276"/>
      <c r="E115" s="276"/>
      <c r="F115" s="276"/>
      <c r="G115" s="276"/>
      <c r="H115" s="156"/>
    </row>
    <row r="116" spans="1:8" x14ac:dyDescent="0.3">
      <c r="A116" s="74"/>
      <c r="B116" s="74"/>
      <c r="C116" s="74"/>
      <c r="D116" s="74"/>
      <c r="E116" s="74"/>
      <c r="F116" s="74"/>
      <c r="G116" s="74"/>
      <c r="H116" s="156"/>
    </row>
    <row r="117" spans="1:8" ht="15" thickBot="1" x14ac:dyDescent="0.35">
      <c r="A117" s="74"/>
      <c r="B117" s="74"/>
      <c r="C117" s="74"/>
      <c r="D117" s="74"/>
      <c r="E117" s="74"/>
      <c r="F117" s="74"/>
      <c r="G117" s="74"/>
      <c r="H117" s="156"/>
    </row>
    <row r="118" spans="1:8" ht="41.4" x14ac:dyDescent="0.3">
      <c r="A118" s="75" t="s">
        <v>202</v>
      </c>
      <c r="B118" s="277" t="s">
        <v>203</v>
      </c>
      <c r="C118" s="278"/>
      <c r="D118" s="279"/>
      <c r="E118" s="76" t="s">
        <v>204</v>
      </c>
      <c r="F118" s="50"/>
      <c r="G118" s="77"/>
      <c r="H118" s="157"/>
    </row>
    <row r="119" spans="1:8" ht="15" thickBot="1" x14ac:dyDescent="0.35">
      <c r="A119" s="78" t="s">
        <v>205</v>
      </c>
      <c r="B119" s="280" t="s">
        <v>206</v>
      </c>
      <c r="C119" s="281"/>
      <c r="D119" s="282"/>
      <c r="E119" s="79" t="s">
        <v>207</v>
      </c>
      <c r="F119" s="50"/>
      <c r="G119" s="74"/>
      <c r="H119" s="158"/>
    </row>
    <row r="120" spans="1:8" x14ac:dyDescent="0.3">
      <c r="A120" s="80"/>
      <c r="B120" s="74"/>
      <c r="C120" s="74"/>
      <c r="D120" s="74"/>
      <c r="E120" s="74"/>
      <c r="F120" s="74"/>
      <c r="G120" s="74"/>
      <c r="H120" s="156"/>
    </row>
    <row r="121" spans="1:8" x14ac:dyDescent="0.3">
      <c r="A121" s="283" t="s">
        <v>208</v>
      </c>
      <c r="B121" s="284"/>
      <c r="C121" s="284"/>
      <c r="D121" s="284"/>
      <c r="E121" s="284"/>
      <c r="F121" s="284"/>
      <c r="G121" s="284"/>
      <c r="H121" s="148" t="s">
        <v>209</v>
      </c>
    </row>
    <row r="122" spans="1:8" ht="15" thickBot="1" x14ac:dyDescent="0.35">
      <c r="A122" s="74"/>
      <c r="B122" s="74"/>
      <c r="C122" s="57"/>
      <c r="D122" s="74"/>
      <c r="E122" s="74"/>
      <c r="F122" s="74"/>
      <c r="G122" s="74"/>
      <c r="H122" s="156"/>
    </row>
    <row r="123" spans="1:8" x14ac:dyDescent="0.3">
      <c r="A123" s="60"/>
      <c r="B123" s="267" t="s">
        <v>210</v>
      </c>
      <c r="C123" s="268"/>
      <c r="D123" s="268"/>
      <c r="E123" s="268"/>
      <c r="F123" s="268"/>
      <c r="G123" s="269"/>
      <c r="H123" s="149"/>
    </row>
    <row r="124" spans="1:8" x14ac:dyDescent="0.3">
      <c r="A124" s="57" t="s">
        <v>211</v>
      </c>
      <c r="B124" s="81" t="s">
        <v>212</v>
      </c>
      <c r="C124" s="81" t="s">
        <v>213</v>
      </c>
      <c r="D124" s="82" t="s">
        <v>51</v>
      </c>
      <c r="E124" s="83" t="s">
        <v>214</v>
      </c>
      <c r="F124" s="83" t="s">
        <v>55</v>
      </c>
      <c r="G124" s="145" t="s">
        <v>56</v>
      </c>
      <c r="H124" s="149"/>
    </row>
    <row r="125" spans="1:8" x14ac:dyDescent="0.3">
      <c r="A125" s="107">
        <f t="shared" ref="A125:A140" ca="1" si="11">D125*0.02</f>
        <v>0</v>
      </c>
      <c r="B125" s="64"/>
      <c r="C125" s="64"/>
      <c r="D125" s="68">
        <f ca="1">SUMIF($E$1:INDIRECT($B$119),E125,$D$1:INDIRECT($A$119))</f>
        <v>0</v>
      </c>
      <c r="E125" s="59" t="str" cm="1">
        <f t="array" aca="1" ref="E125:E149" ca="1">IFERROR(_xlfn._xlws.SORT(_xlfn.UNIQUE(_xlfn._xlws.FILTER(E1:INDIRECT($B$119),(E1:INDIRECT($B$119)&lt;&gt;0)*(E1:INDIRECT($B$119)&lt;&gt;" ")*(ISERROR(SEARCH("Model",E1:INDIRECT($B$119))))))),"               [No Date in Source Table]")</f>
        <v>21RKC</v>
      </c>
      <c r="F125" s="59" t="str">
        <f ca="1">IFERROR(IF(INDEX($F$1:INDIRECT($E$119),MATCH(E125,$E$1:INDIRECT($B$119),0))=0," ",INDEX($F$1:INDIRECT($E$119),MATCH(E125,$E$1:INDIRECT($B$119),0))),"   [ Adjacent Item Model/PN cell is Empty ]")</f>
        <v>CBL-MPO12-APC-SMF-50M</v>
      </c>
      <c r="G125" s="134"/>
      <c r="H125" s="149"/>
    </row>
    <row r="126" spans="1:8" x14ac:dyDescent="0.3">
      <c r="A126" s="107">
        <f t="shared" ca="1" si="11"/>
        <v>1.84</v>
      </c>
      <c r="B126" s="64"/>
      <c r="C126" s="64"/>
      <c r="D126" s="68">
        <f ca="1">SUMIF($E$1:INDIRECT($B$119),E126,$D$1:INDIRECT($A$119))</f>
        <v>92</v>
      </c>
      <c r="E126" s="59" t="str">
        <f ca="1"/>
        <v>470-ABGH</v>
      </c>
      <c r="F126" s="59" t="str">
        <f ca="1">IFERROR(IF(INDEX($F$1:INDIRECT($E$119),MATCH(E126,$E$1:INDIRECT($B$119),0))=0," ",INDEX($F$1:INDIRECT($E$119),MATCH(E126,$E$1:INDIRECT($B$119),0))),"   [ Adjacent Item Model/PN cell is Empty ]")</f>
        <v>Switch Xcvr to LC Patch Panel MPO-4xLC short leg patch cable, Other end is LC to OOB Leafs</v>
      </c>
      <c r="G126" s="146"/>
      <c r="H126" s="149" t="s">
        <v>215</v>
      </c>
    </row>
    <row r="127" spans="1:8" x14ac:dyDescent="0.3">
      <c r="A127" s="107">
        <f t="shared" ca="1" si="11"/>
        <v>0.04</v>
      </c>
      <c r="B127" s="64"/>
      <c r="C127" s="64"/>
      <c r="D127" s="68">
        <f ca="1">SUMIF($E$1:INDIRECT($B$119),E127,$D$1:INDIRECT($A$119))</f>
        <v>2</v>
      </c>
      <c r="E127" s="59" t="str">
        <f ca="1"/>
        <v>920-9N301-00RB-0C0</v>
      </c>
      <c r="F127" s="59" t="str">
        <f ca="1">IFERROR(IF(INDEX($F$1:INDIRECT($E$119),MATCH(E127,$E$1:INDIRECT($B$119),0))=0," ",INDEX($F$1:INDIRECT($E$119),MATCH(E127,$E$1:INDIRECT($B$119),0))),"   [ Adjacent Item Model/PN cell is Empty ]")</f>
        <v>SN4700,1U,C2P</v>
      </c>
      <c r="G127" s="146"/>
      <c r="H127" s="149" t="s">
        <v>216</v>
      </c>
    </row>
    <row r="128" spans="1:8" x14ac:dyDescent="0.3">
      <c r="A128" s="107">
        <f t="shared" ca="1" si="11"/>
        <v>0.92</v>
      </c>
      <c r="B128" s="64"/>
      <c r="C128" s="64"/>
      <c r="D128" s="68">
        <f ca="1">SUMIF($E$1:INDIRECT($B$119),E128,$D$1:INDIRECT($A$119))</f>
        <v>46</v>
      </c>
      <c r="E128" s="59" t="str">
        <f ca="1"/>
        <v>920-9N42F-00RI-3C1</v>
      </c>
      <c r="F128" s="59" t="str">
        <f ca="1">IFERROR(IF(INDEX($F$1:INDIRECT($E$119),MATCH(E128,$E$1:INDIRECT($B$119),0))=0," ",INDEX($F$1:INDIRECT($E$119),MATCH(E128,$E$1:INDIRECT($B$119),0))),"   [ Adjacent Item Model/PN cell is Empty ]")</f>
        <v>SN5610, 2U , C2P</v>
      </c>
      <c r="G128" s="146"/>
      <c r="H128" s="149" t="s">
        <v>217</v>
      </c>
    </row>
    <row r="129" spans="1:8" x14ac:dyDescent="0.3">
      <c r="A129" s="107">
        <f t="shared" ca="1" si="11"/>
        <v>0.8</v>
      </c>
      <c r="B129" s="64"/>
      <c r="C129" s="64"/>
      <c r="D129" s="68">
        <f ca="1">SUMIF($E$1:INDIRECT($B$119),E129,$D$1:INDIRECT($A$119))</f>
        <v>40</v>
      </c>
      <c r="E129" s="59" t="str">
        <f ca="1"/>
        <v>980-9I042-00C000</v>
      </c>
      <c r="F129" s="59" t="str">
        <f ca="1">IFERROR(IF(INDEX($F$1:INDIRECT($E$119),MATCH(E129,$E$1:INDIRECT($B$119),0))=0," ",INDEX($F$1:INDIRECT($E$119),MATCH(E129,$E$1:INDIRECT($B$119),0))),"   [ Adjacent Item Model/PN cell is Empty ]")</f>
        <v>Mellanox transceiver, 100GbE, QSFP28, LC-LC, 1310nm, DR1</v>
      </c>
      <c r="G129" s="146"/>
      <c r="H129" s="149" t="s">
        <v>218</v>
      </c>
    </row>
    <row r="130" spans="1:8" x14ac:dyDescent="0.3">
      <c r="A130" s="107">
        <f t="shared" ca="1" si="11"/>
        <v>0.96319999999999995</v>
      </c>
      <c r="B130" s="64"/>
      <c r="C130" s="64"/>
      <c r="D130" s="68">
        <f ca="1">SUMIF($E$1:INDIRECT($B$119),E130,$D$1:INDIRECT($A$119))</f>
        <v>48.16</v>
      </c>
      <c r="E130" s="59" t="str">
        <f ca="1"/>
        <v>980-9I16Y-00W000</v>
      </c>
      <c r="F130" s="59" t="str">
        <f ca="1">IFERROR(IF(INDEX($F$1:INDIRECT($E$119),MATCH(E130,$E$1:INDIRECT($B$119),0))=0," ",INDEX($F$1:INDIRECT($E$119),MATCH(E130,$E$1:INDIRECT($B$119),0))),"   [ Adjacent Item Model/PN cell is Empty ]")</f>
        <v>Mellanox transceiver, 400GbE, QSFP-DD, MPO, 1310nm, DR4+</v>
      </c>
      <c r="G130" s="146"/>
      <c r="H130" s="149"/>
    </row>
    <row r="131" spans="1:8" x14ac:dyDescent="0.3">
      <c r="A131" s="107">
        <f t="shared" ca="1" si="11"/>
        <v>18.559999999999999</v>
      </c>
      <c r="B131" s="64"/>
      <c r="C131" s="64"/>
      <c r="D131" s="68">
        <f ca="1">SUMIF($E$1:INDIRECT($B$119),E131,$D$1:INDIRECT($A$119))</f>
        <v>928</v>
      </c>
      <c r="E131" s="59" t="str">
        <f ca="1"/>
        <v>9VFNX</v>
      </c>
      <c r="F131" s="59" t="str">
        <f ca="1">IFERROR(IF(INDEX($F$1:INDIRECT($E$119),MATCH(E131,$E$1:INDIRECT($B$119),0))=0," ",INDEX($F$1:INDIRECT($E$119),MATCH(E131,$E$1:INDIRECT($B$119),0))),"   [ Adjacent Item Model/PN cell is Empty ]")</f>
        <v>CBL-MPO12-APC-SMF-100M</v>
      </c>
      <c r="G131" s="146"/>
      <c r="H131" s="149"/>
    </row>
    <row r="132" spans="1:8" x14ac:dyDescent="0.3">
      <c r="A132" s="107">
        <f t="shared" ca="1" si="11"/>
        <v>3.52</v>
      </c>
      <c r="B132" s="64"/>
      <c r="C132" s="64"/>
      <c r="D132" s="68">
        <f ca="1">SUMIF($E$1:INDIRECT($B$119),E132,$D$1:INDIRECT($A$119))</f>
        <v>176</v>
      </c>
      <c r="E132" s="59" t="str">
        <f ca="1"/>
        <v>C4X6C VSR4</v>
      </c>
      <c r="F132" s="59" t="str">
        <f ca="1">IFERROR(IF(INDEX($F$1:INDIRECT($E$119),MATCH(E132,$E$1:INDIRECT($B$119),0))=0," ",INDEX($F$1:INDIRECT($E$119),MATCH(E132,$E$1:INDIRECT($B$119),0))),"   [ Adjacent Item Model/PN cell is Empty ]")</f>
        <v>Hisense 80C multi‑mode QSFP112 transceiver</v>
      </c>
      <c r="G132" s="146"/>
      <c r="H132" s="149"/>
    </row>
    <row r="133" spans="1:8" x14ac:dyDescent="0.3">
      <c r="A133" s="107">
        <f t="shared" ca="1" si="11"/>
        <v>19.2</v>
      </c>
      <c r="B133" s="64"/>
      <c r="C133" s="64"/>
      <c r="D133" s="68">
        <f ca="1">SUMIF($E$1:INDIRECT($B$119),E133,$D$1:INDIRECT($A$119))</f>
        <v>960</v>
      </c>
      <c r="E133" s="59" t="str">
        <f ca="1"/>
        <v>Cat 6</v>
      </c>
      <c r="F133" s="59" t="str">
        <f ca="1">IFERROR(IF(INDEX($F$1:INDIRECT($E$119),MATCH(E133,$E$1:INDIRECT($B$119),0))=0," ",INDEX($F$1:INDIRECT($E$119),MATCH(E133,$E$1:INDIRECT($B$119),0))),"   [ Adjacent Item Model/PN cell is Empty ]")</f>
        <v xml:space="preserve">Cat 6 </v>
      </c>
      <c r="G133" s="146"/>
      <c r="H133" s="149"/>
    </row>
    <row r="134" spans="1:8" x14ac:dyDescent="0.3">
      <c r="A134" s="107">
        <f t="shared" ca="1" si="11"/>
        <v>0.24160000000000001</v>
      </c>
      <c r="B134" s="64"/>
      <c r="C134" s="64"/>
      <c r="D134" s="59">
        <f ca="1">SUMIF($E$1:INDIRECT($B$119),E134,$D$1:INDIRECT($A$119))</f>
        <v>12.08</v>
      </c>
      <c r="E134" s="59" t="str">
        <f ca="1"/>
        <v>D3P20</v>
      </c>
      <c r="F134" s="59" t="str">
        <f ca="1">IFERROR(IF(INDEX($F$1:INDIRECT($E$119),MATCH(E134,$E$1:INDIRECT($B$119),0))=0," ",INDEX($F$1:INDIRECT($E$119),MATCH(E134,$E$1:INDIRECT($B$119),0))),"   [ Adjacent Item Model/PN cell is Empty ]")</f>
        <v>CBL-MPO12-APC-SMF-5M</v>
      </c>
      <c r="G134" s="146"/>
      <c r="H134" s="149"/>
    </row>
    <row r="135" spans="1:8" x14ac:dyDescent="0.3">
      <c r="A135" s="107">
        <f t="shared" ca="1" si="11"/>
        <v>0.32</v>
      </c>
      <c r="B135" s="64"/>
      <c r="C135" s="64"/>
      <c r="D135" s="59">
        <f ca="1">SUMIF($E$1:INDIRECT($B$119),E135,$D$1:INDIRECT($A$119))</f>
        <v>16</v>
      </c>
      <c r="E135" s="59" t="str">
        <f ca="1"/>
        <v>EDGE-03U-8B2X2G</v>
      </c>
      <c r="F135" s="59" t="str">
        <f ca="1">IFERROR(IF(INDEX($F$1:INDIRECT($E$119),MATCH(E135,$E$1:INDIRECT($B$119),0))=0," ",INDEX($F$1:INDIRECT($E$119),MATCH(E135,$E$1:INDIRECT($B$119),0))),"   [ Adjacent Item Model/PN cell is Empty ]")</f>
        <v>3U EDGE Shuffling Housing, Holds 8_2x2 Type B Modules for 128 input x 128 output ports</v>
      </c>
      <c r="G135" s="146"/>
      <c r="H135" s="149"/>
    </row>
    <row r="136" spans="1:8" x14ac:dyDescent="0.3">
      <c r="A136" s="107">
        <f t="shared" ca="1" si="11"/>
        <v>0</v>
      </c>
      <c r="B136" s="64"/>
      <c r="C136" s="64"/>
      <c r="D136" s="59">
        <f ca="1">SUMIF($E$1:INDIRECT($B$119),E136,$D$1:INDIRECT($A$119))</f>
        <v>0</v>
      </c>
      <c r="E136" s="59" t="str">
        <f ca="1"/>
        <v>EDGE-SH-03U</v>
      </c>
      <c r="F136" s="59" t="str">
        <f ca="1">IFERROR(IF(INDEX($F$1:INDIRECT($E$119),MATCH(E136,$E$1:INDIRECT($B$119),0))=0," ",INDEX($F$1:INDIRECT($E$119),MATCH(E136,$E$1:INDIRECT($B$119),0))),"   [ Adjacent Item Model/PN cell is Empty ]")</f>
        <v>Holds 8 shuffle Modules for 128 (Input) x 128 (Output) ports</v>
      </c>
      <c r="G136" s="146"/>
      <c r="H136" s="149" t="s">
        <v>219</v>
      </c>
    </row>
    <row r="137" spans="1:8" x14ac:dyDescent="0.3">
      <c r="A137" s="107">
        <f t="shared" ca="1" si="11"/>
        <v>1.28</v>
      </c>
      <c r="B137" s="64"/>
      <c r="C137" s="64"/>
      <c r="D137" s="59">
        <f ca="1">SUMIF($E$1:INDIRECT($B$119),E137,$D$1:INDIRECT($A$119))</f>
        <v>64</v>
      </c>
      <c r="E137" s="59" t="str">
        <f ca="1"/>
        <v>GEDEDU8GPN-008-U030M</v>
      </c>
      <c r="F137" s="59" t="str">
        <f ca="1">IFERROR(IF(INDEX($F$1:INDIRECT($E$119),MATCH(E137,$E$1:INDIRECT($B$119),0))=0," ",INDEX($F$1:INDIRECT($E$119),MATCH(E137,$E$1:INDIRECT($B$119),0))),"   [ Adjacent Item Model/PN cell is Empty ]")</f>
        <v>288f Trunk, SMF, MPO8 APC Non-pinned to MPO8 APC Non-pinned, Type B Polarity, 8' leg length</v>
      </c>
      <c r="G137" s="146"/>
      <c r="H137" s="149" t="s">
        <v>219</v>
      </c>
    </row>
    <row r="138" spans="1:8" x14ac:dyDescent="0.3">
      <c r="A138" s="107">
        <f t="shared" ca="1" si="11"/>
        <v>0.04</v>
      </c>
      <c r="B138" s="64"/>
      <c r="C138" s="64"/>
      <c r="D138" s="59">
        <f ca="1">SUMIF($E$1:INDIRECT($B$119),E138,$D$1:INDIRECT($A$119))</f>
        <v>2</v>
      </c>
      <c r="E138" s="59" t="str">
        <f ca="1"/>
        <v>IREN WILL PROVIDE</v>
      </c>
      <c r="F138" s="59" t="str">
        <f ca="1">IFERROR(IF(INDEX($F$1:INDIRECT($E$119),MATCH(E138,$E$1:INDIRECT($B$119),0))=0," ",INDEX($F$1:INDIRECT($E$119),MATCH(E138,$E$1:INDIRECT($B$119),0))),"   [ Adjacent Item Model/PN cell is Empty ]")</f>
        <v xml:space="preserve"> </v>
      </c>
      <c r="G138" s="134"/>
      <c r="H138" s="149" t="s">
        <v>220</v>
      </c>
    </row>
    <row r="139" spans="1:8" x14ac:dyDescent="0.3">
      <c r="A139" s="107">
        <f t="shared" ca="1" si="11"/>
        <v>0.48</v>
      </c>
      <c r="B139" s="64"/>
      <c r="C139" s="64"/>
      <c r="D139" s="59">
        <f ca="1">SUMIF($E$1:INDIRECT($B$119),E139,$D$1:INDIRECT($A$119))</f>
        <v>24</v>
      </c>
      <c r="E139" s="59" t="str">
        <f ca="1"/>
        <v>J6TD3</v>
      </c>
      <c r="F139" s="59" t="str">
        <f ca="1">IFERROR(IF(INDEX($F$1:INDIRECT($E$119),MATCH(E139,$E$1:INDIRECT($B$119),0))=0," ",INDEX($F$1:INDIRECT($E$119),MATCH(E139,$E$1:INDIRECT($B$119),0))),"   [ Adjacent Item Model/PN cell is Empty ]")</f>
        <v>CBL-MPO12-4LC-SMF-5M</v>
      </c>
      <c r="G139" s="134"/>
      <c r="H139" s="149" t="s">
        <v>221</v>
      </c>
    </row>
    <row r="140" spans="1:8" x14ac:dyDescent="0.3">
      <c r="A140" s="107">
        <f t="shared" ca="1" si="11"/>
        <v>40.96</v>
      </c>
      <c r="B140" s="64"/>
      <c r="C140" s="64"/>
      <c r="D140" s="59">
        <f ca="1">SUMIF($E$1:INDIRECT($B$119),E140,$D$1:INDIRECT($A$119))</f>
        <v>2048</v>
      </c>
      <c r="E140" s="59" t="str">
        <f ca="1"/>
        <v>JEDED08GE8-NB003M</v>
      </c>
      <c r="F140" s="59" t="str">
        <f ca="1">IFERROR(IF(INDEX($F$1:INDIRECT($E$119),MATCH(E140,$E$1:INDIRECT($B$119),0))=0," ",INDEX($F$1:INDIRECT($E$119),MATCH(E140,$E$1:INDIRECT($B$119),0))),"   [ Adjacent Item Model/PN cell is Empty ]")</f>
        <v>8f Jumper, SMF, MPO8 APC Non-pinned to MPO8 APC Non-pinned, Type B Polarity</v>
      </c>
      <c r="G140" s="134"/>
      <c r="H140" s="149" t="s">
        <v>222</v>
      </c>
    </row>
    <row r="141" spans="1:8" x14ac:dyDescent="0.3">
      <c r="A141" s="57"/>
      <c r="B141" s="64"/>
      <c r="C141" s="59"/>
      <c r="D141" s="59">
        <f ca="1">SUMIF($E$1:INDIRECT($B$119),E141,$D$1:INDIRECT($A$119))</f>
        <v>176</v>
      </c>
      <c r="E141" s="59" t="str">
        <f ca="1"/>
        <v xml:space="preserve">MFP7E10‑N005 </v>
      </c>
      <c r="F141" s="59" t="str">
        <f ca="1">IFERROR(IF(INDEX($F$1:INDIRECT($E$119),MATCH(E141,$E$1:INDIRECT($B$119),0))=0," ",INDEX($F$1:INDIRECT($E$119),MATCH(E141,$E$1:INDIRECT($B$119),0))),"   [ Adjacent Item Model/PN cell is Empty ]")</f>
        <v>MultiMode Fiber  MPO12/APC OM4 Type-B - 5 meter</v>
      </c>
      <c r="G141" s="134"/>
      <c r="H141" s="149"/>
    </row>
    <row r="142" spans="1:8" x14ac:dyDescent="0.3">
      <c r="A142" s="57"/>
      <c r="B142" s="64"/>
      <c r="C142" s="59"/>
      <c r="D142" s="59">
        <f ca="1">SUMIF($E$1:INDIRECT($B$119),E142,$D$1:INDIRECT($A$119))</f>
        <v>88</v>
      </c>
      <c r="E142" s="59" t="str">
        <f ca="1"/>
        <v>MMA4Z00‑NS-T</v>
      </c>
      <c r="F142" s="59" t="str">
        <f ca="1">IFERROR(IF(INDEX($F$1:INDIRECT($E$119),MATCH(E142,$E$1:INDIRECT($B$119),0))=0," ",INDEX($F$1:INDIRECT($E$119),MATCH(E142,$E$1:INDIRECT($B$119),0))),"   [ Adjacent Item Model/PN cell is Empty ]")</f>
        <v>NVIDIA TWIN PORT TRANSCEIVER, 800GBPS, 2X400GbE, OSFP, 2XMPO-12/APC, MMF, UP TO 50M, FINNED</v>
      </c>
      <c r="G142" s="134"/>
      <c r="H142" s="149"/>
    </row>
    <row r="143" spans="1:8" x14ac:dyDescent="0.3">
      <c r="A143" s="57"/>
      <c r="B143" s="64"/>
      <c r="C143" s="59"/>
      <c r="D143" s="59">
        <f ca="1">SUMIF($E$1:INDIRECT($B$119),E143,$D$1:INDIRECT($A$119))</f>
        <v>64</v>
      </c>
      <c r="E143" s="59" t="str">
        <f ca="1"/>
        <v>MMS1X00-NS400</v>
      </c>
      <c r="F143" s="59" t="str">
        <f ca="1">IFERROR(IF(INDEX($F$1:INDIRECT($E$119),MATCH(E143,$E$1:INDIRECT($B$119),0))=0," ",INDEX($F$1:INDIRECT($E$119),MATCH(E143,$E$1:INDIRECT($B$119),0))),"   [ Adjacent Item Model/PN cell is Empty ]")</f>
        <v>NVIDIA single port transceiver, 400Gbps, NDR, QSFP112, MPO, 1310nm SMF, up to 500m, flat top</v>
      </c>
      <c r="G143" s="134"/>
      <c r="H143" s="149"/>
    </row>
    <row r="144" spans="1:8" x14ac:dyDescent="0.3">
      <c r="A144" s="57"/>
      <c r="B144" s="64"/>
      <c r="C144" s="59"/>
      <c r="D144" s="59">
        <f ca="1">SUMIF($E$1:INDIRECT($B$119),E144,$D$1:INDIRECT($A$119))</f>
        <v>192</v>
      </c>
      <c r="E144" s="59" t="str">
        <f ca="1"/>
        <v>MMS1X00-NS400 - 6YVDP</v>
      </c>
      <c r="F144" s="59" t="str">
        <f ca="1">IFERROR(IF(INDEX($F$1:INDIRECT($E$119),MATCH(E144,$E$1:INDIRECT($B$119),0))=0," ",INDEX($F$1:INDIRECT($E$119),MATCH(E144,$E$1:INDIRECT($B$119),0))),"   [ Adjacent Item Model/PN cell is Empty ]")</f>
        <v>NVIDIA single port transceiver, 400Gbps, NDR, QSFP112, MPO, 1310nm SMF, up to 500m, flat top</v>
      </c>
      <c r="G144" s="134"/>
      <c r="H144" s="149"/>
    </row>
    <row r="145" spans="1:8" x14ac:dyDescent="0.3">
      <c r="A145" s="57"/>
      <c r="B145" s="64"/>
      <c r="C145" s="59"/>
      <c r="D145" s="59">
        <f ca="1">SUMIF($E$1:INDIRECT($B$119),E145,$D$1:INDIRECT($A$119))</f>
        <v>512</v>
      </c>
      <c r="E145" s="59" t="str">
        <f ca="1"/>
        <v>MMS4X00-NM-FLT</v>
      </c>
      <c r="F145" s="59" t="str">
        <f ca="1">IFERROR(IF(INDEX($F$1:INDIRECT($E$119),MATCH(E145,$E$1:INDIRECT($B$119),0))=0," ",INDEX($F$1:INDIRECT($E$119),MATCH(E145,$E$1:INDIRECT($B$119),0))),"   [ Adjacent Item Model/PN cell is Empty ]")</f>
        <v>NVDA twin port XCVR, 800GbE, 2×400, O112, 2×MPO12 APC, 1310nm SMF, to 100m, flat top RHS</v>
      </c>
      <c r="G145" s="134"/>
      <c r="H145" s="149"/>
    </row>
    <row r="146" spans="1:8" x14ac:dyDescent="0.3">
      <c r="A146" s="57"/>
      <c r="B146" s="64"/>
      <c r="C146" s="59"/>
      <c r="D146" s="59">
        <f ca="1">SUMIF($E$1:INDIRECT($B$119),E146,$D$1:INDIRECT($A$119))</f>
        <v>1248</v>
      </c>
      <c r="E146" s="59" t="str">
        <f ca="1"/>
        <v>MMS4X00-NM-T</v>
      </c>
      <c r="F146" s="59" t="str">
        <f ca="1">IFERROR(IF(INDEX($F$1:INDIRECT($E$119),MATCH(E146,$E$1:INDIRECT($B$119),0))=0," ",INDEX($F$1:INDIRECT($E$119),MATCH(E146,$E$1:INDIRECT($B$119),0))),"   [ Adjacent Item Model/PN cell is Empty ]")</f>
        <v>NVIDIA TWIN PORT TRANSCEIVER, 800GBPS,2X400GbE, OSFP, 2XMPO, 1310NM SMF, UP TO 500M, FINNED</v>
      </c>
      <c r="G146" s="146"/>
      <c r="H146" s="149"/>
    </row>
    <row r="147" spans="1:8" x14ac:dyDescent="0.3">
      <c r="A147" s="57"/>
      <c r="B147" s="64"/>
      <c r="C147" s="59"/>
      <c r="D147" s="59">
        <f ca="1">SUMIF($E$1:INDIRECT($B$119),E147,$D$1:INDIRECT($A$119))</f>
        <v>128</v>
      </c>
      <c r="E147" s="59" t="str">
        <f ca="1"/>
        <v>NFM93</v>
      </c>
      <c r="F147" s="59" t="str">
        <f ca="1">IFERROR(IF(INDEX($F$1:INDIRECT($E$119),MATCH(E147,$E$1:INDIRECT($B$119),0))=0," ",INDEX($F$1:INDIRECT($E$119),MATCH(E147,$E$1:INDIRECT($B$119),0))),"   [ Adjacent Item Model/PN cell is Empty ]")</f>
        <v>CBL-MPO12-2xMPO4FA-SMF-30M</v>
      </c>
      <c r="G147" s="146"/>
      <c r="H147" s="149"/>
    </row>
    <row r="148" spans="1:8" x14ac:dyDescent="0.3">
      <c r="A148" s="57"/>
      <c r="B148" s="64"/>
      <c r="C148" s="59"/>
      <c r="D148" s="59">
        <f ca="1">SUMIF($E$1:INDIRECT($B$119),E148,$D$1:INDIRECT($A$119))</f>
        <v>0</v>
      </c>
      <c r="E148" s="59" t="str">
        <f ca="1"/>
        <v>NMMB-002X2-8989G</v>
      </c>
      <c r="F148" s="59" t="str">
        <f ca="1">IFERROR(IF(INDEX($F$1:INDIRECT($E$119),MATCH(E148,$E$1:INDIRECT($B$119),0))=0," ",INDEX($F$1:INDIRECT($E$119),MATCH(E148,$E$1:INDIRECT($B$119),0))),"   [ Adjacent Item Model/PN cell is Empty ]")</f>
        <v>SMF, Polarity B, Two 8-fiber MPO inputs shuffled to two 8-fiber MPO outputs in a 16 (Input) x 16 (Output) port configuration per Shuffle Module. Lines 3 &amp; 4 covered by the fully populated option in lines 9/10</v>
      </c>
      <c r="G148" s="146"/>
      <c r="H148" s="149"/>
    </row>
    <row r="149" spans="1:8" x14ac:dyDescent="0.3">
      <c r="A149" s="57"/>
      <c r="B149" s="64"/>
      <c r="C149" s="59"/>
      <c r="D149" s="59">
        <f ca="1">SUMIF($E$1:INDIRECT($B$119),E149,$D$1:INDIRECT($A$119))</f>
        <v>20</v>
      </c>
      <c r="E149" s="59" t="str">
        <f ca="1"/>
        <v>SN2201 , 1U , C2P</v>
      </c>
      <c r="F149" s="59" t="str">
        <f ca="1">IFERROR(IF(INDEX($F$1:INDIRECT($E$119),MATCH(E149,$E$1:INDIRECT($B$119),0))=0," ",INDEX($F$1:INDIRECT($E$119),MATCH(E149,$E$1:INDIRECT($B$119),0))),"   [ Adjacent Item Model/PN cell is Empty ]")</f>
        <v xml:space="preserve">48 × RJ45 10/100/1000BASE‑T ports PLUS 4 × QSFP28 ports (can be used as 4×100 GbE, or broken out to lower speeds like 4×25 GbE, etc.)  </v>
      </c>
      <c r="G149" s="146"/>
      <c r="H149" s="149"/>
    </row>
    <row r="150" spans="1:8" x14ac:dyDescent="0.3">
      <c r="A150" s="57"/>
      <c r="B150" s="64"/>
      <c r="C150" s="59"/>
      <c r="D150" s="59">
        <f ca="1">SUMIF($E$1:INDIRECT($B$119),E150,$D$1:INDIRECT($A$119))</f>
        <v>0</v>
      </c>
      <c r="E150" s="59"/>
      <c r="F150" s="59" t="str">
        <f ca="1">IFERROR(IF(INDEX($F$1:INDIRECT($E$119),MATCH(E150,$E$1:INDIRECT($B$119),0))=0," ",INDEX($F$1:INDIRECT($E$119),MATCH(E150,$E$1:INDIRECT($B$119),0))),"   [ Adjacent Item Model/PN cell is Empty ]")</f>
        <v>Description</v>
      </c>
      <c r="G150" s="146"/>
      <c r="H150" s="149"/>
    </row>
    <row r="151" spans="1:8" x14ac:dyDescent="0.3">
      <c r="A151" s="57"/>
      <c r="B151" s="64"/>
      <c r="C151" s="59"/>
      <c r="D151" s="59">
        <f ca="1">SUMIF($E$1:INDIRECT($B$119),E151,$D$1:INDIRECT($A$119))</f>
        <v>0</v>
      </c>
      <c r="E151" s="59"/>
      <c r="F151" s="59" t="str">
        <f ca="1">IFERROR(IF(INDEX($F$1:INDIRECT($E$119),MATCH(E151,$E$1:INDIRECT($B$119),0))=0," ",INDEX($F$1:INDIRECT($E$119),MATCH(E151,$E$1:INDIRECT($B$119),0))),"   [ Adjacent Item Model/PN cell is Empty ]")</f>
        <v>Description</v>
      </c>
      <c r="G151" s="146"/>
      <c r="H151" s="149"/>
    </row>
    <row r="152" spans="1:8" x14ac:dyDescent="0.3">
      <c r="A152" s="57"/>
      <c r="B152" s="64"/>
      <c r="C152" s="59"/>
      <c r="D152" s="59">
        <f ca="1">SUMIF($E$1:INDIRECT($B$119),E152,$D$1:INDIRECT($A$119))</f>
        <v>0</v>
      </c>
      <c r="E152" s="59"/>
      <c r="F152" s="59" t="str">
        <f ca="1">IFERROR(IF(INDEX($F$1:INDIRECT($E$119),MATCH(E152,$E$1:INDIRECT($B$119),0))=0," ",INDEX($F$1:INDIRECT($E$119),MATCH(E152,$E$1:INDIRECT($B$119),0))),"   [ Adjacent Item Model/PN cell is Empty ]")</f>
        <v>Description</v>
      </c>
      <c r="G152" s="146"/>
      <c r="H152" s="149"/>
    </row>
    <row r="153" spans="1:8" x14ac:dyDescent="0.3">
      <c r="A153" s="57"/>
      <c r="B153" s="64"/>
      <c r="C153" s="59"/>
      <c r="D153" s="59">
        <f ca="1">SUMIF($E$1:INDIRECT($B$119),E153,$D$1:INDIRECT($A$119))</f>
        <v>0</v>
      </c>
      <c r="E153" s="59"/>
      <c r="F153" s="59" t="str">
        <f ca="1">IFERROR(IF(INDEX($F$1:INDIRECT($E$119),MATCH(E153,$E$1:INDIRECT($B$119),0))=0," ",INDEX($F$1:INDIRECT($E$119),MATCH(E153,$E$1:INDIRECT($B$119),0))),"   [ Adjacent Item Model/PN cell is Empty ]")</f>
        <v>Description</v>
      </c>
      <c r="G153" s="146"/>
      <c r="H153" s="149"/>
    </row>
    <row r="154" spans="1:8" x14ac:dyDescent="0.3">
      <c r="A154" s="57"/>
      <c r="B154" s="64"/>
      <c r="C154" s="59"/>
      <c r="D154" s="59">
        <f ca="1">SUMIF($E$1:INDIRECT($B$119),E154,$D$1:INDIRECT($A$119))</f>
        <v>0</v>
      </c>
      <c r="E154" s="64"/>
      <c r="F154" s="59" t="str">
        <f ca="1">IFERROR(IF(INDEX($F$1:INDIRECT($E$119),MATCH(E154,$E$1:INDIRECT($B$119),0))=0," ",INDEX($F$1:INDIRECT($E$119),MATCH(E154,$E$1:INDIRECT($B$119),0))),"   [ Adjacent Item Model/PN cell is Empty ]")</f>
        <v>Description</v>
      </c>
      <c r="G154" s="146"/>
      <c r="H154" s="149"/>
    </row>
    <row r="155" spans="1:8" x14ac:dyDescent="0.3">
      <c r="A155" s="57"/>
      <c r="B155" s="57"/>
      <c r="C155" s="57"/>
      <c r="D155" s="57"/>
      <c r="E155" s="57"/>
      <c r="F155" s="57"/>
      <c r="G155" s="50"/>
      <c r="H155" s="108"/>
    </row>
    <row r="156" spans="1:8" x14ac:dyDescent="0.3">
      <c r="A156" s="35"/>
      <c r="B156" s="35"/>
      <c r="C156" s="35"/>
      <c r="D156" s="35"/>
      <c r="E156" s="35"/>
      <c r="F156" s="35"/>
      <c r="H156" s="108"/>
    </row>
    <row r="157" spans="1:8" x14ac:dyDescent="0.3">
      <c r="A157" s="35"/>
      <c r="B157" s="35"/>
      <c r="C157" s="35"/>
      <c r="D157" s="35"/>
      <c r="E157" s="35"/>
      <c r="F157" s="35"/>
      <c r="H157" s="108"/>
    </row>
    <row r="158" spans="1:8" x14ac:dyDescent="0.3">
      <c r="A158" s="35"/>
      <c r="C158" s="35"/>
      <c r="D158" s="35"/>
      <c r="E158" s="35"/>
      <c r="F158" s="35"/>
      <c r="G158" s="35"/>
      <c r="H158" s="108"/>
    </row>
    <row r="162" spans="4:7" x14ac:dyDescent="0.3">
      <c r="D162" s="35"/>
      <c r="E162" s="35"/>
      <c r="G162" s="35"/>
    </row>
    <row r="165" spans="4:7" x14ac:dyDescent="0.3">
      <c r="G165" s="35"/>
    </row>
    <row r="166" spans="4:7" x14ac:dyDescent="0.3">
      <c r="G166" s="35"/>
    </row>
    <row r="168" spans="4:7" x14ac:dyDescent="0.3">
      <c r="G168" s="35"/>
    </row>
    <row r="169" spans="4:7" x14ac:dyDescent="0.3">
      <c r="G169" s="36"/>
    </row>
    <row r="170" spans="4:7" x14ac:dyDescent="0.3">
      <c r="G170" s="35"/>
    </row>
    <row r="171" spans="4:7" x14ac:dyDescent="0.3">
      <c r="G171" s="35"/>
    </row>
    <row r="172" spans="4:7" x14ac:dyDescent="0.3">
      <c r="G172" s="35"/>
    </row>
    <row r="173" spans="4:7" x14ac:dyDescent="0.3">
      <c r="G173" s="35"/>
    </row>
    <row r="174" spans="4:7" x14ac:dyDescent="0.3">
      <c r="G174" s="35"/>
    </row>
  </sheetData>
  <sheetProtection algorithmName="SHA-512" hashValue="DDNL+za7jVWBOXc2gxCmDfJbTSA42zfLKgkq41DnR0YAEodK+UwhrK2tKjBrtQzmteGSTKjPEdIPCa7KAjwLXg==" saltValue="EGBMHS5wozLCigVFbfuCsQ==" spinCount="100000" sheet="1" objects="1" scenarios="1"/>
  <mergeCells count="18">
    <mergeCell ref="B123:G123"/>
    <mergeCell ref="A58:G58"/>
    <mergeCell ref="A68:G68"/>
    <mergeCell ref="A75:G75"/>
    <mergeCell ref="A81:G81"/>
    <mergeCell ref="A90:G90"/>
    <mergeCell ref="A98:G98"/>
    <mergeCell ref="A108:G108"/>
    <mergeCell ref="A115:G115"/>
    <mergeCell ref="B118:D118"/>
    <mergeCell ref="B119:D119"/>
    <mergeCell ref="A121:G121"/>
    <mergeCell ref="A1:H1"/>
    <mergeCell ref="A51:G51"/>
    <mergeCell ref="A10:G10"/>
    <mergeCell ref="A18:G18"/>
    <mergeCell ref="A26:G26"/>
    <mergeCell ref="A38:G3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86ECC-74DC-4183-9186-B04E67AA8F37}">
  <dimension ref="B2:AW118"/>
  <sheetViews>
    <sheetView topLeftCell="AK5" workbookViewId="0">
      <selection activeCell="AT1" sqref="AT1:AZ1048576"/>
    </sheetView>
  </sheetViews>
  <sheetFormatPr defaultRowHeight="14.4" x14ac:dyDescent="0.3"/>
  <cols>
    <col min="1" max="1" width="7.88671875" customWidth="1"/>
    <col min="2" max="2" width="9.5546875" customWidth="1"/>
    <col min="3" max="3" width="3.88671875" customWidth="1"/>
    <col min="5" max="5" width="32.88671875" customWidth="1"/>
    <col min="6" max="8" width="3.88671875" customWidth="1"/>
    <col min="10" max="10" width="36.6640625" customWidth="1"/>
    <col min="11" max="18" width="3.88671875" customWidth="1"/>
    <col min="20" max="20" width="28.5546875" customWidth="1"/>
    <col min="21" max="23" width="3.88671875" customWidth="1"/>
    <col min="25" max="25" width="3.88671875" customWidth="1"/>
    <col min="27" max="27" width="28.5546875" customWidth="1"/>
    <col min="28" max="28" width="3.88671875" customWidth="1"/>
    <col min="30" max="30" width="3.88671875" customWidth="1"/>
    <col min="32" max="32" width="28.5546875" customWidth="1"/>
    <col min="33" max="33" width="3.88671875" customWidth="1"/>
    <col min="35" max="35" width="3.88671875" customWidth="1"/>
    <col min="37" max="37" width="28.5546875" customWidth="1"/>
    <col min="38" max="38" width="3.88671875" customWidth="1"/>
    <col min="41" max="41" width="3.88671875" customWidth="1"/>
    <col min="43" max="43" width="28.5546875" customWidth="1"/>
    <col min="44" max="44" width="3.88671875" customWidth="1"/>
    <col min="46" max="46" width="3.88671875" customWidth="1"/>
    <col min="48" max="48" width="28.5546875" customWidth="1"/>
    <col min="49" max="49" width="3.88671875" customWidth="1"/>
  </cols>
  <sheetData>
    <row r="2" spans="2:49" ht="23.4" x14ac:dyDescent="0.45">
      <c r="C2" s="164" t="s">
        <v>223</v>
      </c>
    </row>
    <row r="5" spans="2:49" x14ac:dyDescent="0.3">
      <c r="D5" t="s">
        <v>66</v>
      </c>
      <c r="E5" s="43" t="s">
        <v>66</v>
      </c>
      <c r="F5" t="s">
        <v>224</v>
      </c>
      <c r="I5" t="s">
        <v>66</v>
      </c>
      <c r="J5" s="43" t="s">
        <v>66</v>
      </c>
      <c r="K5" t="s">
        <v>225</v>
      </c>
      <c r="S5" t="s">
        <v>66</v>
      </c>
      <c r="T5" s="43" t="s">
        <v>66</v>
      </c>
      <c r="U5" t="s">
        <v>226</v>
      </c>
      <c r="Z5" t="s">
        <v>66</v>
      </c>
      <c r="AA5" s="43" t="s">
        <v>66</v>
      </c>
      <c r="AB5" t="s">
        <v>226</v>
      </c>
      <c r="AE5" t="s">
        <v>66</v>
      </c>
      <c r="AF5" s="43" t="s">
        <v>66</v>
      </c>
      <c r="AG5" t="s">
        <v>226</v>
      </c>
      <c r="AJ5" t="s">
        <v>66</v>
      </c>
      <c r="AK5" s="43" t="s">
        <v>66</v>
      </c>
      <c r="AL5" t="s">
        <v>226</v>
      </c>
      <c r="AP5" t="s">
        <v>66</v>
      </c>
      <c r="AQ5" s="43" t="s">
        <v>66</v>
      </c>
      <c r="AR5" t="s">
        <v>227</v>
      </c>
    </row>
    <row r="6" spans="2:49" x14ac:dyDescent="0.3">
      <c r="C6" s="37"/>
      <c r="D6" s="38"/>
      <c r="E6" s="39" t="s">
        <v>228</v>
      </c>
      <c r="F6" s="40"/>
      <c r="G6" s="41"/>
      <c r="H6" s="37"/>
      <c r="I6" s="38"/>
      <c r="J6" s="39" t="s">
        <v>228</v>
      </c>
      <c r="K6" s="40"/>
      <c r="L6" s="41"/>
      <c r="M6" s="41"/>
      <c r="N6" s="41"/>
      <c r="O6" s="41"/>
      <c r="P6" s="41"/>
      <c r="Q6" s="41"/>
      <c r="R6" s="37"/>
      <c r="S6" s="38"/>
      <c r="T6" s="39" t="s">
        <v>228</v>
      </c>
      <c r="U6" s="40"/>
      <c r="V6" s="41"/>
      <c r="W6" s="41"/>
      <c r="X6" s="41"/>
      <c r="Y6" s="37"/>
      <c r="Z6" s="38"/>
      <c r="AA6" s="39" t="s">
        <v>228</v>
      </c>
      <c r="AB6" s="40"/>
      <c r="AC6" s="41"/>
      <c r="AD6" s="37"/>
      <c r="AE6" s="38"/>
      <c r="AF6" s="39" t="s">
        <v>228</v>
      </c>
      <c r="AG6" s="40"/>
      <c r="AH6" s="41"/>
      <c r="AI6" s="37"/>
      <c r="AJ6" s="38"/>
      <c r="AK6" s="39" t="s">
        <v>228</v>
      </c>
      <c r="AL6" s="40"/>
      <c r="AM6" s="41"/>
      <c r="AO6" s="37"/>
      <c r="AP6" s="38"/>
      <c r="AQ6" s="39" t="s">
        <v>228</v>
      </c>
      <c r="AR6" s="40"/>
    </row>
    <row r="7" spans="2:49" x14ac:dyDescent="0.3">
      <c r="C7" s="42"/>
      <c r="D7" s="43" t="s">
        <v>229</v>
      </c>
      <c r="E7" s="43" t="s">
        <v>230</v>
      </c>
      <c r="F7" s="44"/>
      <c r="G7" s="45"/>
      <c r="H7" s="42"/>
      <c r="I7" s="43" t="s">
        <v>229</v>
      </c>
      <c r="J7" s="43" t="s">
        <v>230</v>
      </c>
      <c r="K7" s="44"/>
      <c r="L7" s="45"/>
      <c r="M7" s="45"/>
      <c r="N7" s="45"/>
      <c r="O7" s="45"/>
      <c r="P7" s="45"/>
      <c r="Q7" s="45"/>
      <c r="R7" s="42"/>
      <c r="S7" s="43" t="s">
        <v>229</v>
      </c>
      <c r="T7" s="43" t="s">
        <v>231</v>
      </c>
      <c r="U7" s="44"/>
      <c r="V7" s="45"/>
      <c r="W7" s="45"/>
      <c r="X7" s="45"/>
      <c r="Y7" s="42"/>
      <c r="Z7" s="43" t="s">
        <v>229</v>
      </c>
      <c r="AA7" s="43" t="s">
        <v>232</v>
      </c>
      <c r="AB7" s="44"/>
      <c r="AC7" s="45"/>
      <c r="AD7" s="42"/>
      <c r="AE7" s="43" t="s">
        <v>229</v>
      </c>
      <c r="AF7" s="43" t="s">
        <v>233</v>
      </c>
      <c r="AG7" s="44"/>
      <c r="AH7" s="45"/>
      <c r="AI7" s="42"/>
      <c r="AJ7" s="43" t="s">
        <v>229</v>
      </c>
      <c r="AK7" s="43" t="s">
        <v>234</v>
      </c>
      <c r="AL7" s="44"/>
      <c r="AM7" s="45"/>
      <c r="AO7" s="42"/>
      <c r="AP7" s="43" t="s">
        <v>229</v>
      </c>
      <c r="AQ7" s="43" t="s">
        <v>235</v>
      </c>
      <c r="AR7" s="44"/>
    </row>
    <row r="8" spans="2:49" x14ac:dyDescent="0.3">
      <c r="C8" s="285" t="s">
        <v>236</v>
      </c>
      <c r="D8" s="46">
        <v>48</v>
      </c>
      <c r="E8" s="97" t="s">
        <v>237</v>
      </c>
      <c r="F8" s="285" t="s">
        <v>236</v>
      </c>
      <c r="G8" s="47"/>
      <c r="H8" s="285" t="s">
        <v>236</v>
      </c>
      <c r="I8" s="46">
        <v>48</v>
      </c>
      <c r="J8" s="97" t="s">
        <v>237</v>
      </c>
      <c r="K8" s="285" t="s">
        <v>236</v>
      </c>
      <c r="L8" s="47"/>
      <c r="M8" s="47"/>
      <c r="N8" s="47"/>
      <c r="O8" s="47"/>
      <c r="P8" s="47"/>
      <c r="Q8" s="47"/>
      <c r="R8" s="285" t="s">
        <v>236</v>
      </c>
      <c r="S8" s="46">
        <v>48</v>
      </c>
      <c r="T8" s="47"/>
      <c r="U8" s="285" t="s">
        <v>236</v>
      </c>
      <c r="V8" s="47"/>
      <c r="W8" s="47"/>
      <c r="X8" s="47"/>
      <c r="Y8" s="285" t="s">
        <v>236</v>
      </c>
      <c r="Z8" s="46">
        <v>48</v>
      </c>
      <c r="AA8" s="47"/>
      <c r="AB8" s="285" t="s">
        <v>236</v>
      </c>
      <c r="AC8" s="47"/>
      <c r="AD8" s="285" t="s">
        <v>236</v>
      </c>
      <c r="AE8" s="46">
        <v>48</v>
      </c>
      <c r="AF8" s="47"/>
      <c r="AG8" s="285" t="s">
        <v>236</v>
      </c>
      <c r="AH8" s="47"/>
      <c r="AI8" s="285" t="s">
        <v>236</v>
      </c>
      <c r="AJ8" s="46">
        <v>48</v>
      </c>
      <c r="AK8" s="47"/>
      <c r="AL8" s="285" t="s">
        <v>236</v>
      </c>
      <c r="AM8" s="47"/>
      <c r="AO8" s="285" t="s">
        <v>236</v>
      </c>
      <c r="AP8" s="46">
        <v>48</v>
      </c>
      <c r="AR8" s="285" t="s">
        <v>236</v>
      </c>
      <c r="AV8" t="s">
        <v>66</v>
      </c>
    </row>
    <row r="9" spans="2:49" x14ac:dyDescent="0.3">
      <c r="C9" s="286"/>
      <c r="D9" s="46">
        <v>47</v>
      </c>
      <c r="E9" s="97" t="s">
        <v>238</v>
      </c>
      <c r="F9" s="286"/>
      <c r="G9" s="47"/>
      <c r="H9" s="286"/>
      <c r="I9" s="46">
        <v>47</v>
      </c>
      <c r="J9" s="97" t="s">
        <v>238</v>
      </c>
      <c r="K9" s="286"/>
      <c r="L9" s="47"/>
      <c r="M9" s="47"/>
      <c r="N9" s="47"/>
      <c r="O9" s="47"/>
      <c r="P9" s="47"/>
      <c r="Q9" s="47"/>
      <c r="R9" s="286"/>
      <c r="S9" s="46">
        <v>47</v>
      </c>
      <c r="U9" s="286"/>
      <c r="V9" s="47"/>
      <c r="W9" s="47"/>
      <c r="X9" s="47"/>
      <c r="Y9" s="286"/>
      <c r="Z9" s="46">
        <v>47</v>
      </c>
      <c r="AB9" s="286"/>
      <c r="AC9" s="47"/>
      <c r="AD9" s="286"/>
      <c r="AE9" s="46">
        <v>47</v>
      </c>
      <c r="AG9" s="286"/>
      <c r="AH9" s="47"/>
      <c r="AI9" s="286"/>
      <c r="AJ9" s="46">
        <v>47</v>
      </c>
      <c r="AL9" s="286"/>
      <c r="AM9" s="47"/>
      <c r="AO9" s="286"/>
      <c r="AP9" s="46">
        <v>47</v>
      </c>
      <c r="AR9" s="286"/>
      <c r="AU9" t="s">
        <v>66</v>
      </c>
      <c r="AV9" s="43" t="s">
        <v>66</v>
      </c>
      <c r="AW9" t="s">
        <v>239</v>
      </c>
    </row>
    <row r="10" spans="2:49" x14ac:dyDescent="0.3">
      <c r="C10" s="286"/>
      <c r="D10" s="46">
        <v>46</v>
      </c>
      <c r="E10" s="47"/>
      <c r="F10" s="286"/>
      <c r="G10" s="47"/>
      <c r="H10" s="286"/>
      <c r="I10" s="46">
        <v>46</v>
      </c>
      <c r="J10" s="47"/>
      <c r="K10" s="286"/>
      <c r="L10" s="47"/>
      <c r="M10" s="47"/>
      <c r="N10" s="47"/>
      <c r="O10" s="47"/>
      <c r="P10" s="47"/>
      <c r="Q10" s="47"/>
      <c r="R10" s="286"/>
      <c r="S10" s="46">
        <v>46</v>
      </c>
      <c r="T10" s="47"/>
      <c r="U10" s="286"/>
      <c r="V10" s="47"/>
      <c r="W10" s="47"/>
      <c r="X10" s="47"/>
      <c r="Y10" s="286"/>
      <c r="Z10" s="46">
        <v>46</v>
      </c>
      <c r="AA10" s="47"/>
      <c r="AB10" s="286"/>
      <c r="AC10" s="47"/>
      <c r="AD10" s="286"/>
      <c r="AE10" s="46">
        <v>46</v>
      </c>
      <c r="AF10" s="47"/>
      <c r="AG10" s="286"/>
      <c r="AH10" s="47"/>
      <c r="AI10" s="286"/>
      <c r="AJ10" s="46">
        <v>46</v>
      </c>
      <c r="AK10" s="47"/>
      <c r="AL10" s="286"/>
      <c r="AM10" s="47"/>
      <c r="AO10" s="286"/>
      <c r="AP10" s="46">
        <v>46</v>
      </c>
      <c r="AQ10" s="47"/>
      <c r="AR10" s="286"/>
      <c r="AT10" s="37"/>
      <c r="AU10" s="38"/>
      <c r="AV10" s="39" t="s">
        <v>228</v>
      </c>
      <c r="AW10" s="40"/>
    </row>
    <row r="11" spans="2:49" x14ac:dyDescent="0.3">
      <c r="C11" s="286"/>
      <c r="D11" s="46">
        <v>45</v>
      </c>
      <c r="E11" s="301" t="s">
        <v>240</v>
      </c>
      <c r="F11" s="286"/>
      <c r="G11" s="47"/>
      <c r="H11" s="286"/>
      <c r="I11" s="46">
        <v>45</v>
      </c>
      <c r="J11" s="301" t="s">
        <v>240</v>
      </c>
      <c r="K11" s="286"/>
      <c r="L11" s="47"/>
      <c r="M11" s="47"/>
      <c r="N11" s="47"/>
      <c r="O11" s="47"/>
      <c r="P11" s="47"/>
      <c r="Q11" s="47"/>
      <c r="R11" s="286"/>
      <c r="S11" s="46">
        <v>45</v>
      </c>
      <c r="T11" s="301" t="s">
        <v>241</v>
      </c>
      <c r="U11" s="286"/>
      <c r="V11" s="47"/>
      <c r="W11" s="47"/>
      <c r="X11" s="47"/>
      <c r="Y11" s="286"/>
      <c r="Z11" s="46">
        <v>45</v>
      </c>
      <c r="AA11" s="47"/>
      <c r="AB11" s="286"/>
      <c r="AC11" s="47"/>
      <c r="AD11" s="286"/>
      <c r="AE11" s="46">
        <v>45</v>
      </c>
      <c r="AF11" s="301" t="s">
        <v>241</v>
      </c>
      <c r="AG11" s="286"/>
      <c r="AH11" s="47"/>
      <c r="AI11" s="286"/>
      <c r="AJ11" s="46">
        <v>45</v>
      </c>
      <c r="AK11" s="47"/>
      <c r="AL11" s="286"/>
      <c r="AM11" s="47"/>
      <c r="AO11" s="286"/>
      <c r="AP11" s="46">
        <v>45</v>
      </c>
      <c r="AR11" s="286"/>
      <c r="AT11" s="42"/>
      <c r="AU11" s="43" t="s">
        <v>229</v>
      </c>
      <c r="AV11" s="43" t="s">
        <v>235</v>
      </c>
      <c r="AW11" s="44"/>
    </row>
    <row r="12" spans="2:49" x14ac:dyDescent="0.3">
      <c r="B12" t="s">
        <v>66</v>
      </c>
      <c r="C12" s="286"/>
      <c r="D12" s="46">
        <v>44</v>
      </c>
      <c r="E12" s="302"/>
      <c r="F12" s="286"/>
      <c r="G12" s="47"/>
      <c r="H12" s="286"/>
      <c r="I12" s="46">
        <v>44</v>
      </c>
      <c r="J12" s="302"/>
      <c r="K12" s="286"/>
      <c r="L12" s="47"/>
      <c r="M12" s="47"/>
      <c r="N12" s="47"/>
      <c r="O12" s="47"/>
      <c r="P12" s="47"/>
      <c r="Q12" s="47"/>
      <c r="R12" s="286"/>
      <c r="S12" s="46">
        <v>44</v>
      </c>
      <c r="T12" s="302"/>
      <c r="U12" s="286"/>
      <c r="V12" s="47"/>
      <c r="W12" s="47"/>
      <c r="X12" s="47"/>
      <c r="Y12" s="286"/>
      <c r="Z12" s="46">
        <v>44</v>
      </c>
      <c r="AA12" s="47"/>
      <c r="AB12" s="286"/>
      <c r="AC12" s="47"/>
      <c r="AD12" s="286"/>
      <c r="AE12" s="46">
        <v>44</v>
      </c>
      <c r="AF12" s="302"/>
      <c r="AG12" s="286"/>
      <c r="AH12" s="47"/>
      <c r="AI12" s="286"/>
      <c r="AJ12" s="46">
        <v>44</v>
      </c>
      <c r="AK12" s="47"/>
      <c r="AL12" s="286"/>
      <c r="AM12" s="47"/>
      <c r="AO12" s="286"/>
      <c r="AP12" s="46">
        <v>44</v>
      </c>
      <c r="AR12" s="286"/>
      <c r="AT12" s="285" t="s">
        <v>236</v>
      </c>
      <c r="AU12" s="46">
        <v>48</v>
      </c>
      <c r="AV12" s="97" t="s">
        <v>237</v>
      </c>
      <c r="AW12" s="285" t="s">
        <v>236</v>
      </c>
    </row>
    <row r="13" spans="2:49" x14ac:dyDescent="0.3">
      <c r="C13" s="286"/>
      <c r="D13" s="46">
        <v>43</v>
      </c>
      <c r="F13" s="286"/>
      <c r="G13" s="47"/>
      <c r="H13" s="286"/>
      <c r="I13" s="46">
        <v>43</v>
      </c>
      <c r="K13" s="286"/>
      <c r="L13" s="47"/>
      <c r="M13" s="47"/>
      <c r="N13" s="47"/>
      <c r="O13" s="47"/>
      <c r="P13" s="47"/>
      <c r="Q13" s="47"/>
      <c r="R13" s="286"/>
      <c r="S13" s="46">
        <v>43</v>
      </c>
      <c r="U13" s="286"/>
      <c r="V13" s="47"/>
      <c r="W13" s="47"/>
      <c r="X13" s="47"/>
      <c r="Y13" s="286"/>
      <c r="Z13" s="46">
        <v>43</v>
      </c>
      <c r="AB13" s="286"/>
      <c r="AC13" s="47"/>
      <c r="AD13" s="286"/>
      <c r="AE13" s="46">
        <v>43</v>
      </c>
      <c r="AG13" s="286"/>
      <c r="AH13" s="47"/>
      <c r="AI13" s="286"/>
      <c r="AJ13" s="46">
        <v>43</v>
      </c>
      <c r="AL13" s="286"/>
      <c r="AM13" s="47"/>
      <c r="AO13" s="286"/>
      <c r="AP13" s="46">
        <v>43</v>
      </c>
      <c r="AR13" s="286"/>
      <c r="AT13" s="286"/>
      <c r="AU13" s="46">
        <v>47</v>
      </c>
      <c r="AW13" s="286"/>
    </row>
    <row r="14" spans="2:49" x14ac:dyDescent="0.3">
      <c r="C14" s="286"/>
      <c r="D14" s="46">
        <v>42</v>
      </c>
      <c r="E14" s="288" t="s">
        <v>242</v>
      </c>
      <c r="F14" s="286"/>
      <c r="G14" s="47"/>
      <c r="H14" s="286"/>
      <c r="I14" s="46">
        <v>42</v>
      </c>
      <c r="J14" s="288" t="s">
        <v>242</v>
      </c>
      <c r="K14" s="286"/>
      <c r="L14" s="47"/>
      <c r="M14" s="47"/>
      <c r="N14" s="47"/>
      <c r="O14" s="47"/>
      <c r="P14" s="47"/>
      <c r="Q14" s="47"/>
      <c r="R14" s="286"/>
      <c r="S14" s="46">
        <v>42</v>
      </c>
      <c r="U14" s="286"/>
      <c r="V14" s="47"/>
      <c r="W14" s="47"/>
      <c r="X14" s="47"/>
      <c r="Y14" s="286"/>
      <c r="Z14" s="46">
        <v>42</v>
      </c>
      <c r="AB14" s="286"/>
      <c r="AC14" s="47"/>
      <c r="AD14" s="286"/>
      <c r="AE14" s="46">
        <v>42</v>
      </c>
      <c r="AG14" s="286"/>
      <c r="AH14" s="47"/>
      <c r="AI14" s="286"/>
      <c r="AJ14" s="46">
        <v>42</v>
      </c>
      <c r="AL14" s="286"/>
      <c r="AM14" s="47"/>
      <c r="AO14" s="286"/>
      <c r="AP14" s="46">
        <v>42</v>
      </c>
      <c r="AQ14" s="163" t="s">
        <v>243</v>
      </c>
      <c r="AR14" s="286"/>
      <c r="AT14" s="286"/>
      <c r="AU14" s="46">
        <v>46</v>
      </c>
      <c r="AV14" s="47"/>
      <c r="AW14" s="286"/>
    </row>
    <row r="15" spans="2:49" x14ac:dyDescent="0.3">
      <c r="B15">
        <v>2080</v>
      </c>
      <c r="C15" s="286"/>
      <c r="D15" s="46">
        <v>41</v>
      </c>
      <c r="E15" s="289"/>
      <c r="F15" s="286"/>
      <c r="G15" s="47"/>
      <c r="H15" s="286"/>
      <c r="I15" s="46">
        <v>41</v>
      </c>
      <c r="J15" s="289"/>
      <c r="K15" s="286"/>
      <c r="L15" s="47"/>
      <c r="M15" s="47"/>
      <c r="N15" s="47"/>
      <c r="O15" s="47"/>
      <c r="P15" s="47"/>
      <c r="Q15" s="47"/>
      <c r="R15" s="286"/>
      <c r="S15" s="46">
        <v>41</v>
      </c>
      <c r="U15" s="286"/>
      <c r="V15" s="47"/>
      <c r="W15" s="47"/>
      <c r="X15" s="47"/>
      <c r="Y15" s="286"/>
      <c r="Z15" s="46">
        <v>41</v>
      </c>
      <c r="AB15" s="286"/>
      <c r="AC15" s="47"/>
      <c r="AD15" s="286"/>
      <c r="AE15" s="46">
        <v>41</v>
      </c>
      <c r="AG15" s="286"/>
      <c r="AH15" s="47"/>
      <c r="AI15" s="286"/>
      <c r="AJ15" s="46">
        <v>41</v>
      </c>
      <c r="AL15" s="286"/>
      <c r="AM15" s="47"/>
      <c r="AO15" s="286"/>
      <c r="AP15" s="46">
        <v>41</v>
      </c>
      <c r="AQ15" s="163" t="s">
        <v>244</v>
      </c>
      <c r="AR15" s="286"/>
      <c r="AT15" s="286"/>
      <c r="AU15" s="46">
        <v>45</v>
      </c>
      <c r="AW15" s="286"/>
    </row>
    <row r="16" spans="2:49" x14ac:dyDescent="0.3">
      <c r="C16" s="286"/>
      <c r="D16" s="46">
        <v>40</v>
      </c>
      <c r="E16" s="290"/>
      <c r="F16" s="286"/>
      <c r="G16" s="47"/>
      <c r="H16" s="286"/>
      <c r="I16" s="46">
        <v>40</v>
      </c>
      <c r="J16" s="290"/>
      <c r="K16" s="286"/>
      <c r="L16" s="47"/>
      <c r="M16" s="47"/>
      <c r="N16" s="47"/>
      <c r="O16" s="47"/>
      <c r="P16" s="47"/>
      <c r="Q16" s="47"/>
      <c r="R16" s="286"/>
      <c r="S16" s="46">
        <v>40</v>
      </c>
      <c r="U16" s="286"/>
      <c r="V16" s="47"/>
      <c r="W16" s="47"/>
      <c r="X16" s="47"/>
      <c r="Y16" s="286"/>
      <c r="Z16" s="46">
        <v>40</v>
      </c>
      <c r="AB16" s="286"/>
      <c r="AC16" s="47"/>
      <c r="AD16" s="286"/>
      <c r="AE16" s="46">
        <v>40</v>
      </c>
      <c r="AG16" s="286"/>
      <c r="AH16" s="47"/>
      <c r="AI16" s="286"/>
      <c r="AJ16" s="46">
        <v>40</v>
      </c>
      <c r="AL16" s="286"/>
      <c r="AM16" s="47"/>
      <c r="AO16" s="286"/>
      <c r="AP16" s="46">
        <v>40</v>
      </c>
      <c r="AQ16" s="163" t="s">
        <v>245</v>
      </c>
      <c r="AR16" s="286"/>
      <c r="AT16" s="286"/>
      <c r="AU16" s="46">
        <v>44</v>
      </c>
      <c r="AW16" s="286"/>
    </row>
    <row r="17" spans="2:49" x14ac:dyDescent="0.3">
      <c r="C17" s="286"/>
      <c r="D17" s="46">
        <v>39</v>
      </c>
      <c r="E17" s="291" t="s">
        <v>246</v>
      </c>
      <c r="F17" s="286"/>
      <c r="G17" s="47"/>
      <c r="H17" s="286"/>
      <c r="I17" s="46">
        <v>39</v>
      </c>
      <c r="J17" s="291" t="s">
        <v>246</v>
      </c>
      <c r="K17" s="286"/>
      <c r="L17" s="47"/>
      <c r="M17" s="47"/>
      <c r="N17" s="47"/>
      <c r="O17" s="47"/>
      <c r="P17" s="47"/>
      <c r="Q17" s="47"/>
      <c r="R17" s="286"/>
      <c r="S17" s="46">
        <v>39</v>
      </c>
      <c r="U17" s="286"/>
      <c r="V17" s="47"/>
      <c r="W17" s="47"/>
      <c r="X17" s="47"/>
      <c r="Y17" s="286"/>
      <c r="Z17" s="46">
        <v>39</v>
      </c>
      <c r="AB17" s="286"/>
      <c r="AC17" s="47"/>
      <c r="AD17" s="286"/>
      <c r="AE17" s="46">
        <v>39</v>
      </c>
      <c r="AG17" s="286"/>
      <c r="AH17" s="47"/>
      <c r="AI17" s="286"/>
      <c r="AJ17" s="46">
        <v>39</v>
      </c>
      <c r="AL17" s="286"/>
      <c r="AM17" s="47"/>
      <c r="AO17" s="286"/>
      <c r="AP17" s="46">
        <v>39</v>
      </c>
      <c r="AQ17" s="163" t="s">
        <v>247</v>
      </c>
      <c r="AR17" s="286"/>
      <c r="AT17" s="286"/>
      <c r="AU17" s="46">
        <v>43</v>
      </c>
      <c r="AW17" s="286"/>
    </row>
    <row r="18" spans="2:49" x14ac:dyDescent="0.3">
      <c r="B18">
        <v>2080</v>
      </c>
      <c r="C18" s="286"/>
      <c r="D18" s="46">
        <v>38</v>
      </c>
      <c r="E18" s="292"/>
      <c r="F18" s="286"/>
      <c r="G18" s="47"/>
      <c r="H18" s="286"/>
      <c r="I18" s="46">
        <v>38</v>
      </c>
      <c r="J18" s="292"/>
      <c r="K18" s="286"/>
      <c r="L18" s="47"/>
      <c r="M18" s="47"/>
      <c r="N18" s="47"/>
      <c r="O18" s="47"/>
      <c r="P18" s="47"/>
      <c r="Q18" s="47"/>
      <c r="R18" s="286"/>
      <c r="S18" s="46">
        <v>38</v>
      </c>
      <c r="T18" s="295" t="s">
        <v>248</v>
      </c>
      <c r="U18" s="286"/>
      <c r="V18" s="47"/>
      <c r="W18" s="47"/>
      <c r="X18" s="47"/>
      <c r="Y18" s="286"/>
      <c r="Z18" s="46">
        <v>38</v>
      </c>
      <c r="AA18" s="295" t="s">
        <v>249</v>
      </c>
      <c r="AB18" s="286"/>
      <c r="AC18" s="47"/>
      <c r="AD18" s="286"/>
      <c r="AE18" s="46">
        <v>38</v>
      </c>
      <c r="AF18" s="295" t="s">
        <v>250</v>
      </c>
      <c r="AG18" s="286"/>
      <c r="AH18" s="47"/>
      <c r="AI18" s="286"/>
      <c r="AJ18" s="46">
        <v>38</v>
      </c>
      <c r="AK18" s="295" t="s">
        <v>251</v>
      </c>
      <c r="AL18" s="286"/>
      <c r="AM18" s="47"/>
      <c r="AO18" s="286"/>
      <c r="AP18" s="46">
        <v>38</v>
      </c>
      <c r="AR18" s="286"/>
      <c r="AT18" s="286"/>
      <c r="AU18" s="46">
        <v>42</v>
      </c>
      <c r="AW18" s="286"/>
    </row>
    <row r="19" spans="2:49" x14ac:dyDescent="0.3">
      <c r="C19" s="286"/>
      <c r="D19" s="46">
        <v>37</v>
      </c>
      <c r="E19" s="170"/>
      <c r="F19" s="286"/>
      <c r="G19" s="47"/>
      <c r="H19" s="286"/>
      <c r="I19" s="46">
        <v>37</v>
      </c>
      <c r="J19" s="170"/>
      <c r="K19" s="286"/>
      <c r="L19" s="47"/>
      <c r="M19" s="47"/>
      <c r="N19" s="47"/>
      <c r="O19" s="47"/>
      <c r="P19" s="47"/>
      <c r="Q19" s="47"/>
      <c r="R19" s="286"/>
      <c r="S19" s="46">
        <v>37</v>
      </c>
      <c r="T19" s="296"/>
      <c r="U19" s="286"/>
      <c r="V19" s="47"/>
      <c r="W19" s="47"/>
      <c r="X19" s="47"/>
      <c r="Y19" s="286"/>
      <c r="Z19" s="46">
        <v>37</v>
      </c>
      <c r="AA19" s="296"/>
      <c r="AB19" s="286"/>
      <c r="AC19" s="47"/>
      <c r="AD19" s="286"/>
      <c r="AE19" s="46">
        <v>37</v>
      </c>
      <c r="AF19" s="296"/>
      <c r="AG19" s="286"/>
      <c r="AH19" s="47"/>
      <c r="AI19" s="286"/>
      <c r="AJ19" s="46">
        <v>37</v>
      </c>
      <c r="AK19" s="296"/>
      <c r="AL19" s="286"/>
      <c r="AM19" s="47"/>
      <c r="AO19" s="286"/>
      <c r="AP19" s="46">
        <v>37</v>
      </c>
      <c r="AR19" s="286"/>
      <c r="AT19" s="286"/>
      <c r="AU19" s="46">
        <v>41</v>
      </c>
      <c r="AV19" s="178" t="s">
        <v>252</v>
      </c>
      <c r="AW19" s="286"/>
    </row>
    <row r="20" spans="2:49" x14ac:dyDescent="0.3">
      <c r="C20" s="286"/>
      <c r="D20" s="46">
        <v>36</v>
      </c>
      <c r="E20" s="291" t="s">
        <v>253</v>
      </c>
      <c r="F20" s="286"/>
      <c r="G20" s="47"/>
      <c r="H20" s="286"/>
      <c r="I20" s="46">
        <v>36</v>
      </c>
      <c r="J20" s="291" t="s">
        <v>253</v>
      </c>
      <c r="K20" s="286"/>
      <c r="L20" s="47"/>
      <c r="M20" s="47"/>
      <c r="N20" s="47"/>
      <c r="O20" s="47"/>
      <c r="P20" s="47"/>
      <c r="Q20" s="47"/>
      <c r="R20" s="286"/>
      <c r="S20" s="46">
        <v>36</v>
      </c>
      <c r="U20" s="286"/>
      <c r="V20" s="47"/>
      <c r="W20" s="47"/>
      <c r="X20" s="47"/>
      <c r="Y20" s="286"/>
      <c r="Z20" s="46">
        <v>36</v>
      </c>
      <c r="AB20" s="286"/>
      <c r="AC20" s="47"/>
      <c r="AD20" s="286"/>
      <c r="AE20" s="46">
        <v>36</v>
      </c>
      <c r="AG20" s="286"/>
      <c r="AH20" s="47"/>
      <c r="AI20" s="286"/>
      <c r="AJ20" s="46">
        <v>36</v>
      </c>
      <c r="AL20" s="286"/>
      <c r="AM20" s="47"/>
      <c r="AO20" s="286"/>
      <c r="AP20" s="46">
        <v>36</v>
      </c>
      <c r="AR20" s="286"/>
      <c r="AT20" s="286"/>
      <c r="AU20" s="46">
        <v>40</v>
      </c>
      <c r="AV20" s="178" t="s">
        <v>252</v>
      </c>
      <c r="AW20" s="286"/>
    </row>
    <row r="21" spans="2:49" x14ac:dyDescent="0.3">
      <c r="B21">
        <v>2080</v>
      </c>
      <c r="C21" s="286"/>
      <c r="D21" s="46">
        <v>35</v>
      </c>
      <c r="E21" s="292"/>
      <c r="F21" s="286"/>
      <c r="G21" s="47"/>
      <c r="H21" s="286"/>
      <c r="I21" s="46">
        <v>35</v>
      </c>
      <c r="J21" s="292"/>
      <c r="K21" s="286"/>
      <c r="L21" s="47"/>
      <c r="M21" s="47"/>
      <c r="N21" s="47"/>
      <c r="O21" s="47"/>
      <c r="P21" s="47"/>
      <c r="Q21" s="47"/>
      <c r="R21" s="286"/>
      <c r="S21" s="46">
        <v>35</v>
      </c>
      <c r="T21" s="295" t="s">
        <v>254</v>
      </c>
      <c r="U21" s="286"/>
      <c r="V21" s="47"/>
      <c r="W21" s="47"/>
      <c r="X21" s="47"/>
      <c r="Y21" s="286"/>
      <c r="Z21" s="46">
        <v>35</v>
      </c>
      <c r="AA21" s="295" t="s">
        <v>255</v>
      </c>
      <c r="AB21" s="286"/>
      <c r="AC21" s="47"/>
      <c r="AD21" s="286"/>
      <c r="AE21" s="46">
        <v>35</v>
      </c>
      <c r="AF21" s="295" t="s">
        <v>256</v>
      </c>
      <c r="AG21" s="286"/>
      <c r="AH21" s="47"/>
      <c r="AI21" s="286"/>
      <c r="AJ21" s="46">
        <v>35</v>
      </c>
      <c r="AK21" s="295" t="s">
        <v>257</v>
      </c>
      <c r="AL21" s="286"/>
      <c r="AM21" s="47"/>
      <c r="AO21" s="286"/>
      <c r="AP21" s="46">
        <v>35</v>
      </c>
      <c r="AR21" s="286"/>
      <c r="AT21" s="286"/>
      <c r="AU21" s="46">
        <v>39</v>
      </c>
      <c r="AV21" s="178" t="s">
        <v>252</v>
      </c>
      <c r="AW21" s="286"/>
    </row>
    <row r="22" spans="2:49" x14ac:dyDescent="0.3">
      <c r="C22" s="286"/>
      <c r="D22" s="46">
        <v>34</v>
      </c>
      <c r="E22" s="170"/>
      <c r="F22" s="286"/>
      <c r="G22" s="47"/>
      <c r="H22" s="286"/>
      <c r="I22" s="46">
        <v>34</v>
      </c>
      <c r="J22" s="170"/>
      <c r="K22" s="286"/>
      <c r="L22" s="47"/>
      <c r="M22" s="47"/>
      <c r="N22" s="47"/>
      <c r="O22" s="47"/>
      <c r="P22" s="47"/>
      <c r="Q22" s="47"/>
      <c r="R22" s="286"/>
      <c r="S22" s="46">
        <v>34</v>
      </c>
      <c r="T22" s="296"/>
      <c r="U22" s="286"/>
      <c r="V22" s="47"/>
      <c r="W22" s="47"/>
      <c r="X22" s="47"/>
      <c r="Y22" s="286"/>
      <c r="Z22" s="46">
        <v>34</v>
      </c>
      <c r="AA22" s="296"/>
      <c r="AB22" s="286"/>
      <c r="AC22" s="47"/>
      <c r="AD22" s="286"/>
      <c r="AE22" s="46">
        <v>34</v>
      </c>
      <c r="AF22" s="296"/>
      <c r="AG22" s="286"/>
      <c r="AH22" s="47"/>
      <c r="AI22" s="286"/>
      <c r="AJ22" s="46">
        <v>34</v>
      </c>
      <c r="AK22" s="296"/>
      <c r="AL22" s="286"/>
      <c r="AM22" s="47"/>
      <c r="AO22" s="286"/>
      <c r="AP22" s="46">
        <v>34</v>
      </c>
      <c r="AR22" s="286"/>
      <c r="AT22" s="286"/>
      <c r="AU22" s="46">
        <v>38</v>
      </c>
      <c r="AV22" s="178" t="s">
        <v>252</v>
      </c>
      <c r="AW22" s="286"/>
    </row>
    <row r="23" spans="2:49" x14ac:dyDescent="0.3">
      <c r="C23" s="286"/>
      <c r="D23" s="46">
        <v>33</v>
      </c>
      <c r="E23" s="288" t="s">
        <v>242</v>
      </c>
      <c r="F23" s="286"/>
      <c r="G23" s="47"/>
      <c r="H23" s="286"/>
      <c r="I23" s="46">
        <v>33</v>
      </c>
      <c r="J23" s="288" t="s">
        <v>242</v>
      </c>
      <c r="K23" s="286"/>
      <c r="L23" s="47"/>
      <c r="M23" s="47"/>
      <c r="N23" s="47"/>
      <c r="O23" s="47"/>
      <c r="P23" s="47"/>
      <c r="Q23" s="47"/>
      <c r="R23" s="286"/>
      <c r="S23" s="46">
        <v>33</v>
      </c>
      <c r="U23" s="286"/>
      <c r="V23" s="47"/>
      <c r="W23" s="47"/>
      <c r="X23" s="47"/>
      <c r="Y23" s="286"/>
      <c r="Z23" s="46">
        <v>33</v>
      </c>
      <c r="AB23" s="286"/>
      <c r="AC23" s="47"/>
      <c r="AD23" s="286"/>
      <c r="AE23" s="46">
        <v>33</v>
      </c>
      <c r="AG23" s="286"/>
      <c r="AH23" s="47"/>
      <c r="AI23" s="286"/>
      <c r="AJ23" s="46">
        <v>33</v>
      </c>
      <c r="AL23" s="286"/>
      <c r="AM23" s="47"/>
      <c r="AO23" s="286"/>
      <c r="AP23" s="46">
        <v>33</v>
      </c>
      <c r="AR23" s="286"/>
      <c r="AT23" s="286"/>
      <c r="AU23" s="46">
        <v>37</v>
      </c>
      <c r="AV23" s="178" t="s">
        <v>252</v>
      </c>
      <c r="AW23" s="286"/>
    </row>
    <row r="24" spans="2:49" x14ac:dyDescent="0.3">
      <c r="B24">
        <v>2080</v>
      </c>
      <c r="C24" s="286"/>
      <c r="D24" s="46">
        <v>32</v>
      </c>
      <c r="E24" s="289"/>
      <c r="F24" s="286"/>
      <c r="G24" s="47"/>
      <c r="H24" s="286"/>
      <c r="I24" s="46">
        <v>32</v>
      </c>
      <c r="J24" s="289"/>
      <c r="K24" s="286"/>
      <c r="L24" s="47"/>
      <c r="M24" s="47"/>
      <c r="N24" s="47"/>
      <c r="O24" s="47"/>
      <c r="P24" s="47"/>
      <c r="Q24" s="47"/>
      <c r="R24" s="286"/>
      <c r="S24" s="46">
        <v>32</v>
      </c>
      <c r="T24" s="295" t="s">
        <v>258</v>
      </c>
      <c r="U24" s="286"/>
      <c r="V24" s="47"/>
      <c r="W24" s="47"/>
      <c r="X24" s="47"/>
      <c r="Y24" s="286"/>
      <c r="Z24" s="46">
        <v>32</v>
      </c>
      <c r="AA24" s="295" t="s">
        <v>259</v>
      </c>
      <c r="AB24" s="286"/>
      <c r="AC24" s="47"/>
      <c r="AD24" s="286"/>
      <c r="AE24" s="46">
        <v>32</v>
      </c>
      <c r="AF24" s="295" t="s">
        <v>260</v>
      </c>
      <c r="AG24" s="286"/>
      <c r="AH24" s="47"/>
      <c r="AI24" s="286"/>
      <c r="AJ24" s="46">
        <v>32</v>
      </c>
      <c r="AK24" s="295" t="s">
        <v>261</v>
      </c>
      <c r="AL24" s="286"/>
      <c r="AM24" s="47"/>
      <c r="AO24" s="286"/>
      <c r="AP24" s="46">
        <v>32</v>
      </c>
      <c r="AR24" s="286"/>
      <c r="AT24" s="286"/>
      <c r="AU24" s="46">
        <v>36</v>
      </c>
      <c r="AV24" s="178" t="s">
        <v>252</v>
      </c>
      <c r="AW24" s="286"/>
    </row>
    <row r="25" spans="2:49" x14ac:dyDescent="0.3">
      <c r="B25" t="s">
        <v>66</v>
      </c>
      <c r="C25" s="286"/>
      <c r="D25" s="46">
        <v>31</v>
      </c>
      <c r="E25" s="290"/>
      <c r="F25" s="286"/>
      <c r="G25" s="47"/>
      <c r="H25" s="286"/>
      <c r="I25" s="46">
        <v>31</v>
      </c>
      <c r="J25" s="290"/>
      <c r="K25" s="286"/>
      <c r="L25" s="47"/>
      <c r="M25" s="47"/>
      <c r="N25" s="47"/>
      <c r="O25" s="47"/>
      <c r="P25" s="47"/>
      <c r="Q25" s="47"/>
      <c r="R25" s="286"/>
      <c r="S25" s="46">
        <v>31</v>
      </c>
      <c r="T25" s="296"/>
      <c r="U25" s="286"/>
      <c r="V25" s="47"/>
      <c r="W25" s="47"/>
      <c r="X25" s="47"/>
      <c r="Y25" s="286"/>
      <c r="Z25" s="46">
        <v>31</v>
      </c>
      <c r="AA25" s="296"/>
      <c r="AB25" s="286"/>
      <c r="AC25" s="47"/>
      <c r="AD25" s="286"/>
      <c r="AE25" s="46">
        <v>31</v>
      </c>
      <c r="AF25" s="296"/>
      <c r="AG25" s="286"/>
      <c r="AH25" s="47"/>
      <c r="AI25" s="286"/>
      <c r="AJ25" s="46">
        <v>31</v>
      </c>
      <c r="AK25" s="296"/>
      <c r="AL25" s="286"/>
      <c r="AM25" s="47"/>
      <c r="AO25" s="286"/>
      <c r="AP25" s="46">
        <v>31</v>
      </c>
      <c r="AQ25" s="297" t="s">
        <v>262</v>
      </c>
      <c r="AR25" s="286"/>
      <c r="AT25" s="286"/>
      <c r="AU25" s="46">
        <v>35</v>
      </c>
      <c r="AV25" s="178" t="s">
        <v>252</v>
      </c>
      <c r="AW25" s="286"/>
    </row>
    <row r="26" spans="2:49" x14ac:dyDescent="0.3">
      <c r="C26" s="286"/>
      <c r="D26" s="46">
        <v>30</v>
      </c>
      <c r="E26" s="291" t="s">
        <v>263</v>
      </c>
      <c r="F26" s="286"/>
      <c r="G26" s="47"/>
      <c r="H26" s="286"/>
      <c r="I26" s="46">
        <v>30</v>
      </c>
      <c r="J26" s="291" t="s">
        <v>263</v>
      </c>
      <c r="K26" s="286"/>
      <c r="L26" s="47"/>
      <c r="M26" s="47"/>
      <c r="N26" s="47"/>
      <c r="O26" s="47"/>
      <c r="P26" s="47"/>
      <c r="Q26" s="47"/>
      <c r="R26" s="286"/>
      <c r="S26" s="46">
        <v>30</v>
      </c>
      <c r="U26" s="286"/>
      <c r="V26" s="47"/>
      <c r="W26" s="47"/>
      <c r="X26" s="47"/>
      <c r="Y26" s="286"/>
      <c r="Z26" s="46">
        <v>30</v>
      </c>
      <c r="AB26" s="286"/>
      <c r="AC26" s="47"/>
      <c r="AD26" s="286"/>
      <c r="AE26" s="46">
        <v>30</v>
      </c>
      <c r="AG26" s="286"/>
      <c r="AH26" s="47"/>
      <c r="AI26" s="286"/>
      <c r="AJ26" s="46">
        <v>30</v>
      </c>
      <c r="AL26" s="286"/>
      <c r="AM26" s="47"/>
      <c r="AO26" s="286"/>
      <c r="AP26" s="46">
        <v>30</v>
      </c>
      <c r="AQ26" s="298"/>
      <c r="AR26" s="286"/>
      <c r="AT26" s="286"/>
      <c r="AU26" s="46">
        <v>34</v>
      </c>
      <c r="AV26" s="178" t="s">
        <v>252</v>
      </c>
      <c r="AW26" s="286"/>
    </row>
    <row r="27" spans="2:49" x14ac:dyDescent="0.3">
      <c r="C27" s="286"/>
      <c r="D27" s="46">
        <v>29</v>
      </c>
      <c r="E27" s="292"/>
      <c r="F27" s="286"/>
      <c r="G27" s="47"/>
      <c r="H27" s="286"/>
      <c r="I27" s="46">
        <v>29</v>
      </c>
      <c r="J27" s="292"/>
      <c r="K27" s="286"/>
      <c r="L27" s="47"/>
      <c r="M27" s="47"/>
      <c r="N27" s="47"/>
      <c r="O27" s="47"/>
      <c r="P27" s="47"/>
      <c r="Q27" s="47"/>
      <c r="R27" s="286"/>
      <c r="S27" s="46">
        <v>29</v>
      </c>
      <c r="T27" s="295" t="s">
        <v>264</v>
      </c>
      <c r="U27" s="286"/>
      <c r="V27" s="47"/>
      <c r="W27" s="47"/>
      <c r="X27" s="47"/>
      <c r="Y27" s="286"/>
      <c r="Z27" s="46">
        <v>29</v>
      </c>
      <c r="AA27" s="295" t="s">
        <v>265</v>
      </c>
      <c r="AB27" s="286"/>
      <c r="AC27" s="47"/>
      <c r="AD27" s="286"/>
      <c r="AE27" s="46">
        <v>29</v>
      </c>
      <c r="AF27" s="295" t="s">
        <v>266</v>
      </c>
      <c r="AG27" s="286"/>
      <c r="AH27" s="47"/>
      <c r="AI27" s="286"/>
      <c r="AJ27" s="46">
        <v>29</v>
      </c>
      <c r="AK27" s="295" t="s">
        <v>267</v>
      </c>
      <c r="AL27" s="286"/>
      <c r="AM27" s="47"/>
      <c r="AO27" s="286"/>
      <c r="AP27" s="46">
        <v>29</v>
      </c>
      <c r="AR27" s="286"/>
      <c r="AT27" s="286"/>
      <c r="AU27" s="46">
        <v>33</v>
      </c>
      <c r="AV27" s="178" t="s">
        <v>252</v>
      </c>
      <c r="AW27" s="286"/>
    </row>
    <row r="28" spans="2:49" x14ac:dyDescent="0.3">
      <c r="B28" t="s">
        <v>66</v>
      </c>
      <c r="C28" s="286"/>
      <c r="D28" s="46">
        <v>28</v>
      </c>
      <c r="E28" s="170"/>
      <c r="F28" s="286"/>
      <c r="G28" s="47"/>
      <c r="H28" s="286"/>
      <c r="I28" s="46">
        <v>28</v>
      </c>
      <c r="J28" s="170"/>
      <c r="K28" s="286"/>
      <c r="L28" s="47"/>
      <c r="M28" s="47"/>
      <c r="N28" s="47"/>
      <c r="O28" s="47"/>
      <c r="P28" s="47"/>
      <c r="Q28" s="47"/>
      <c r="R28" s="286"/>
      <c r="S28" s="46">
        <v>28</v>
      </c>
      <c r="T28" s="296"/>
      <c r="U28" s="286"/>
      <c r="V28" s="47"/>
      <c r="W28" s="47"/>
      <c r="X28" s="47"/>
      <c r="Y28" s="286"/>
      <c r="Z28" s="46">
        <v>28</v>
      </c>
      <c r="AA28" s="296"/>
      <c r="AB28" s="286"/>
      <c r="AC28" s="47"/>
      <c r="AD28" s="286"/>
      <c r="AE28" s="46">
        <v>28</v>
      </c>
      <c r="AF28" s="296"/>
      <c r="AG28" s="286"/>
      <c r="AH28" s="47"/>
      <c r="AI28" s="286"/>
      <c r="AJ28" s="46">
        <v>28</v>
      </c>
      <c r="AK28" s="296"/>
      <c r="AL28" s="286"/>
      <c r="AM28" s="47"/>
      <c r="AO28" s="286"/>
      <c r="AP28" s="46">
        <v>28</v>
      </c>
      <c r="AQ28" s="297" t="s">
        <v>268</v>
      </c>
      <c r="AR28" s="286"/>
      <c r="AT28" s="286"/>
      <c r="AU28" s="46">
        <v>32</v>
      </c>
      <c r="AV28" s="178" t="s">
        <v>252</v>
      </c>
      <c r="AW28" s="286"/>
    </row>
    <row r="29" spans="2:49" x14ac:dyDescent="0.3">
      <c r="C29" s="286"/>
      <c r="D29" s="46">
        <v>27</v>
      </c>
      <c r="E29" s="291" t="s">
        <v>269</v>
      </c>
      <c r="F29" s="286"/>
      <c r="G29" s="47"/>
      <c r="H29" s="286"/>
      <c r="I29" s="46">
        <v>27</v>
      </c>
      <c r="J29" s="291" t="s">
        <v>269</v>
      </c>
      <c r="K29" s="286"/>
      <c r="L29" s="47"/>
      <c r="M29" s="47"/>
      <c r="N29" s="47"/>
      <c r="O29" s="47"/>
      <c r="P29" s="47"/>
      <c r="Q29" s="47"/>
      <c r="R29" s="286"/>
      <c r="S29" s="46">
        <v>27</v>
      </c>
      <c r="U29" s="286"/>
      <c r="V29" s="47"/>
      <c r="W29" s="47"/>
      <c r="X29" s="47"/>
      <c r="Y29" s="286"/>
      <c r="Z29" s="46">
        <v>27</v>
      </c>
      <c r="AB29" s="286"/>
      <c r="AC29" s="47"/>
      <c r="AD29" s="286"/>
      <c r="AE29" s="46">
        <v>27</v>
      </c>
      <c r="AG29" s="286"/>
      <c r="AH29" s="47"/>
      <c r="AI29" s="286"/>
      <c r="AJ29" s="46">
        <v>27</v>
      </c>
      <c r="AL29" s="286"/>
      <c r="AM29" s="47"/>
      <c r="AO29" s="286"/>
      <c r="AP29" s="46">
        <v>27</v>
      </c>
      <c r="AQ29" s="298"/>
      <c r="AR29" s="286"/>
      <c r="AT29" s="286"/>
      <c r="AU29" s="46">
        <v>31</v>
      </c>
      <c r="AV29" s="178" t="s">
        <v>270</v>
      </c>
      <c r="AW29" s="286"/>
    </row>
    <row r="30" spans="2:49" x14ac:dyDescent="0.3">
      <c r="C30" s="286"/>
      <c r="D30" s="46">
        <v>26</v>
      </c>
      <c r="E30" s="292"/>
      <c r="F30" s="286"/>
      <c r="G30" s="47"/>
      <c r="H30" s="286"/>
      <c r="I30" s="46">
        <v>26</v>
      </c>
      <c r="J30" s="292"/>
      <c r="K30" s="286"/>
      <c r="L30" s="47"/>
      <c r="M30" s="47"/>
      <c r="N30" s="47"/>
      <c r="O30" s="47"/>
      <c r="P30" s="47"/>
      <c r="Q30" s="47"/>
      <c r="R30" s="286"/>
      <c r="S30" s="46">
        <v>26</v>
      </c>
      <c r="T30" s="295" t="s">
        <v>271</v>
      </c>
      <c r="U30" s="286"/>
      <c r="V30" s="47"/>
      <c r="W30" s="47"/>
      <c r="X30" s="47"/>
      <c r="Y30" s="286"/>
      <c r="Z30" s="46">
        <v>26</v>
      </c>
      <c r="AA30" s="295" t="s">
        <v>272</v>
      </c>
      <c r="AB30" s="286"/>
      <c r="AC30" s="47"/>
      <c r="AD30" s="286"/>
      <c r="AE30" s="46">
        <v>26</v>
      </c>
      <c r="AF30" s="295" t="s">
        <v>273</v>
      </c>
      <c r="AG30" s="286"/>
      <c r="AH30" s="47"/>
      <c r="AI30" s="286"/>
      <c r="AJ30" s="46">
        <v>26</v>
      </c>
      <c r="AK30" s="295" t="s">
        <v>274</v>
      </c>
      <c r="AL30" s="286"/>
      <c r="AM30" s="47"/>
      <c r="AO30" s="286"/>
      <c r="AP30" s="46">
        <v>26</v>
      </c>
      <c r="AR30" s="286"/>
      <c r="AT30" s="286"/>
      <c r="AU30" s="46">
        <v>30</v>
      </c>
      <c r="AV30" s="178" t="s">
        <v>252</v>
      </c>
      <c r="AW30" s="286"/>
    </row>
    <row r="31" spans="2:49" x14ac:dyDescent="0.3">
      <c r="B31" t="s">
        <v>66</v>
      </c>
      <c r="C31" s="286"/>
      <c r="D31" s="46">
        <v>25</v>
      </c>
      <c r="E31" s="168"/>
      <c r="F31" s="286"/>
      <c r="G31" s="47"/>
      <c r="H31" s="286"/>
      <c r="I31" s="46">
        <v>25</v>
      </c>
      <c r="J31" s="168"/>
      <c r="K31" s="286"/>
      <c r="L31" s="47"/>
      <c r="M31" s="47"/>
      <c r="N31" s="47"/>
      <c r="O31" s="47"/>
      <c r="P31" s="47"/>
      <c r="Q31" s="47"/>
      <c r="R31" s="286"/>
      <c r="S31" s="46">
        <v>25</v>
      </c>
      <c r="T31" s="296"/>
      <c r="U31" s="286"/>
      <c r="V31" s="47"/>
      <c r="W31" s="47"/>
      <c r="X31" s="47"/>
      <c r="Y31" s="286"/>
      <c r="Z31" s="46">
        <v>25</v>
      </c>
      <c r="AA31" s="296"/>
      <c r="AB31" s="286"/>
      <c r="AC31" s="47"/>
      <c r="AD31" s="286"/>
      <c r="AE31" s="46">
        <v>25</v>
      </c>
      <c r="AF31" s="296"/>
      <c r="AG31" s="286"/>
      <c r="AH31" s="47"/>
      <c r="AI31" s="286"/>
      <c r="AJ31" s="46">
        <v>25</v>
      </c>
      <c r="AK31" s="296"/>
      <c r="AL31" s="286"/>
      <c r="AM31" s="47"/>
      <c r="AO31" s="286"/>
      <c r="AP31" s="46">
        <v>25</v>
      </c>
      <c r="AR31" s="286"/>
      <c r="AT31" s="286"/>
      <c r="AU31" s="46">
        <v>29</v>
      </c>
      <c r="AV31" s="178" t="s">
        <v>252</v>
      </c>
      <c r="AW31" s="286"/>
    </row>
    <row r="32" spans="2:49" x14ac:dyDescent="0.3">
      <c r="C32" s="286"/>
      <c r="D32" s="46">
        <v>24</v>
      </c>
      <c r="E32" s="288" t="s">
        <v>242</v>
      </c>
      <c r="F32" s="286"/>
      <c r="G32" s="47"/>
      <c r="H32" s="286"/>
      <c r="I32" s="46">
        <v>24</v>
      </c>
      <c r="J32" s="288" t="s">
        <v>242</v>
      </c>
      <c r="K32" s="286"/>
      <c r="L32" s="47"/>
      <c r="M32" s="47"/>
      <c r="N32" s="47"/>
      <c r="O32" s="47"/>
      <c r="P32" s="47"/>
      <c r="Q32" s="47"/>
      <c r="R32" s="286"/>
      <c r="S32" s="46">
        <v>24</v>
      </c>
      <c r="U32" s="286"/>
      <c r="V32" s="47"/>
      <c r="W32" s="47"/>
      <c r="X32" s="47"/>
      <c r="Y32" s="286"/>
      <c r="Z32" s="46">
        <v>24</v>
      </c>
      <c r="AB32" s="286"/>
      <c r="AC32" s="47"/>
      <c r="AD32" s="286"/>
      <c r="AE32" s="46">
        <v>24</v>
      </c>
      <c r="AG32" s="286"/>
      <c r="AH32" s="47"/>
      <c r="AI32" s="286"/>
      <c r="AJ32" s="46">
        <v>24</v>
      </c>
      <c r="AL32" s="286"/>
      <c r="AM32" s="47"/>
      <c r="AO32" s="286"/>
      <c r="AP32" s="46">
        <v>24</v>
      </c>
      <c r="AR32" s="286"/>
      <c r="AT32" s="286"/>
      <c r="AU32" s="46">
        <v>28</v>
      </c>
      <c r="AV32" s="178" t="s">
        <v>252</v>
      </c>
      <c r="AW32" s="286"/>
    </row>
    <row r="33" spans="2:49" x14ac:dyDescent="0.3">
      <c r="C33" s="286"/>
      <c r="D33" s="46">
        <v>23</v>
      </c>
      <c r="E33" s="289"/>
      <c r="F33" s="286"/>
      <c r="G33" s="47"/>
      <c r="H33" s="286"/>
      <c r="I33" s="46">
        <v>23</v>
      </c>
      <c r="J33" s="289"/>
      <c r="K33" s="286"/>
      <c r="L33" s="47"/>
      <c r="M33" s="47"/>
      <c r="N33" s="47"/>
      <c r="O33" s="47"/>
      <c r="P33" s="47"/>
      <c r="Q33" s="47"/>
      <c r="R33" s="286"/>
      <c r="S33" s="46">
        <v>23</v>
      </c>
      <c r="T33" s="295" t="s">
        <v>275</v>
      </c>
      <c r="U33" s="286"/>
      <c r="V33" s="47"/>
      <c r="W33" s="47"/>
      <c r="X33" s="47"/>
      <c r="Y33" s="286"/>
      <c r="Z33" s="46">
        <v>23</v>
      </c>
      <c r="AA33" s="295" t="s">
        <v>276</v>
      </c>
      <c r="AB33" s="286"/>
      <c r="AC33" s="47"/>
      <c r="AD33" s="286"/>
      <c r="AE33" s="46">
        <v>23</v>
      </c>
      <c r="AF33" s="295" t="s">
        <v>277</v>
      </c>
      <c r="AG33" s="286"/>
      <c r="AH33" s="47"/>
      <c r="AI33" s="286"/>
      <c r="AJ33" s="46">
        <v>23</v>
      </c>
      <c r="AK33" s="295" t="s">
        <v>278</v>
      </c>
      <c r="AL33" s="286"/>
      <c r="AM33" s="47"/>
      <c r="AO33" s="286"/>
      <c r="AP33" s="46">
        <v>23</v>
      </c>
      <c r="AR33" s="286"/>
      <c r="AT33" s="286"/>
      <c r="AU33" s="46">
        <v>27</v>
      </c>
      <c r="AV33" s="178" t="s">
        <v>252</v>
      </c>
      <c r="AW33" s="286"/>
    </row>
    <row r="34" spans="2:49" x14ac:dyDescent="0.3">
      <c r="B34" t="s">
        <v>66</v>
      </c>
      <c r="C34" s="286"/>
      <c r="D34" s="46">
        <v>22</v>
      </c>
      <c r="E34" s="290"/>
      <c r="F34" s="286"/>
      <c r="G34" s="47"/>
      <c r="H34" s="286"/>
      <c r="I34" s="46">
        <v>22</v>
      </c>
      <c r="J34" s="290"/>
      <c r="K34" s="286"/>
      <c r="L34" s="47"/>
      <c r="M34" s="47"/>
      <c r="N34" s="47"/>
      <c r="O34" s="47"/>
      <c r="P34" s="47"/>
      <c r="Q34" s="47"/>
      <c r="R34" s="286"/>
      <c r="S34" s="46">
        <v>22</v>
      </c>
      <c r="T34" s="296"/>
      <c r="U34" s="286"/>
      <c r="V34" s="47"/>
      <c r="W34" s="47"/>
      <c r="X34" s="47"/>
      <c r="Y34" s="286"/>
      <c r="Z34" s="46">
        <v>22</v>
      </c>
      <c r="AA34" s="296"/>
      <c r="AB34" s="286"/>
      <c r="AC34" s="47"/>
      <c r="AD34" s="286"/>
      <c r="AE34" s="46">
        <v>22</v>
      </c>
      <c r="AF34" s="296"/>
      <c r="AG34" s="286"/>
      <c r="AH34" s="47"/>
      <c r="AI34" s="286"/>
      <c r="AJ34" s="46">
        <v>22</v>
      </c>
      <c r="AK34" s="296"/>
      <c r="AL34" s="286"/>
      <c r="AM34" s="47"/>
      <c r="AO34" s="286"/>
      <c r="AP34" s="46">
        <v>22</v>
      </c>
      <c r="AR34" s="286"/>
      <c r="AT34" s="286"/>
      <c r="AU34" s="46">
        <v>26</v>
      </c>
      <c r="AV34" s="178" t="s">
        <v>252</v>
      </c>
      <c r="AW34" s="286"/>
    </row>
    <row r="35" spans="2:49" x14ac:dyDescent="0.3">
      <c r="C35" s="286"/>
      <c r="D35" s="46">
        <v>21</v>
      </c>
      <c r="E35" s="293" t="s">
        <v>279</v>
      </c>
      <c r="F35" s="286"/>
      <c r="G35" s="47"/>
      <c r="H35" s="286"/>
      <c r="I35" s="46">
        <v>21</v>
      </c>
      <c r="J35" s="293" t="s">
        <v>279</v>
      </c>
      <c r="K35" s="286"/>
      <c r="L35" s="47"/>
      <c r="M35" s="47"/>
      <c r="N35" s="47"/>
      <c r="O35" s="47"/>
      <c r="P35" s="47"/>
      <c r="Q35" s="47"/>
      <c r="R35" s="286"/>
      <c r="S35" s="46">
        <v>21</v>
      </c>
      <c r="U35" s="286"/>
      <c r="V35" s="47"/>
      <c r="W35" s="47"/>
      <c r="X35" s="47"/>
      <c r="Y35" s="286"/>
      <c r="Z35" s="46">
        <v>21</v>
      </c>
      <c r="AB35" s="286"/>
      <c r="AC35" s="47"/>
      <c r="AD35" s="286"/>
      <c r="AE35" s="46">
        <v>21</v>
      </c>
      <c r="AG35" s="286"/>
      <c r="AH35" s="47"/>
      <c r="AI35" s="286"/>
      <c r="AJ35" s="46">
        <v>21</v>
      </c>
      <c r="AL35" s="286"/>
      <c r="AM35" s="47"/>
      <c r="AO35" s="286"/>
      <c r="AP35" s="46">
        <v>21</v>
      </c>
      <c r="AR35" s="286"/>
      <c r="AT35" s="286"/>
      <c r="AU35" s="46">
        <v>25</v>
      </c>
      <c r="AV35" s="178" t="s">
        <v>252</v>
      </c>
      <c r="AW35" s="286"/>
    </row>
    <row r="36" spans="2:49" x14ac:dyDescent="0.3">
      <c r="B36">
        <v>2080</v>
      </c>
      <c r="C36" s="286"/>
      <c r="D36" s="46">
        <v>20</v>
      </c>
      <c r="E36" s="294"/>
      <c r="F36" s="286"/>
      <c r="G36" s="47"/>
      <c r="H36" s="286"/>
      <c r="I36" s="46">
        <v>20</v>
      </c>
      <c r="J36" s="294"/>
      <c r="K36" s="286"/>
      <c r="L36" s="47"/>
      <c r="M36" s="47"/>
      <c r="N36" s="47"/>
      <c r="O36" s="47"/>
      <c r="P36" s="47"/>
      <c r="Q36" s="47"/>
      <c r="R36" s="286"/>
      <c r="S36" s="46">
        <v>20</v>
      </c>
      <c r="T36" s="295" t="s">
        <v>280</v>
      </c>
      <c r="U36" s="286"/>
      <c r="V36" s="47"/>
      <c r="W36" s="47"/>
      <c r="X36" s="47"/>
      <c r="Y36" s="286"/>
      <c r="Z36" s="46">
        <v>20</v>
      </c>
      <c r="AA36" s="295" t="s">
        <v>281</v>
      </c>
      <c r="AB36" s="286"/>
      <c r="AC36" s="47"/>
      <c r="AD36" s="286"/>
      <c r="AE36" s="46">
        <v>20</v>
      </c>
      <c r="AF36" s="295" t="s">
        <v>282</v>
      </c>
      <c r="AG36" s="286"/>
      <c r="AH36" s="47"/>
      <c r="AI36" s="286"/>
      <c r="AJ36" s="46">
        <v>20</v>
      </c>
      <c r="AK36" s="295" t="s">
        <v>283</v>
      </c>
      <c r="AL36" s="286"/>
      <c r="AM36" s="47"/>
      <c r="AO36" s="286"/>
      <c r="AP36" s="46">
        <v>20</v>
      </c>
      <c r="AR36" s="286"/>
      <c r="AT36" s="286"/>
      <c r="AU36" s="46">
        <v>24</v>
      </c>
      <c r="AW36" s="286"/>
    </row>
    <row r="37" spans="2:49" x14ac:dyDescent="0.3">
      <c r="B37" t="s">
        <v>66</v>
      </c>
      <c r="C37" s="286"/>
      <c r="D37" s="46">
        <v>19</v>
      </c>
      <c r="E37" s="170"/>
      <c r="F37" s="286"/>
      <c r="G37" s="47"/>
      <c r="H37" s="286"/>
      <c r="I37" s="46">
        <v>19</v>
      </c>
      <c r="J37" s="170"/>
      <c r="K37" s="286"/>
      <c r="L37" s="47"/>
      <c r="M37" s="47"/>
      <c r="N37" s="47"/>
      <c r="O37" s="47"/>
      <c r="P37" s="47"/>
      <c r="Q37" s="47"/>
      <c r="R37" s="286"/>
      <c r="S37" s="46">
        <v>19</v>
      </c>
      <c r="T37" s="296"/>
      <c r="U37" s="286"/>
      <c r="V37" s="47"/>
      <c r="W37" s="47"/>
      <c r="X37" s="47"/>
      <c r="Y37" s="286"/>
      <c r="Z37" s="46">
        <v>19</v>
      </c>
      <c r="AA37" s="296"/>
      <c r="AB37" s="286"/>
      <c r="AC37" s="47"/>
      <c r="AD37" s="286"/>
      <c r="AE37" s="46">
        <v>19</v>
      </c>
      <c r="AF37" s="296"/>
      <c r="AG37" s="286"/>
      <c r="AH37" s="47"/>
      <c r="AI37" s="286"/>
      <c r="AJ37" s="46">
        <v>19</v>
      </c>
      <c r="AK37" s="296"/>
      <c r="AL37" s="286"/>
      <c r="AM37" s="47"/>
      <c r="AO37" s="286"/>
      <c r="AP37" s="46">
        <v>19</v>
      </c>
      <c r="AR37" s="286"/>
      <c r="AT37" s="286"/>
      <c r="AU37" s="46">
        <v>23</v>
      </c>
      <c r="AW37" s="286"/>
    </row>
    <row r="38" spans="2:49" x14ac:dyDescent="0.3">
      <c r="C38" s="286"/>
      <c r="D38" s="46">
        <v>18</v>
      </c>
      <c r="E38" s="293" t="s">
        <v>253</v>
      </c>
      <c r="F38" s="286"/>
      <c r="G38" s="47"/>
      <c r="H38" s="286"/>
      <c r="I38" s="46">
        <v>18</v>
      </c>
      <c r="J38" s="293" t="s">
        <v>253</v>
      </c>
      <c r="K38" s="286"/>
      <c r="L38" s="47"/>
      <c r="M38" s="47"/>
      <c r="N38" s="47"/>
      <c r="O38" s="47"/>
      <c r="P38" s="47"/>
      <c r="Q38" s="47"/>
      <c r="R38" s="286"/>
      <c r="S38" s="46">
        <v>18</v>
      </c>
      <c r="U38" s="286"/>
      <c r="V38" s="47"/>
      <c r="W38" s="47"/>
      <c r="X38" s="47"/>
      <c r="Y38" s="286"/>
      <c r="Z38" s="46">
        <v>18</v>
      </c>
      <c r="AB38" s="286"/>
      <c r="AC38" s="47"/>
      <c r="AD38" s="286"/>
      <c r="AE38" s="46">
        <v>18</v>
      </c>
      <c r="AG38" s="286"/>
      <c r="AH38" s="47"/>
      <c r="AI38" s="286"/>
      <c r="AJ38" s="46">
        <v>18</v>
      </c>
      <c r="AL38" s="286"/>
      <c r="AM38" s="47"/>
      <c r="AO38" s="286"/>
      <c r="AP38" s="46">
        <v>18</v>
      </c>
      <c r="AR38" s="286"/>
      <c r="AT38" s="286"/>
      <c r="AU38" s="46">
        <v>22</v>
      </c>
      <c r="AW38" s="286"/>
    </row>
    <row r="39" spans="2:49" x14ac:dyDescent="0.3">
      <c r="B39">
        <v>2080</v>
      </c>
      <c r="C39" s="286"/>
      <c r="D39" s="46">
        <v>17</v>
      </c>
      <c r="E39" s="294"/>
      <c r="F39" s="286"/>
      <c r="G39" s="47"/>
      <c r="H39" s="286"/>
      <c r="I39" s="46">
        <v>17</v>
      </c>
      <c r="J39" s="294"/>
      <c r="K39" s="286"/>
      <c r="L39" s="47"/>
      <c r="M39" s="47"/>
      <c r="N39" s="47"/>
      <c r="O39" s="47"/>
      <c r="P39" s="47"/>
      <c r="Q39" s="47"/>
      <c r="R39" s="286"/>
      <c r="S39" s="46">
        <v>17</v>
      </c>
      <c r="T39" s="295" t="s">
        <v>284</v>
      </c>
      <c r="U39" s="286"/>
      <c r="V39" s="47"/>
      <c r="W39" s="47"/>
      <c r="X39" s="47"/>
      <c r="Y39" s="286"/>
      <c r="Z39" s="46">
        <v>17</v>
      </c>
      <c r="AA39" s="295" t="s">
        <v>285</v>
      </c>
      <c r="AB39" s="286"/>
      <c r="AC39" s="47"/>
      <c r="AD39" s="286"/>
      <c r="AE39" s="46">
        <v>17</v>
      </c>
      <c r="AF39" s="295" t="s">
        <v>286</v>
      </c>
      <c r="AG39" s="286"/>
      <c r="AH39" s="47"/>
      <c r="AI39" s="286"/>
      <c r="AJ39" s="46">
        <v>17</v>
      </c>
      <c r="AK39" s="295" t="s">
        <v>287</v>
      </c>
      <c r="AL39" s="286"/>
      <c r="AM39" s="47"/>
      <c r="AO39" s="286"/>
      <c r="AP39" s="46">
        <v>17</v>
      </c>
      <c r="AR39" s="286"/>
      <c r="AT39" s="286"/>
      <c r="AU39" s="46">
        <v>21</v>
      </c>
      <c r="AV39" s="178" t="s">
        <v>252</v>
      </c>
      <c r="AW39" s="286"/>
    </row>
    <row r="40" spans="2:49" x14ac:dyDescent="0.3">
      <c r="B40" t="s">
        <v>66</v>
      </c>
      <c r="C40" s="286"/>
      <c r="D40" s="46">
        <v>16</v>
      </c>
      <c r="E40" s="171"/>
      <c r="F40" s="286"/>
      <c r="G40" s="47"/>
      <c r="H40" s="286"/>
      <c r="I40" s="46">
        <v>16</v>
      </c>
      <c r="J40" s="171"/>
      <c r="K40" s="286"/>
      <c r="L40" s="47"/>
      <c r="M40" s="47"/>
      <c r="N40" s="47"/>
      <c r="O40" s="47"/>
      <c r="P40" s="47"/>
      <c r="Q40" s="47"/>
      <c r="R40" s="286"/>
      <c r="S40" s="46">
        <v>16</v>
      </c>
      <c r="T40" s="296"/>
      <c r="U40" s="286"/>
      <c r="V40" s="47"/>
      <c r="W40" s="47"/>
      <c r="X40" s="47"/>
      <c r="Y40" s="286"/>
      <c r="Z40" s="46">
        <v>16</v>
      </c>
      <c r="AA40" s="296"/>
      <c r="AB40" s="286"/>
      <c r="AC40" s="47"/>
      <c r="AD40" s="286"/>
      <c r="AE40" s="46">
        <v>16</v>
      </c>
      <c r="AF40" s="296"/>
      <c r="AG40" s="286"/>
      <c r="AH40" s="47"/>
      <c r="AI40" s="286"/>
      <c r="AJ40" s="46">
        <v>16</v>
      </c>
      <c r="AK40" s="296"/>
      <c r="AL40" s="286"/>
      <c r="AM40" s="47"/>
      <c r="AO40" s="286"/>
      <c r="AP40" s="46">
        <v>16</v>
      </c>
      <c r="AR40" s="286"/>
      <c r="AT40" s="286"/>
      <c r="AU40" s="46">
        <v>20</v>
      </c>
      <c r="AV40" s="178" t="s">
        <v>252</v>
      </c>
      <c r="AW40" s="286"/>
    </row>
    <row r="41" spans="2:49" x14ac:dyDescent="0.3">
      <c r="C41" s="286"/>
      <c r="D41" s="46">
        <v>15</v>
      </c>
      <c r="E41" s="288" t="s">
        <v>242</v>
      </c>
      <c r="F41" s="286"/>
      <c r="G41" s="47"/>
      <c r="H41" s="286"/>
      <c r="I41" s="46">
        <v>15</v>
      </c>
      <c r="J41" s="288" t="s">
        <v>242</v>
      </c>
      <c r="K41" s="286"/>
      <c r="L41" s="47"/>
      <c r="M41" s="47"/>
      <c r="N41" s="47"/>
      <c r="O41" s="47"/>
      <c r="P41" s="47"/>
      <c r="Q41" s="47"/>
      <c r="R41" s="286"/>
      <c r="S41" s="46">
        <v>15</v>
      </c>
      <c r="U41" s="286"/>
      <c r="V41" s="47"/>
      <c r="W41" s="47"/>
      <c r="X41" s="47"/>
      <c r="Y41" s="286"/>
      <c r="Z41" s="46">
        <v>15</v>
      </c>
      <c r="AB41" s="286"/>
      <c r="AC41" s="47"/>
      <c r="AD41" s="286"/>
      <c r="AE41" s="46">
        <v>15</v>
      </c>
      <c r="AG41" s="286"/>
      <c r="AH41" s="47"/>
      <c r="AI41" s="286"/>
      <c r="AJ41" s="46">
        <v>15</v>
      </c>
      <c r="AL41" s="286"/>
      <c r="AM41" s="47"/>
      <c r="AO41" s="286"/>
      <c r="AP41" s="46">
        <v>15</v>
      </c>
      <c r="AR41" s="286"/>
      <c r="AT41" s="286"/>
      <c r="AU41" s="46">
        <v>19</v>
      </c>
      <c r="AV41" s="178" t="s">
        <v>252</v>
      </c>
      <c r="AW41" s="286"/>
    </row>
    <row r="42" spans="2:49" x14ac:dyDescent="0.3">
      <c r="B42">
        <v>2080</v>
      </c>
      <c r="C42" s="286"/>
      <c r="D42" s="46">
        <v>14</v>
      </c>
      <c r="E42" s="289"/>
      <c r="F42" s="286"/>
      <c r="G42" s="47"/>
      <c r="H42" s="286"/>
      <c r="I42" s="46">
        <v>14</v>
      </c>
      <c r="J42" s="289"/>
      <c r="K42" s="286"/>
      <c r="L42" s="47"/>
      <c r="M42" s="47"/>
      <c r="N42" s="47"/>
      <c r="O42" s="47"/>
      <c r="P42" s="47"/>
      <c r="Q42" s="47"/>
      <c r="R42" s="286"/>
      <c r="S42" s="46">
        <v>14</v>
      </c>
      <c r="U42" s="286"/>
      <c r="V42" s="47"/>
      <c r="W42" s="47"/>
      <c r="X42" s="47"/>
      <c r="Y42" s="286"/>
      <c r="Z42" s="46">
        <v>14</v>
      </c>
      <c r="AB42" s="286"/>
      <c r="AC42" s="47"/>
      <c r="AD42" s="286"/>
      <c r="AE42" s="46">
        <v>14</v>
      </c>
      <c r="AG42" s="286"/>
      <c r="AH42" s="47"/>
      <c r="AI42" s="286"/>
      <c r="AJ42" s="46">
        <v>14</v>
      </c>
      <c r="AL42" s="286"/>
      <c r="AM42" s="47"/>
      <c r="AO42" s="286"/>
      <c r="AP42" s="46">
        <v>14</v>
      </c>
      <c r="AR42" s="286"/>
      <c r="AT42" s="286"/>
      <c r="AU42" s="46">
        <v>18</v>
      </c>
      <c r="AV42" s="178" t="s">
        <v>252</v>
      </c>
      <c r="AW42" s="286"/>
    </row>
    <row r="43" spans="2:49" x14ac:dyDescent="0.3">
      <c r="C43" s="286"/>
      <c r="D43" s="46">
        <v>13</v>
      </c>
      <c r="E43" s="290"/>
      <c r="F43" s="286"/>
      <c r="G43" s="47"/>
      <c r="H43" s="286"/>
      <c r="I43" s="46">
        <v>13</v>
      </c>
      <c r="J43" s="290"/>
      <c r="K43" s="286"/>
      <c r="L43" s="47"/>
      <c r="M43" s="47"/>
      <c r="N43" s="47"/>
      <c r="O43" s="47"/>
      <c r="P43" s="47"/>
      <c r="Q43" s="47"/>
      <c r="R43" s="286"/>
      <c r="S43" s="46">
        <v>13</v>
      </c>
      <c r="U43" s="286"/>
      <c r="V43" s="47"/>
      <c r="W43" s="47"/>
      <c r="X43" s="47"/>
      <c r="Y43" s="286"/>
      <c r="Z43" s="46">
        <v>13</v>
      </c>
      <c r="AB43" s="286"/>
      <c r="AC43" s="47"/>
      <c r="AD43" s="286"/>
      <c r="AE43" s="46">
        <v>13</v>
      </c>
      <c r="AG43" s="286"/>
      <c r="AH43" s="47"/>
      <c r="AI43" s="286"/>
      <c r="AJ43" s="46">
        <v>13</v>
      </c>
      <c r="AL43" s="286"/>
      <c r="AM43" s="47"/>
      <c r="AO43" s="286"/>
      <c r="AP43" s="46">
        <v>13</v>
      </c>
      <c r="AR43" s="286"/>
      <c r="AT43" s="286"/>
      <c r="AU43" s="46">
        <v>17</v>
      </c>
      <c r="AV43" s="178" t="s">
        <v>252</v>
      </c>
      <c r="AW43" s="286"/>
    </row>
    <row r="44" spans="2:49" x14ac:dyDescent="0.3">
      <c r="C44" s="286"/>
      <c r="D44" s="46">
        <v>12</v>
      </c>
      <c r="E44" s="291" t="s">
        <v>263</v>
      </c>
      <c r="F44" s="286"/>
      <c r="G44" s="47"/>
      <c r="H44" s="286"/>
      <c r="I44" s="46">
        <v>12</v>
      </c>
      <c r="J44" s="291" t="s">
        <v>263</v>
      </c>
      <c r="K44" s="286"/>
      <c r="L44" s="47"/>
      <c r="M44" s="47"/>
      <c r="N44" s="47"/>
      <c r="O44" s="47"/>
      <c r="P44" s="47"/>
      <c r="Q44" s="47"/>
      <c r="R44" s="286"/>
      <c r="S44" s="46">
        <v>12</v>
      </c>
      <c r="U44" s="286"/>
      <c r="V44" s="47"/>
      <c r="W44" s="47"/>
      <c r="X44" s="47"/>
      <c r="Y44" s="286"/>
      <c r="Z44" s="46">
        <v>12</v>
      </c>
      <c r="AB44" s="286"/>
      <c r="AC44" s="47"/>
      <c r="AD44" s="286"/>
      <c r="AE44" s="46">
        <v>12</v>
      </c>
      <c r="AG44" s="286"/>
      <c r="AH44" s="47"/>
      <c r="AI44" s="286"/>
      <c r="AJ44" s="46">
        <v>12</v>
      </c>
      <c r="AL44" s="286"/>
      <c r="AM44" s="47"/>
      <c r="AO44" s="286"/>
      <c r="AP44" s="46">
        <v>12</v>
      </c>
      <c r="AR44" s="286"/>
      <c r="AT44" s="286"/>
      <c r="AU44" s="46">
        <v>16</v>
      </c>
      <c r="AV44" s="178" t="s">
        <v>252</v>
      </c>
      <c r="AW44" s="286"/>
    </row>
    <row r="45" spans="2:49" x14ac:dyDescent="0.3">
      <c r="B45">
        <v>2080</v>
      </c>
      <c r="C45" s="286"/>
      <c r="D45" s="46">
        <v>11</v>
      </c>
      <c r="E45" s="292"/>
      <c r="F45" s="286"/>
      <c r="G45" s="47"/>
      <c r="H45" s="286"/>
      <c r="I45" s="46">
        <v>11</v>
      </c>
      <c r="J45" s="292"/>
      <c r="K45" s="286"/>
      <c r="L45" s="47"/>
      <c r="M45" s="47"/>
      <c r="N45" s="47"/>
      <c r="O45" s="47"/>
      <c r="P45" s="47"/>
      <c r="Q45" s="47"/>
      <c r="R45" s="286"/>
      <c r="S45" s="46">
        <v>11</v>
      </c>
      <c r="U45" s="286"/>
      <c r="V45" s="47"/>
      <c r="W45" s="47"/>
      <c r="X45" s="47"/>
      <c r="Y45" s="286"/>
      <c r="Z45" s="46">
        <v>11</v>
      </c>
      <c r="AB45" s="286"/>
      <c r="AC45" s="47"/>
      <c r="AD45" s="286"/>
      <c r="AE45" s="46">
        <v>11</v>
      </c>
      <c r="AG45" s="286"/>
      <c r="AH45" s="47"/>
      <c r="AI45" s="286"/>
      <c r="AJ45" s="46">
        <v>11</v>
      </c>
      <c r="AL45" s="286"/>
      <c r="AM45" s="47"/>
      <c r="AO45" s="286"/>
      <c r="AP45" s="46">
        <v>11</v>
      </c>
      <c r="AR45" s="286"/>
      <c r="AT45" s="286"/>
      <c r="AU45" s="46">
        <v>15</v>
      </c>
      <c r="AV45" s="178" t="s">
        <v>252</v>
      </c>
      <c r="AW45" s="286"/>
    </row>
    <row r="46" spans="2:49" x14ac:dyDescent="0.3">
      <c r="C46" s="286"/>
      <c r="D46" s="46">
        <v>10</v>
      </c>
      <c r="E46" s="170"/>
      <c r="F46" s="286"/>
      <c r="G46" s="47"/>
      <c r="H46" s="286"/>
      <c r="I46" s="46">
        <v>10</v>
      </c>
      <c r="J46" s="170"/>
      <c r="K46" s="286"/>
      <c r="L46" s="47"/>
      <c r="M46" s="47"/>
      <c r="N46" s="47"/>
      <c r="O46" s="47"/>
      <c r="P46" s="47"/>
      <c r="Q46" s="47"/>
      <c r="R46" s="286"/>
      <c r="S46" s="46">
        <v>10</v>
      </c>
      <c r="U46" s="286"/>
      <c r="V46" s="47"/>
      <c r="W46" s="47"/>
      <c r="X46" s="47"/>
      <c r="Y46" s="286"/>
      <c r="Z46" s="46">
        <v>10</v>
      </c>
      <c r="AB46" s="286"/>
      <c r="AC46" s="47"/>
      <c r="AD46" s="286"/>
      <c r="AE46" s="46">
        <v>10</v>
      </c>
      <c r="AG46" s="286"/>
      <c r="AH46" s="47"/>
      <c r="AI46" s="286"/>
      <c r="AJ46" s="46">
        <v>10</v>
      </c>
      <c r="AL46" s="286"/>
      <c r="AM46" s="47"/>
      <c r="AO46" s="286"/>
      <c r="AP46" s="46">
        <v>10</v>
      </c>
      <c r="AR46" s="286"/>
      <c r="AT46" s="286"/>
      <c r="AU46" s="46">
        <v>14</v>
      </c>
      <c r="AV46" s="178" t="s">
        <v>252</v>
      </c>
      <c r="AW46" s="286"/>
    </row>
    <row r="47" spans="2:49" x14ac:dyDescent="0.3">
      <c r="C47" s="286"/>
      <c r="D47" s="46">
        <v>9</v>
      </c>
      <c r="E47" s="291" t="s">
        <v>269</v>
      </c>
      <c r="F47" s="286"/>
      <c r="G47" s="47"/>
      <c r="H47" s="286"/>
      <c r="I47" s="46">
        <v>9</v>
      </c>
      <c r="J47" s="291" t="s">
        <v>269</v>
      </c>
      <c r="K47" s="286"/>
      <c r="L47" s="47"/>
      <c r="M47" s="47"/>
      <c r="N47" s="47"/>
      <c r="O47" s="47"/>
      <c r="P47" s="47"/>
      <c r="Q47" s="47"/>
      <c r="R47" s="286"/>
      <c r="S47" s="46">
        <v>9</v>
      </c>
      <c r="U47" s="286"/>
      <c r="V47" s="47"/>
      <c r="W47" s="47"/>
      <c r="X47" s="47"/>
      <c r="Y47" s="286"/>
      <c r="Z47" s="46">
        <v>9</v>
      </c>
      <c r="AB47" s="286"/>
      <c r="AC47" s="47"/>
      <c r="AD47" s="286"/>
      <c r="AE47" s="46">
        <v>9</v>
      </c>
      <c r="AG47" s="286"/>
      <c r="AH47" s="47"/>
      <c r="AI47" s="286"/>
      <c r="AJ47" s="46">
        <v>9</v>
      </c>
      <c r="AL47" s="286"/>
      <c r="AM47" s="47"/>
      <c r="AO47" s="286"/>
      <c r="AP47" s="46">
        <v>9</v>
      </c>
      <c r="AR47" s="286"/>
      <c r="AT47" s="286"/>
      <c r="AU47" s="46">
        <v>13</v>
      </c>
      <c r="AV47" s="178" t="s">
        <v>252</v>
      </c>
      <c r="AW47" s="286"/>
    </row>
    <row r="48" spans="2:49" x14ac:dyDescent="0.3">
      <c r="C48" s="286"/>
      <c r="D48" s="46">
        <v>8</v>
      </c>
      <c r="E48" s="290"/>
      <c r="F48" s="286"/>
      <c r="G48" s="47"/>
      <c r="H48" s="286"/>
      <c r="I48" s="46">
        <v>8</v>
      </c>
      <c r="J48" s="290"/>
      <c r="K48" s="286"/>
      <c r="L48" s="47"/>
      <c r="M48" s="47"/>
      <c r="N48" s="47"/>
      <c r="O48" s="47"/>
      <c r="P48" s="47"/>
      <c r="Q48" s="47"/>
      <c r="R48" s="286"/>
      <c r="S48" s="46">
        <v>8</v>
      </c>
      <c r="U48" s="286"/>
      <c r="V48" s="47"/>
      <c r="W48" s="47"/>
      <c r="X48" s="47"/>
      <c r="Y48" s="286"/>
      <c r="Z48" s="46">
        <v>8</v>
      </c>
      <c r="AB48" s="286"/>
      <c r="AC48" s="47"/>
      <c r="AD48" s="286"/>
      <c r="AE48" s="46">
        <v>8</v>
      </c>
      <c r="AG48" s="286"/>
      <c r="AH48" s="47"/>
      <c r="AI48" s="286"/>
      <c r="AJ48" s="46">
        <v>8</v>
      </c>
      <c r="AL48" s="286"/>
      <c r="AM48" s="47"/>
      <c r="AO48" s="286"/>
      <c r="AP48" s="46">
        <v>8</v>
      </c>
      <c r="AR48" s="286"/>
      <c r="AT48" s="286"/>
      <c r="AU48" s="46">
        <v>12</v>
      </c>
      <c r="AV48" s="178" t="s">
        <v>252</v>
      </c>
      <c r="AW48" s="286"/>
    </row>
    <row r="49" spans="3:49" x14ac:dyDescent="0.3">
      <c r="C49" s="286"/>
      <c r="D49" s="46">
        <v>7</v>
      </c>
      <c r="E49" s="169"/>
      <c r="F49" s="286"/>
      <c r="G49" s="47"/>
      <c r="H49" s="286"/>
      <c r="I49" s="46">
        <v>7</v>
      </c>
      <c r="J49" s="169"/>
      <c r="K49" s="286"/>
      <c r="L49" s="47"/>
      <c r="M49" s="47"/>
      <c r="N49" s="47"/>
      <c r="O49" s="47"/>
      <c r="P49" s="47"/>
      <c r="Q49" s="47"/>
      <c r="R49" s="286"/>
      <c r="S49" s="46">
        <v>7</v>
      </c>
      <c r="U49" s="286"/>
      <c r="V49" s="47"/>
      <c r="W49" s="47"/>
      <c r="X49" s="47"/>
      <c r="Y49" s="286"/>
      <c r="Z49" s="46">
        <v>7</v>
      </c>
      <c r="AB49" s="286"/>
      <c r="AC49" s="47"/>
      <c r="AD49" s="286"/>
      <c r="AE49" s="46">
        <v>7</v>
      </c>
      <c r="AG49" s="286"/>
      <c r="AH49" s="47"/>
      <c r="AI49" s="286"/>
      <c r="AJ49" s="46">
        <v>7</v>
      </c>
      <c r="AL49" s="286"/>
      <c r="AM49" s="47"/>
      <c r="AO49" s="286"/>
      <c r="AP49" s="46">
        <v>7</v>
      </c>
      <c r="AR49" s="286"/>
      <c r="AT49" s="286"/>
      <c r="AU49" s="46">
        <v>11</v>
      </c>
      <c r="AV49" s="178" t="s">
        <v>270</v>
      </c>
      <c r="AW49" s="286"/>
    </row>
    <row r="50" spans="3:49" x14ac:dyDescent="0.3">
      <c r="C50" s="286"/>
      <c r="D50" s="46">
        <v>6</v>
      </c>
      <c r="F50" s="286"/>
      <c r="G50" s="47"/>
      <c r="H50" s="286"/>
      <c r="I50" s="46">
        <v>6</v>
      </c>
      <c r="K50" s="286"/>
      <c r="L50" s="47"/>
      <c r="M50" s="47"/>
      <c r="N50" s="47"/>
      <c r="O50" s="47"/>
      <c r="P50" s="47"/>
      <c r="Q50" s="47"/>
      <c r="R50" s="286"/>
      <c r="S50" s="46">
        <v>6</v>
      </c>
      <c r="U50" s="286"/>
      <c r="V50" s="47"/>
      <c r="W50" s="47"/>
      <c r="X50" s="47"/>
      <c r="Y50" s="286"/>
      <c r="Z50" s="46">
        <v>6</v>
      </c>
      <c r="AB50" s="286"/>
      <c r="AC50" s="47"/>
      <c r="AD50" s="286"/>
      <c r="AE50" s="46">
        <v>6</v>
      </c>
      <c r="AG50" s="286"/>
      <c r="AH50" s="47"/>
      <c r="AI50" s="286"/>
      <c r="AJ50" s="46">
        <v>6</v>
      </c>
      <c r="AL50" s="286"/>
      <c r="AM50" s="47"/>
      <c r="AO50" s="286"/>
      <c r="AP50" s="46">
        <v>6</v>
      </c>
      <c r="AR50" s="286"/>
      <c r="AT50" s="286"/>
      <c r="AU50" s="46">
        <v>10</v>
      </c>
      <c r="AV50" s="178" t="s">
        <v>252</v>
      </c>
      <c r="AW50" s="286"/>
    </row>
    <row r="51" spans="3:49" x14ac:dyDescent="0.3">
      <c r="C51" s="286"/>
      <c r="D51" s="46">
        <v>5</v>
      </c>
      <c r="F51" s="286"/>
      <c r="G51" s="47"/>
      <c r="H51" s="286"/>
      <c r="I51" s="46">
        <v>5</v>
      </c>
      <c r="J51" s="299" t="s">
        <v>288</v>
      </c>
      <c r="K51" s="286"/>
      <c r="L51" s="47"/>
      <c r="M51" s="47"/>
      <c r="N51" s="47"/>
      <c r="O51" s="47"/>
      <c r="P51" s="47"/>
      <c r="Q51" s="47"/>
      <c r="R51" s="286"/>
      <c r="S51" s="46">
        <v>5</v>
      </c>
      <c r="U51" s="286"/>
      <c r="V51" s="47"/>
      <c r="W51" s="47"/>
      <c r="X51" s="47"/>
      <c r="Y51" s="286"/>
      <c r="Z51" s="46">
        <v>5</v>
      </c>
      <c r="AB51" s="286"/>
      <c r="AC51" s="47"/>
      <c r="AD51" s="286"/>
      <c r="AE51" s="46">
        <v>5</v>
      </c>
      <c r="AG51" s="286"/>
      <c r="AH51" s="47"/>
      <c r="AI51" s="286"/>
      <c r="AJ51" s="46">
        <v>5</v>
      </c>
      <c r="AL51" s="286"/>
      <c r="AM51" s="47"/>
      <c r="AO51" s="286"/>
      <c r="AP51" s="46">
        <v>5</v>
      </c>
      <c r="AR51" s="286"/>
      <c r="AT51" s="286"/>
      <c r="AU51" s="46">
        <v>9</v>
      </c>
      <c r="AV51" s="178" t="s">
        <v>252</v>
      </c>
      <c r="AW51" s="286"/>
    </row>
    <row r="52" spans="3:49" x14ac:dyDescent="0.3">
      <c r="C52" s="286"/>
      <c r="D52" s="46">
        <v>4</v>
      </c>
      <c r="F52" s="286"/>
      <c r="G52" s="47"/>
      <c r="H52" s="286"/>
      <c r="I52" s="46">
        <v>4</v>
      </c>
      <c r="J52" s="300"/>
      <c r="K52" s="286"/>
      <c r="L52" s="47"/>
      <c r="M52" s="47"/>
      <c r="N52" s="47"/>
      <c r="O52" s="47"/>
      <c r="P52" s="47"/>
      <c r="Q52" s="47"/>
      <c r="R52" s="286"/>
      <c r="S52" s="46">
        <v>4</v>
      </c>
      <c r="U52" s="286"/>
      <c r="V52" s="47"/>
      <c r="W52" s="47"/>
      <c r="X52" s="47"/>
      <c r="Y52" s="286"/>
      <c r="Z52" s="46">
        <v>4</v>
      </c>
      <c r="AB52" s="286"/>
      <c r="AC52" s="47"/>
      <c r="AD52" s="286"/>
      <c r="AE52" s="46">
        <v>4</v>
      </c>
      <c r="AG52" s="286"/>
      <c r="AH52" s="47"/>
      <c r="AI52" s="286"/>
      <c r="AJ52" s="46">
        <v>4</v>
      </c>
      <c r="AL52" s="286"/>
      <c r="AM52" s="47"/>
      <c r="AO52" s="286"/>
      <c r="AP52" s="46">
        <v>4</v>
      </c>
      <c r="AR52" s="286"/>
      <c r="AT52" s="286"/>
      <c r="AU52" s="46">
        <v>8</v>
      </c>
      <c r="AV52" s="178" t="s">
        <v>252</v>
      </c>
      <c r="AW52" s="286"/>
    </row>
    <row r="53" spans="3:49" x14ac:dyDescent="0.3">
      <c r="C53" s="286"/>
      <c r="D53" s="46">
        <v>3</v>
      </c>
      <c r="F53" s="286"/>
      <c r="G53" s="47"/>
      <c r="H53" s="286"/>
      <c r="I53" s="46">
        <v>3</v>
      </c>
      <c r="K53" s="286"/>
      <c r="L53" s="47"/>
      <c r="M53" s="47"/>
      <c r="N53" s="47"/>
      <c r="O53" s="47"/>
      <c r="P53" s="47"/>
      <c r="Q53" s="47"/>
      <c r="R53" s="286"/>
      <c r="S53" s="46">
        <v>3</v>
      </c>
      <c r="U53" s="286"/>
      <c r="V53" s="47"/>
      <c r="W53" s="47"/>
      <c r="X53" s="47"/>
      <c r="Y53" s="286"/>
      <c r="Z53" s="46">
        <v>3</v>
      </c>
      <c r="AB53" s="286"/>
      <c r="AC53" s="47"/>
      <c r="AD53" s="286"/>
      <c r="AE53" s="46">
        <v>3</v>
      </c>
      <c r="AG53" s="286"/>
      <c r="AH53" s="47"/>
      <c r="AI53" s="286"/>
      <c r="AJ53" s="46">
        <v>3</v>
      </c>
      <c r="AL53" s="286"/>
      <c r="AM53" s="47"/>
      <c r="AO53" s="286"/>
      <c r="AP53" s="46">
        <v>3</v>
      </c>
      <c r="AR53" s="286"/>
      <c r="AT53" s="286"/>
      <c r="AU53" s="46">
        <v>7</v>
      </c>
      <c r="AV53" s="178" t="s">
        <v>252</v>
      </c>
      <c r="AW53" s="286"/>
    </row>
    <row r="54" spans="3:49" x14ac:dyDescent="0.3">
      <c r="C54" s="286"/>
      <c r="D54" s="46">
        <v>2</v>
      </c>
      <c r="F54" s="286"/>
      <c r="G54" s="47"/>
      <c r="H54" s="286"/>
      <c r="I54" s="46">
        <v>2</v>
      </c>
      <c r="J54" s="299" t="s">
        <v>289</v>
      </c>
      <c r="K54" s="286"/>
      <c r="L54" s="47"/>
      <c r="M54" s="47"/>
      <c r="N54" s="47"/>
      <c r="O54" s="47"/>
      <c r="P54" s="47"/>
      <c r="Q54" s="47"/>
      <c r="R54" s="286"/>
      <c r="S54" s="46">
        <v>2</v>
      </c>
      <c r="U54" s="286"/>
      <c r="V54" s="47"/>
      <c r="W54" s="47"/>
      <c r="X54" s="47"/>
      <c r="Y54" s="286"/>
      <c r="Z54" s="46">
        <v>2</v>
      </c>
      <c r="AB54" s="286"/>
      <c r="AC54" s="47"/>
      <c r="AD54" s="286"/>
      <c r="AE54" s="46">
        <v>2</v>
      </c>
      <c r="AG54" s="286"/>
      <c r="AH54" s="47"/>
      <c r="AI54" s="286"/>
      <c r="AJ54" s="46">
        <v>2</v>
      </c>
      <c r="AL54" s="286"/>
      <c r="AM54" s="47"/>
      <c r="AO54" s="286"/>
      <c r="AP54" s="46">
        <v>2</v>
      </c>
      <c r="AR54" s="286"/>
      <c r="AT54" s="286"/>
      <c r="AU54" s="46">
        <v>6</v>
      </c>
      <c r="AV54" s="178" t="s">
        <v>252</v>
      </c>
      <c r="AW54" s="286"/>
    </row>
    <row r="55" spans="3:49" ht="15" thickBot="1" x14ac:dyDescent="0.35">
      <c r="C55" s="287"/>
      <c r="D55" s="46">
        <v>1</v>
      </c>
      <c r="E55" s="48"/>
      <c r="F55" s="287"/>
      <c r="G55" s="47"/>
      <c r="H55" s="287"/>
      <c r="I55" s="46">
        <v>1</v>
      </c>
      <c r="J55" s="300"/>
      <c r="K55" s="287"/>
      <c r="L55" s="47"/>
      <c r="M55" s="47"/>
      <c r="N55" s="47"/>
      <c r="O55" s="47"/>
      <c r="P55" s="47"/>
      <c r="Q55" s="47"/>
      <c r="R55" s="287"/>
      <c r="S55" s="46">
        <v>1</v>
      </c>
      <c r="T55" s="48"/>
      <c r="U55" s="287"/>
      <c r="V55" s="47"/>
      <c r="W55" s="47"/>
      <c r="X55" s="47"/>
      <c r="Y55" s="287"/>
      <c r="Z55" s="46">
        <v>1</v>
      </c>
      <c r="AA55" s="48"/>
      <c r="AB55" s="287"/>
      <c r="AC55" s="47"/>
      <c r="AD55" s="287"/>
      <c r="AE55" s="46">
        <v>1</v>
      </c>
      <c r="AF55" s="48"/>
      <c r="AG55" s="287"/>
      <c r="AH55" s="47"/>
      <c r="AI55" s="287"/>
      <c r="AJ55" s="46">
        <v>1</v>
      </c>
      <c r="AK55" s="48"/>
      <c r="AL55" s="287"/>
      <c r="AM55" s="47"/>
      <c r="AO55" s="287"/>
      <c r="AP55" s="46">
        <v>1</v>
      </c>
      <c r="AQ55" s="48"/>
      <c r="AR55" s="287"/>
      <c r="AT55" s="286"/>
      <c r="AU55" s="46">
        <v>5</v>
      </c>
      <c r="AV55" s="178" t="s">
        <v>252</v>
      </c>
      <c r="AW55" s="286"/>
    </row>
    <row r="56" spans="3:49" x14ac:dyDescent="0.3">
      <c r="F56" s="34"/>
      <c r="G56" s="34"/>
      <c r="K56" s="34"/>
      <c r="L56" s="34"/>
      <c r="M56" s="34"/>
      <c r="N56" s="34"/>
      <c r="O56" s="34"/>
      <c r="P56" s="34"/>
      <c r="Q56" s="34"/>
      <c r="U56" s="34"/>
      <c r="V56" s="34"/>
      <c r="W56" s="34"/>
      <c r="X56" s="34"/>
      <c r="AB56" s="34"/>
      <c r="AC56" s="34"/>
      <c r="AG56" s="34"/>
      <c r="AH56" s="34"/>
      <c r="AL56" s="34"/>
      <c r="AM56" s="34"/>
      <c r="AT56" s="286"/>
      <c r="AU56" s="46">
        <v>4</v>
      </c>
      <c r="AW56" s="286"/>
    </row>
    <row r="57" spans="3:49" x14ac:dyDescent="0.3">
      <c r="F57" s="34"/>
      <c r="G57" s="34"/>
      <c r="K57" s="34"/>
      <c r="L57" s="34"/>
      <c r="M57" s="34"/>
      <c r="N57" s="34"/>
      <c r="O57" s="34"/>
      <c r="P57" s="34"/>
      <c r="Q57" s="34"/>
      <c r="U57" s="34"/>
      <c r="V57" s="34"/>
      <c r="W57" s="34"/>
      <c r="X57" s="34"/>
      <c r="AB57" s="34"/>
      <c r="AC57" s="34"/>
      <c r="AG57" s="34"/>
      <c r="AH57" s="34"/>
      <c r="AL57" s="34"/>
      <c r="AM57" s="34"/>
      <c r="AT57" s="286"/>
      <c r="AU57" s="46">
        <v>3</v>
      </c>
      <c r="AW57" s="286"/>
    </row>
    <row r="58" spans="3:49" x14ac:dyDescent="0.3">
      <c r="F58" s="34"/>
      <c r="G58" s="34"/>
      <c r="K58" s="34"/>
      <c r="L58" s="34"/>
      <c r="M58" s="34"/>
      <c r="N58" s="34"/>
      <c r="O58" s="34"/>
      <c r="P58" s="34"/>
      <c r="Q58" s="34"/>
      <c r="U58" s="34"/>
      <c r="V58" s="34"/>
      <c r="W58" s="34"/>
      <c r="X58" s="34"/>
      <c r="AB58" s="34"/>
      <c r="AC58" s="34"/>
      <c r="AG58" s="34"/>
      <c r="AH58" s="34"/>
      <c r="AL58" s="34"/>
      <c r="AM58" s="34"/>
      <c r="AT58" s="286"/>
      <c r="AU58" s="46">
        <v>2</v>
      </c>
      <c r="AW58" s="286"/>
    </row>
    <row r="59" spans="3:49" ht="15" thickBot="1" x14ac:dyDescent="0.35">
      <c r="AT59" s="287"/>
      <c r="AU59" s="46">
        <v>1</v>
      </c>
      <c r="AV59" s="48"/>
      <c r="AW59" s="287"/>
    </row>
    <row r="62" spans="3:49" ht="23.4" x14ac:dyDescent="0.45">
      <c r="C62" s="164" t="s">
        <v>290</v>
      </c>
    </row>
    <row r="65" spans="2:44" x14ac:dyDescent="0.3">
      <c r="AQ65" t="s">
        <v>66</v>
      </c>
    </row>
    <row r="66" spans="2:44" x14ac:dyDescent="0.3">
      <c r="D66" t="s">
        <v>66</v>
      </c>
      <c r="E66" s="43" t="s">
        <v>66</v>
      </c>
      <c r="F66" t="s">
        <v>224</v>
      </c>
      <c r="I66" t="s">
        <v>66</v>
      </c>
      <c r="J66" s="43" t="s">
        <v>66</v>
      </c>
      <c r="K66" t="s">
        <v>225</v>
      </c>
      <c r="S66" t="s">
        <v>66</v>
      </c>
      <c r="T66" s="43" t="s">
        <v>66</v>
      </c>
      <c r="U66" t="s">
        <v>226</v>
      </c>
      <c r="Z66" t="s">
        <v>66</v>
      </c>
      <c r="AA66" s="43" t="s">
        <v>66</v>
      </c>
      <c r="AB66" t="s">
        <v>226</v>
      </c>
      <c r="AE66" t="s">
        <v>66</v>
      </c>
      <c r="AF66" s="43" t="s">
        <v>66</v>
      </c>
      <c r="AG66" t="s">
        <v>226</v>
      </c>
      <c r="AJ66" t="s">
        <v>66</v>
      </c>
      <c r="AK66" s="43" t="s">
        <v>66</v>
      </c>
      <c r="AL66" t="s">
        <v>226</v>
      </c>
      <c r="AP66" t="s">
        <v>66</v>
      </c>
      <c r="AQ66" s="43" t="s">
        <v>66</v>
      </c>
      <c r="AR66" t="s">
        <v>227</v>
      </c>
    </row>
    <row r="67" spans="2:44" x14ac:dyDescent="0.3">
      <c r="C67" s="37"/>
      <c r="D67" s="38"/>
      <c r="E67" s="39" t="s">
        <v>228</v>
      </c>
      <c r="F67" s="40"/>
      <c r="G67" s="41"/>
      <c r="H67" s="37"/>
      <c r="I67" s="38"/>
      <c r="J67" s="39" t="s">
        <v>228</v>
      </c>
      <c r="K67" s="40"/>
      <c r="L67" s="41"/>
      <c r="M67" s="41"/>
      <c r="N67" s="41"/>
      <c r="O67" s="41"/>
      <c r="P67" s="41"/>
      <c r="Q67" s="41"/>
      <c r="R67" s="37"/>
      <c r="S67" s="38"/>
      <c r="T67" s="39" t="s">
        <v>228</v>
      </c>
      <c r="U67" s="40"/>
      <c r="V67" s="41"/>
      <c r="W67" s="41"/>
      <c r="X67" s="41"/>
      <c r="Y67" s="37"/>
      <c r="Z67" s="38"/>
      <c r="AA67" s="39" t="s">
        <v>228</v>
      </c>
      <c r="AB67" s="40"/>
      <c r="AC67" s="41"/>
      <c r="AD67" s="37"/>
      <c r="AE67" s="38"/>
      <c r="AF67" s="39" t="s">
        <v>228</v>
      </c>
      <c r="AG67" s="40"/>
      <c r="AH67" s="41"/>
      <c r="AI67" s="37"/>
      <c r="AJ67" s="38"/>
      <c r="AK67" s="39" t="s">
        <v>228</v>
      </c>
      <c r="AL67" s="40"/>
      <c r="AM67" s="41"/>
      <c r="AO67" s="37"/>
      <c r="AP67" s="38"/>
      <c r="AQ67" s="39" t="s">
        <v>228</v>
      </c>
      <c r="AR67" s="40"/>
    </row>
    <row r="68" spans="2:44" x14ac:dyDescent="0.3">
      <c r="C68" s="42"/>
      <c r="D68" s="43" t="s">
        <v>229</v>
      </c>
      <c r="E68" s="43" t="s">
        <v>291</v>
      </c>
      <c r="F68" s="44"/>
      <c r="G68" s="45"/>
      <c r="H68" s="42"/>
      <c r="I68" s="43" t="s">
        <v>229</v>
      </c>
      <c r="J68" s="43" t="s">
        <v>291</v>
      </c>
      <c r="K68" s="44"/>
      <c r="L68" s="45"/>
      <c r="M68" s="45"/>
      <c r="N68" s="45"/>
      <c r="O68" s="45"/>
      <c r="P68" s="45"/>
      <c r="Q68" s="45"/>
      <c r="R68" s="42"/>
      <c r="S68" s="43" t="s">
        <v>229</v>
      </c>
      <c r="T68" s="43" t="s">
        <v>292</v>
      </c>
      <c r="U68" s="44"/>
      <c r="V68" s="45"/>
      <c r="W68" s="45"/>
      <c r="X68" s="45"/>
      <c r="Y68" s="42"/>
      <c r="Z68" s="43" t="s">
        <v>229</v>
      </c>
      <c r="AA68" s="43" t="s">
        <v>293</v>
      </c>
      <c r="AB68" s="44"/>
      <c r="AC68" s="45"/>
      <c r="AD68" s="42"/>
      <c r="AE68" s="43" t="s">
        <v>229</v>
      </c>
      <c r="AF68" s="43" t="s">
        <v>294</v>
      </c>
      <c r="AG68" s="44"/>
      <c r="AH68" s="45"/>
      <c r="AI68" s="42"/>
      <c r="AJ68" s="43" t="s">
        <v>229</v>
      </c>
      <c r="AK68" s="43" t="s">
        <v>295</v>
      </c>
      <c r="AL68" s="44"/>
      <c r="AM68" s="45"/>
      <c r="AO68" s="42"/>
      <c r="AP68" s="43" t="s">
        <v>229</v>
      </c>
      <c r="AQ68" s="43" t="s">
        <v>235</v>
      </c>
      <c r="AR68" s="44"/>
    </row>
    <row r="69" spans="2:44" ht="107.4" x14ac:dyDescent="0.3">
      <c r="C69" s="285" t="s">
        <v>236</v>
      </c>
      <c r="D69" s="46">
        <v>48</v>
      </c>
      <c r="E69" s="97" t="s">
        <v>237</v>
      </c>
      <c r="F69" s="285" t="s">
        <v>236</v>
      </c>
      <c r="G69" s="47"/>
      <c r="H69" s="165" t="s">
        <v>236</v>
      </c>
      <c r="I69" s="46">
        <v>48</v>
      </c>
      <c r="J69" s="97" t="s">
        <v>237</v>
      </c>
      <c r="K69" s="165" t="s">
        <v>236</v>
      </c>
      <c r="L69" s="47"/>
      <c r="M69" s="47"/>
      <c r="N69" s="47"/>
      <c r="O69" s="47"/>
      <c r="P69" s="47"/>
      <c r="Q69" s="47"/>
      <c r="R69" s="285" t="s">
        <v>236</v>
      </c>
      <c r="S69" s="46">
        <v>48</v>
      </c>
      <c r="T69" s="47"/>
      <c r="U69" s="285" t="s">
        <v>236</v>
      </c>
      <c r="V69" s="47"/>
      <c r="W69" s="47"/>
      <c r="X69" s="47"/>
      <c r="Y69" s="285" t="s">
        <v>236</v>
      </c>
      <c r="Z69" s="46">
        <v>48</v>
      </c>
      <c r="AA69" s="47"/>
      <c r="AB69" s="285" t="s">
        <v>236</v>
      </c>
      <c r="AC69" s="47"/>
      <c r="AD69" s="285" t="s">
        <v>236</v>
      </c>
      <c r="AE69" s="46">
        <v>48</v>
      </c>
      <c r="AF69" s="47"/>
      <c r="AG69" s="285" t="s">
        <v>236</v>
      </c>
      <c r="AH69" s="47"/>
      <c r="AI69" s="285" t="s">
        <v>236</v>
      </c>
      <c r="AJ69" s="46">
        <v>48</v>
      </c>
      <c r="AK69" s="47"/>
      <c r="AL69" s="285" t="s">
        <v>236</v>
      </c>
      <c r="AM69" s="47"/>
      <c r="AO69" s="285" t="s">
        <v>236</v>
      </c>
      <c r="AP69" s="46">
        <v>48</v>
      </c>
      <c r="AR69" s="285" t="s">
        <v>236</v>
      </c>
    </row>
    <row r="70" spans="2:44" x14ac:dyDescent="0.3">
      <c r="C70" s="286"/>
      <c r="D70" s="46">
        <v>47</v>
      </c>
      <c r="E70" s="97" t="s">
        <v>238</v>
      </c>
      <c r="F70" s="286"/>
      <c r="G70" s="47"/>
      <c r="H70" s="166"/>
      <c r="I70" s="46">
        <v>47</v>
      </c>
      <c r="J70" s="97" t="s">
        <v>238</v>
      </c>
      <c r="K70" s="166"/>
      <c r="L70" s="47"/>
      <c r="M70" s="47"/>
      <c r="N70" s="47"/>
      <c r="O70" s="47"/>
      <c r="P70" s="47"/>
      <c r="Q70" s="47"/>
      <c r="R70" s="286"/>
      <c r="S70" s="46">
        <v>47</v>
      </c>
      <c r="U70" s="286"/>
      <c r="V70" s="47"/>
      <c r="W70" s="47"/>
      <c r="X70" s="47"/>
      <c r="Y70" s="286"/>
      <c r="Z70" s="46">
        <v>47</v>
      </c>
      <c r="AB70" s="286"/>
      <c r="AC70" s="47"/>
      <c r="AD70" s="286"/>
      <c r="AE70" s="46">
        <v>47</v>
      </c>
      <c r="AG70" s="286"/>
      <c r="AH70" s="47"/>
      <c r="AI70" s="286"/>
      <c r="AJ70" s="46">
        <v>47</v>
      </c>
      <c r="AL70" s="286"/>
      <c r="AM70" s="47"/>
      <c r="AO70" s="286"/>
      <c r="AP70" s="46">
        <v>47</v>
      </c>
      <c r="AR70" s="286"/>
    </row>
    <row r="71" spans="2:44" x14ac:dyDescent="0.3">
      <c r="C71" s="286"/>
      <c r="D71" s="46">
        <v>46</v>
      </c>
      <c r="E71" s="47"/>
      <c r="F71" s="286"/>
      <c r="G71" s="47"/>
      <c r="H71" s="166"/>
      <c r="I71" s="46">
        <v>46</v>
      </c>
      <c r="J71" s="47"/>
      <c r="K71" s="166"/>
      <c r="L71" s="47"/>
      <c r="M71" s="47"/>
      <c r="N71" s="47"/>
      <c r="O71" s="47"/>
      <c r="P71" s="47"/>
      <c r="Q71" s="47"/>
      <c r="R71" s="286"/>
      <c r="S71" s="46">
        <v>46</v>
      </c>
      <c r="T71" s="47"/>
      <c r="U71" s="286"/>
      <c r="V71" s="47"/>
      <c r="W71" s="47"/>
      <c r="X71" s="47"/>
      <c r="Y71" s="286"/>
      <c r="Z71" s="46">
        <v>46</v>
      </c>
      <c r="AA71" s="47"/>
      <c r="AB71" s="286"/>
      <c r="AC71" s="47"/>
      <c r="AD71" s="286"/>
      <c r="AE71" s="46">
        <v>46</v>
      </c>
      <c r="AF71" s="47"/>
      <c r="AG71" s="286"/>
      <c r="AH71" s="47"/>
      <c r="AI71" s="286"/>
      <c r="AJ71" s="46">
        <v>46</v>
      </c>
      <c r="AK71" s="47"/>
      <c r="AL71" s="286"/>
      <c r="AM71" s="47"/>
      <c r="AO71" s="286"/>
      <c r="AP71" s="46">
        <v>46</v>
      </c>
      <c r="AQ71" s="47"/>
      <c r="AR71" s="286"/>
    </row>
    <row r="72" spans="2:44" x14ac:dyDescent="0.3">
      <c r="C72" s="286"/>
      <c r="D72" s="46">
        <v>45</v>
      </c>
      <c r="E72" s="301" t="s">
        <v>240</v>
      </c>
      <c r="F72" s="286"/>
      <c r="G72" s="47"/>
      <c r="H72" s="166"/>
      <c r="I72" s="46">
        <v>45</v>
      </c>
      <c r="J72" s="301" t="s">
        <v>240</v>
      </c>
      <c r="K72" s="166"/>
      <c r="L72" s="47"/>
      <c r="M72" s="47"/>
      <c r="N72" s="47"/>
      <c r="O72" s="47"/>
      <c r="P72" s="47"/>
      <c r="Q72" s="47"/>
      <c r="R72" s="286"/>
      <c r="S72" s="46">
        <v>45</v>
      </c>
      <c r="T72" s="301" t="s">
        <v>241</v>
      </c>
      <c r="U72" s="286"/>
      <c r="V72" s="47"/>
      <c r="W72" s="47"/>
      <c r="X72" s="47"/>
      <c r="Y72" s="286"/>
      <c r="Z72" s="46">
        <v>45</v>
      </c>
      <c r="AA72" s="47"/>
      <c r="AB72" s="286"/>
      <c r="AC72" s="47"/>
      <c r="AD72" s="286"/>
      <c r="AE72" s="46">
        <v>45</v>
      </c>
      <c r="AF72" s="301" t="s">
        <v>241</v>
      </c>
      <c r="AG72" s="286"/>
      <c r="AH72" s="47"/>
      <c r="AI72" s="286"/>
      <c r="AJ72" s="46">
        <v>45</v>
      </c>
      <c r="AK72" s="47"/>
      <c r="AL72" s="286"/>
      <c r="AM72" s="47"/>
      <c r="AO72" s="286"/>
      <c r="AP72" s="46">
        <v>45</v>
      </c>
      <c r="AR72" s="286"/>
    </row>
    <row r="73" spans="2:44" x14ac:dyDescent="0.3">
      <c r="B73" t="s">
        <v>66</v>
      </c>
      <c r="C73" s="286"/>
      <c r="D73" s="46">
        <v>44</v>
      </c>
      <c r="E73" s="302"/>
      <c r="F73" s="286"/>
      <c r="G73" s="47"/>
      <c r="H73" s="166"/>
      <c r="I73" s="46">
        <v>44</v>
      </c>
      <c r="J73" s="302"/>
      <c r="K73" s="166"/>
      <c r="L73" s="47"/>
      <c r="M73" s="47"/>
      <c r="N73" s="47"/>
      <c r="O73" s="47"/>
      <c r="P73" s="47"/>
      <c r="Q73" s="47"/>
      <c r="R73" s="286"/>
      <c r="S73" s="46">
        <v>44</v>
      </c>
      <c r="T73" s="302"/>
      <c r="U73" s="286"/>
      <c r="V73" s="47"/>
      <c r="W73" s="47"/>
      <c r="X73" s="47"/>
      <c r="Y73" s="286"/>
      <c r="Z73" s="46">
        <v>44</v>
      </c>
      <c r="AA73" s="47"/>
      <c r="AB73" s="286"/>
      <c r="AC73" s="47"/>
      <c r="AD73" s="286"/>
      <c r="AE73" s="46">
        <v>44</v>
      </c>
      <c r="AF73" s="302"/>
      <c r="AG73" s="286"/>
      <c r="AH73" s="47"/>
      <c r="AI73" s="286"/>
      <c r="AJ73" s="46">
        <v>44</v>
      </c>
      <c r="AK73" s="47"/>
      <c r="AL73" s="286"/>
      <c r="AM73" s="47"/>
      <c r="AO73" s="286"/>
      <c r="AP73" s="46">
        <v>44</v>
      </c>
      <c r="AR73" s="286"/>
    </row>
    <row r="74" spans="2:44" x14ac:dyDescent="0.3">
      <c r="C74" s="286"/>
      <c r="D74" s="46">
        <v>43</v>
      </c>
      <c r="F74" s="286"/>
      <c r="G74" s="47"/>
      <c r="H74" s="166"/>
      <c r="I74" s="46">
        <v>43</v>
      </c>
      <c r="K74" s="166"/>
      <c r="L74" s="47"/>
      <c r="M74" s="47"/>
      <c r="N74" s="47"/>
      <c r="O74" s="47"/>
      <c r="P74" s="47"/>
      <c r="Q74" s="47"/>
      <c r="R74" s="286"/>
      <c r="S74" s="46">
        <v>43</v>
      </c>
      <c r="U74" s="286"/>
      <c r="V74" s="47"/>
      <c r="W74" s="47"/>
      <c r="X74" s="47"/>
      <c r="Y74" s="286"/>
      <c r="Z74" s="46">
        <v>43</v>
      </c>
      <c r="AB74" s="286"/>
      <c r="AC74" s="47"/>
      <c r="AD74" s="286"/>
      <c r="AE74" s="46">
        <v>43</v>
      </c>
      <c r="AG74" s="286"/>
      <c r="AH74" s="47"/>
      <c r="AI74" s="286"/>
      <c r="AJ74" s="46">
        <v>43</v>
      </c>
      <c r="AL74" s="286"/>
      <c r="AM74" s="47"/>
      <c r="AO74" s="286"/>
      <c r="AP74" s="46">
        <v>43</v>
      </c>
      <c r="AR74" s="286"/>
    </row>
    <row r="75" spans="2:44" x14ac:dyDescent="0.3">
      <c r="C75" s="286"/>
      <c r="D75" s="46">
        <v>42</v>
      </c>
      <c r="E75" s="288" t="s">
        <v>242</v>
      </c>
      <c r="F75" s="286"/>
      <c r="G75" s="47"/>
      <c r="H75" s="166"/>
      <c r="I75" s="46">
        <v>42</v>
      </c>
      <c r="J75" s="288" t="s">
        <v>242</v>
      </c>
      <c r="K75" s="166"/>
      <c r="L75" s="47"/>
      <c r="M75" s="47"/>
      <c r="N75" s="47"/>
      <c r="O75" s="47"/>
      <c r="P75" s="47"/>
      <c r="Q75" s="47"/>
      <c r="R75" s="286"/>
      <c r="S75" s="46">
        <v>42</v>
      </c>
      <c r="T75" s="129" t="s">
        <v>296</v>
      </c>
      <c r="U75" s="286"/>
      <c r="V75" s="47"/>
      <c r="W75" s="47"/>
      <c r="X75" s="47"/>
      <c r="Y75" s="286"/>
      <c r="Z75" s="46">
        <v>42</v>
      </c>
      <c r="AB75" s="286"/>
      <c r="AC75" s="47"/>
      <c r="AD75" s="286"/>
      <c r="AE75" s="46">
        <v>42</v>
      </c>
      <c r="AG75" s="286"/>
      <c r="AH75" s="47"/>
      <c r="AI75" s="286"/>
      <c r="AJ75" s="46">
        <v>42</v>
      </c>
      <c r="AL75" s="286"/>
      <c r="AM75" s="47"/>
      <c r="AO75" s="286"/>
      <c r="AP75" s="46">
        <v>42</v>
      </c>
      <c r="AQ75" s="163" t="s">
        <v>243</v>
      </c>
      <c r="AR75" s="286"/>
    </row>
    <row r="76" spans="2:44" x14ac:dyDescent="0.3">
      <c r="B76">
        <v>2080</v>
      </c>
      <c r="C76" s="286"/>
      <c r="D76" s="46">
        <v>41</v>
      </c>
      <c r="E76" s="289"/>
      <c r="F76" s="286"/>
      <c r="G76" s="47"/>
      <c r="H76" s="166"/>
      <c r="I76" s="46">
        <v>41</v>
      </c>
      <c r="J76" s="289"/>
      <c r="K76" s="166"/>
      <c r="L76" s="47"/>
      <c r="M76" s="47"/>
      <c r="N76" s="47"/>
      <c r="O76" s="47"/>
      <c r="P76" s="47"/>
      <c r="Q76" s="47"/>
      <c r="R76" s="286"/>
      <c r="S76" s="46">
        <v>41</v>
      </c>
      <c r="T76" s="129"/>
      <c r="U76" s="286"/>
      <c r="V76" s="47"/>
      <c r="W76" s="47"/>
      <c r="X76" s="47"/>
      <c r="Y76" s="286"/>
      <c r="Z76" s="46">
        <v>41</v>
      </c>
      <c r="AB76" s="286"/>
      <c r="AC76" s="47"/>
      <c r="AD76" s="286"/>
      <c r="AE76" s="46">
        <v>41</v>
      </c>
      <c r="AG76" s="286"/>
      <c r="AH76" s="47"/>
      <c r="AI76" s="286"/>
      <c r="AJ76" s="46">
        <v>41</v>
      </c>
      <c r="AL76" s="286"/>
      <c r="AM76" s="47"/>
      <c r="AO76" s="286"/>
      <c r="AP76" s="46">
        <v>41</v>
      </c>
      <c r="AQ76" s="163" t="s">
        <v>244</v>
      </c>
      <c r="AR76" s="286"/>
    </row>
    <row r="77" spans="2:44" x14ac:dyDescent="0.3">
      <c r="C77" s="286"/>
      <c r="D77" s="46">
        <v>40</v>
      </c>
      <c r="E77" s="290"/>
      <c r="F77" s="286"/>
      <c r="G77" s="47"/>
      <c r="H77" s="166"/>
      <c r="I77" s="46">
        <v>40</v>
      </c>
      <c r="J77" s="290"/>
      <c r="K77" s="166"/>
      <c r="L77" s="47"/>
      <c r="M77" s="47"/>
      <c r="N77" s="47"/>
      <c r="O77" s="47"/>
      <c r="P77" s="47"/>
      <c r="Q77" s="47"/>
      <c r="R77" s="286"/>
      <c r="S77" s="46">
        <v>40</v>
      </c>
      <c r="U77" s="286"/>
      <c r="V77" s="47"/>
      <c r="W77" s="47"/>
      <c r="X77" s="47"/>
      <c r="Y77" s="286"/>
      <c r="Z77" s="46">
        <v>40</v>
      </c>
      <c r="AB77" s="286"/>
      <c r="AC77" s="47"/>
      <c r="AD77" s="286"/>
      <c r="AE77" s="46">
        <v>40</v>
      </c>
      <c r="AG77" s="286"/>
      <c r="AH77" s="47"/>
      <c r="AI77" s="286"/>
      <c r="AJ77" s="46">
        <v>40</v>
      </c>
      <c r="AL77" s="286"/>
      <c r="AM77" s="47"/>
      <c r="AO77" s="286"/>
      <c r="AP77" s="46">
        <v>40</v>
      </c>
      <c r="AQ77" s="163" t="s">
        <v>245</v>
      </c>
      <c r="AR77" s="286"/>
    </row>
    <row r="78" spans="2:44" x14ac:dyDescent="0.3">
      <c r="C78" s="286"/>
      <c r="D78" s="46">
        <v>39</v>
      </c>
      <c r="E78" s="291" t="s">
        <v>246</v>
      </c>
      <c r="F78" s="286"/>
      <c r="G78" s="47"/>
      <c r="H78" s="166"/>
      <c r="I78" s="46">
        <v>39</v>
      </c>
      <c r="J78" s="291" t="s">
        <v>246</v>
      </c>
      <c r="K78" s="166"/>
      <c r="L78" s="47"/>
      <c r="M78" s="47"/>
      <c r="N78" s="47"/>
      <c r="O78" s="47"/>
      <c r="P78" s="47"/>
      <c r="Q78" s="47"/>
      <c r="R78" s="286"/>
      <c r="S78" s="46">
        <v>39</v>
      </c>
      <c r="U78" s="286"/>
      <c r="V78" s="47"/>
      <c r="W78" s="47"/>
      <c r="X78" s="47"/>
      <c r="Y78" s="286"/>
      <c r="Z78" s="46">
        <v>39</v>
      </c>
      <c r="AB78" s="286"/>
      <c r="AC78" s="47"/>
      <c r="AD78" s="286"/>
      <c r="AE78" s="46">
        <v>39</v>
      </c>
      <c r="AG78" s="286"/>
      <c r="AH78" s="47"/>
      <c r="AI78" s="286"/>
      <c r="AJ78" s="46">
        <v>39</v>
      </c>
      <c r="AL78" s="286"/>
      <c r="AM78" s="47"/>
      <c r="AO78" s="286"/>
      <c r="AP78" s="46">
        <v>39</v>
      </c>
      <c r="AQ78" s="163" t="s">
        <v>247</v>
      </c>
      <c r="AR78" s="286"/>
    </row>
    <row r="79" spans="2:44" x14ac:dyDescent="0.3">
      <c r="B79">
        <v>2080</v>
      </c>
      <c r="C79" s="286"/>
      <c r="D79" s="46">
        <v>38</v>
      </c>
      <c r="E79" s="292"/>
      <c r="F79" s="286"/>
      <c r="G79" s="47"/>
      <c r="H79" s="166"/>
      <c r="I79" s="46">
        <v>38</v>
      </c>
      <c r="J79" s="292"/>
      <c r="K79" s="166"/>
      <c r="L79" s="47"/>
      <c r="M79" s="47"/>
      <c r="N79" s="47"/>
      <c r="O79" s="47"/>
      <c r="P79" s="47"/>
      <c r="Q79" s="47"/>
      <c r="R79" s="286"/>
      <c r="S79" s="46">
        <v>38</v>
      </c>
      <c r="T79" s="295" t="s">
        <v>248</v>
      </c>
      <c r="U79" s="286"/>
      <c r="V79" s="47"/>
      <c r="W79" s="47"/>
      <c r="X79" s="47"/>
      <c r="Y79" s="286"/>
      <c r="Z79" s="46">
        <v>38</v>
      </c>
      <c r="AA79" s="295" t="s">
        <v>249</v>
      </c>
      <c r="AB79" s="286"/>
      <c r="AC79" s="47"/>
      <c r="AD79" s="286"/>
      <c r="AE79" s="46">
        <v>38</v>
      </c>
      <c r="AF79" s="295" t="s">
        <v>250</v>
      </c>
      <c r="AG79" s="286"/>
      <c r="AH79" s="47"/>
      <c r="AI79" s="286"/>
      <c r="AJ79" s="46">
        <v>38</v>
      </c>
      <c r="AK79" s="295" t="s">
        <v>251</v>
      </c>
      <c r="AL79" s="286"/>
      <c r="AM79" s="47"/>
      <c r="AO79" s="286"/>
      <c r="AP79" s="46">
        <v>38</v>
      </c>
      <c r="AR79" s="286"/>
    </row>
    <row r="80" spans="2:44" x14ac:dyDescent="0.3">
      <c r="C80" s="286"/>
      <c r="D80" s="46">
        <v>37</v>
      </c>
      <c r="E80" s="170"/>
      <c r="F80" s="286"/>
      <c r="G80" s="47"/>
      <c r="H80" s="166"/>
      <c r="I80" s="46">
        <v>37</v>
      </c>
      <c r="J80" s="170"/>
      <c r="K80" s="166"/>
      <c r="L80" s="47"/>
      <c r="M80" s="47"/>
      <c r="N80" s="47"/>
      <c r="O80" s="47"/>
      <c r="P80" s="47"/>
      <c r="Q80" s="47"/>
      <c r="R80" s="286"/>
      <c r="S80" s="46">
        <v>37</v>
      </c>
      <c r="T80" s="296"/>
      <c r="U80" s="286"/>
      <c r="V80" s="47"/>
      <c r="W80" s="47"/>
      <c r="X80" s="47"/>
      <c r="Y80" s="286"/>
      <c r="Z80" s="46">
        <v>37</v>
      </c>
      <c r="AA80" s="296"/>
      <c r="AB80" s="286"/>
      <c r="AC80" s="47"/>
      <c r="AD80" s="286"/>
      <c r="AE80" s="46">
        <v>37</v>
      </c>
      <c r="AF80" s="296"/>
      <c r="AG80" s="286"/>
      <c r="AH80" s="47"/>
      <c r="AI80" s="286"/>
      <c r="AJ80" s="46">
        <v>37</v>
      </c>
      <c r="AK80" s="296"/>
      <c r="AL80" s="286"/>
      <c r="AM80" s="47"/>
      <c r="AO80" s="286"/>
      <c r="AP80" s="46">
        <v>37</v>
      </c>
      <c r="AR80" s="286"/>
    </row>
    <row r="81" spans="2:44" x14ac:dyDescent="0.3">
      <c r="C81" s="286"/>
      <c r="D81" s="46">
        <v>36</v>
      </c>
      <c r="E81" s="291" t="s">
        <v>253</v>
      </c>
      <c r="F81" s="286"/>
      <c r="G81" s="47"/>
      <c r="H81" s="166"/>
      <c r="I81" s="46">
        <v>36</v>
      </c>
      <c r="J81" s="291" t="s">
        <v>253</v>
      </c>
      <c r="K81" s="166"/>
      <c r="L81" s="47"/>
      <c r="M81" s="47"/>
      <c r="N81" s="47"/>
      <c r="O81" s="47"/>
      <c r="P81" s="47"/>
      <c r="Q81" s="47"/>
      <c r="R81" s="286"/>
      <c r="S81" s="46">
        <v>36</v>
      </c>
      <c r="U81" s="286"/>
      <c r="V81" s="47"/>
      <c r="W81" s="47"/>
      <c r="X81" s="47"/>
      <c r="Y81" s="286"/>
      <c r="Z81" s="46">
        <v>36</v>
      </c>
      <c r="AB81" s="286"/>
      <c r="AC81" s="47"/>
      <c r="AD81" s="286"/>
      <c r="AE81" s="46">
        <v>36</v>
      </c>
      <c r="AG81" s="286"/>
      <c r="AH81" s="47"/>
      <c r="AI81" s="286"/>
      <c r="AJ81" s="46">
        <v>36</v>
      </c>
      <c r="AL81" s="286"/>
      <c r="AM81" s="47"/>
      <c r="AO81" s="286"/>
      <c r="AP81" s="46">
        <v>36</v>
      </c>
      <c r="AR81" s="286"/>
    </row>
    <row r="82" spans="2:44" x14ac:dyDescent="0.3">
      <c r="B82">
        <v>2080</v>
      </c>
      <c r="C82" s="286"/>
      <c r="D82" s="46">
        <v>35</v>
      </c>
      <c r="E82" s="292"/>
      <c r="F82" s="286"/>
      <c r="G82" s="47"/>
      <c r="H82" s="166"/>
      <c r="I82" s="46">
        <v>35</v>
      </c>
      <c r="J82" s="292"/>
      <c r="K82" s="166"/>
      <c r="L82" s="47"/>
      <c r="M82" s="47"/>
      <c r="N82" s="47"/>
      <c r="O82" s="47"/>
      <c r="P82" s="47"/>
      <c r="Q82" s="47"/>
      <c r="R82" s="286"/>
      <c r="S82" s="46">
        <v>35</v>
      </c>
      <c r="T82" s="295" t="s">
        <v>254</v>
      </c>
      <c r="U82" s="286"/>
      <c r="V82" s="47"/>
      <c r="W82" s="47"/>
      <c r="X82" s="47"/>
      <c r="Y82" s="286"/>
      <c r="Z82" s="46">
        <v>35</v>
      </c>
      <c r="AA82" s="295" t="s">
        <v>255</v>
      </c>
      <c r="AB82" s="286"/>
      <c r="AC82" s="47"/>
      <c r="AD82" s="286"/>
      <c r="AE82" s="46">
        <v>35</v>
      </c>
      <c r="AF82" s="295" t="s">
        <v>256</v>
      </c>
      <c r="AG82" s="286"/>
      <c r="AH82" s="47"/>
      <c r="AI82" s="286"/>
      <c r="AJ82" s="46">
        <v>35</v>
      </c>
      <c r="AK82" s="295" t="s">
        <v>257</v>
      </c>
      <c r="AL82" s="286"/>
      <c r="AM82" s="47"/>
      <c r="AO82" s="286"/>
      <c r="AP82" s="46">
        <v>35</v>
      </c>
      <c r="AR82" s="286"/>
    </row>
    <row r="83" spans="2:44" x14ac:dyDescent="0.3">
      <c r="C83" s="286"/>
      <c r="D83" s="46">
        <v>34</v>
      </c>
      <c r="E83" s="170"/>
      <c r="F83" s="286"/>
      <c r="G83" s="47"/>
      <c r="H83" s="166"/>
      <c r="I83" s="46">
        <v>34</v>
      </c>
      <c r="J83" s="170"/>
      <c r="K83" s="166"/>
      <c r="L83" s="47"/>
      <c r="M83" s="47"/>
      <c r="N83" s="47"/>
      <c r="O83" s="47"/>
      <c r="P83" s="47"/>
      <c r="Q83" s="47"/>
      <c r="R83" s="286"/>
      <c r="S83" s="46">
        <v>34</v>
      </c>
      <c r="T83" s="296"/>
      <c r="U83" s="286"/>
      <c r="V83" s="47"/>
      <c r="W83" s="47"/>
      <c r="X83" s="47"/>
      <c r="Y83" s="286"/>
      <c r="Z83" s="46">
        <v>34</v>
      </c>
      <c r="AA83" s="296"/>
      <c r="AB83" s="286"/>
      <c r="AC83" s="47"/>
      <c r="AD83" s="286"/>
      <c r="AE83" s="46">
        <v>34</v>
      </c>
      <c r="AF83" s="296"/>
      <c r="AG83" s="286"/>
      <c r="AH83" s="47"/>
      <c r="AI83" s="286"/>
      <c r="AJ83" s="46">
        <v>34</v>
      </c>
      <c r="AK83" s="296"/>
      <c r="AL83" s="286"/>
      <c r="AM83" s="47"/>
      <c r="AO83" s="286"/>
      <c r="AP83" s="46">
        <v>34</v>
      </c>
      <c r="AR83" s="286"/>
    </row>
    <row r="84" spans="2:44" x14ac:dyDescent="0.3">
      <c r="C84" s="286"/>
      <c r="D84" s="46">
        <v>33</v>
      </c>
      <c r="E84" s="288" t="s">
        <v>242</v>
      </c>
      <c r="F84" s="286"/>
      <c r="G84" s="47"/>
      <c r="H84" s="166"/>
      <c r="I84" s="46">
        <v>33</v>
      </c>
      <c r="J84" s="288" t="s">
        <v>242</v>
      </c>
      <c r="K84" s="166"/>
      <c r="L84" s="47"/>
      <c r="M84" s="47"/>
      <c r="N84" s="47"/>
      <c r="O84" s="47"/>
      <c r="P84" s="47"/>
      <c r="Q84" s="47"/>
      <c r="R84" s="286"/>
      <c r="S84" s="46">
        <v>33</v>
      </c>
      <c r="U84" s="286"/>
      <c r="V84" s="47"/>
      <c r="W84" s="47"/>
      <c r="X84" s="47"/>
      <c r="Y84" s="286"/>
      <c r="Z84" s="46">
        <v>33</v>
      </c>
      <c r="AB84" s="286"/>
      <c r="AC84" s="47"/>
      <c r="AD84" s="286"/>
      <c r="AE84" s="46">
        <v>33</v>
      </c>
      <c r="AG84" s="286"/>
      <c r="AH84" s="47"/>
      <c r="AI84" s="286"/>
      <c r="AJ84" s="46">
        <v>33</v>
      </c>
      <c r="AL84" s="286"/>
      <c r="AM84" s="47"/>
      <c r="AO84" s="286"/>
      <c r="AP84" s="46">
        <v>33</v>
      </c>
      <c r="AR84" s="286"/>
    </row>
    <row r="85" spans="2:44" x14ac:dyDescent="0.3">
      <c r="B85">
        <v>2080</v>
      </c>
      <c r="C85" s="286"/>
      <c r="D85" s="46">
        <v>32</v>
      </c>
      <c r="E85" s="289"/>
      <c r="F85" s="286"/>
      <c r="G85" s="47"/>
      <c r="H85" s="166"/>
      <c r="I85" s="46">
        <v>32</v>
      </c>
      <c r="J85" s="289"/>
      <c r="K85" s="166"/>
      <c r="L85" s="47"/>
      <c r="M85" s="47"/>
      <c r="N85" s="47"/>
      <c r="O85" s="47"/>
      <c r="P85" s="47"/>
      <c r="Q85" s="47"/>
      <c r="R85" s="286"/>
      <c r="S85" s="46">
        <v>32</v>
      </c>
      <c r="T85" s="295" t="s">
        <v>258</v>
      </c>
      <c r="U85" s="286"/>
      <c r="V85" s="47"/>
      <c r="W85" s="47"/>
      <c r="X85" s="47"/>
      <c r="Y85" s="286"/>
      <c r="Z85" s="46">
        <v>32</v>
      </c>
      <c r="AA85" s="295" t="s">
        <v>259</v>
      </c>
      <c r="AB85" s="286"/>
      <c r="AC85" s="47"/>
      <c r="AD85" s="286"/>
      <c r="AE85" s="46">
        <v>32</v>
      </c>
      <c r="AF85" s="295" t="s">
        <v>260</v>
      </c>
      <c r="AG85" s="286"/>
      <c r="AH85" s="47"/>
      <c r="AI85" s="286"/>
      <c r="AJ85" s="46">
        <v>32</v>
      </c>
      <c r="AK85" s="295" t="s">
        <v>261</v>
      </c>
      <c r="AL85" s="286"/>
      <c r="AM85" s="47"/>
      <c r="AO85" s="286"/>
      <c r="AP85" s="46">
        <v>32</v>
      </c>
      <c r="AR85" s="286"/>
    </row>
    <row r="86" spans="2:44" x14ac:dyDescent="0.3">
      <c r="B86" t="s">
        <v>66</v>
      </c>
      <c r="C86" s="286"/>
      <c r="D86" s="46">
        <v>31</v>
      </c>
      <c r="E86" s="290"/>
      <c r="F86" s="286"/>
      <c r="G86" s="47"/>
      <c r="H86" s="166"/>
      <c r="I86" s="46">
        <v>31</v>
      </c>
      <c r="J86" s="290"/>
      <c r="K86" s="166"/>
      <c r="L86" s="47"/>
      <c r="M86" s="47"/>
      <c r="N86" s="47"/>
      <c r="O86" s="47"/>
      <c r="P86" s="47"/>
      <c r="Q86" s="47"/>
      <c r="R86" s="286"/>
      <c r="S86" s="46">
        <v>31</v>
      </c>
      <c r="T86" s="296"/>
      <c r="U86" s="286"/>
      <c r="V86" s="47"/>
      <c r="W86" s="47"/>
      <c r="X86" s="47"/>
      <c r="Y86" s="286"/>
      <c r="Z86" s="46">
        <v>31</v>
      </c>
      <c r="AA86" s="296"/>
      <c r="AB86" s="286"/>
      <c r="AC86" s="47"/>
      <c r="AD86" s="286"/>
      <c r="AE86" s="46">
        <v>31</v>
      </c>
      <c r="AF86" s="296"/>
      <c r="AG86" s="286"/>
      <c r="AH86" s="47"/>
      <c r="AI86" s="286"/>
      <c r="AJ86" s="46">
        <v>31</v>
      </c>
      <c r="AK86" s="296"/>
      <c r="AL86" s="286"/>
      <c r="AM86" s="47"/>
      <c r="AO86" s="286"/>
      <c r="AP86" s="46">
        <v>31</v>
      </c>
      <c r="AQ86" s="297" t="s">
        <v>262</v>
      </c>
      <c r="AR86" s="286"/>
    </row>
    <row r="87" spans="2:44" x14ac:dyDescent="0.3">
      <c r="C87" s="286"/>
      <c r="D87" s="46">
        <v>30</v>
      </c>
      <c r="E87" s="291" t="s">
        <v>263</v>
      </c>
      <c r="F87" s="286"/>
      <c r="G87" s="47"/>
      <c r="H87" s="166"/>
      <c r="I87" s="46">
        <v>30</v>
      </c>
      <c r="J87" s="291" t="s">
        <v>263</v>
      </c>
      <c r="K87" s="166"/>
      <c r="L87" s="47"/>
      <c r="M87" s="47"/>
      <c r="N87" s="47"/>
      <c r="O87" s="47"/>
      <c r="P87" s="47"/>
      <c r="Q87" s="47"/>
      <c r="R87" s="286"/>
      <c r="S87" s="46">
        <v>30</v>
      </c>
      <c r="U87" s="286"/>
      <c r="V87" s="47"/>
      <c r="W87" s="47"/>
      <c r="X87" s="47"/>
      <c r="Y87" s="286"/>
      <c r="Z87" s="46">
        <v>30</v>
      </c>
      <c r="AB87" s="286"/>
      <c r="AC87" s="47"/>
      <c r="AD87" s="286"/>
      <c r="AE87" s="46">
        <v>30</v>
      </c>
      <c r="AG87" s="286"/>
      <c r="AH87" s="47"/>
      <c r="AI87" s="286"/>
      <c r="AJ87" s="46">
        <v>30</v>
      </c>
      <c r="AL87" s="286"/>
      <c r="AM87" s="47"/>
      <c r="AO87" s="286"/>
      <c r="AP87" s="46">
        <v>30</v>
      </c>
      <c r="AQ87" s="298"/>
      <c r="AR87" s="286"/>
    </row>
    <row r="88" spans="2:44" x14ac:dyDescent="0.3">
      <c r="C88" s="286"/>
      <c r="D88" s="46">
        <v>29</v>
      </c>
      <c r="E88" s="292"/>
      <c r="F88" s="286"/>
      <c r="G88" s="47"/>
      <c r="H88" s="166"/>
      <c r="I88" s="46">
        <v>29</v>
      </c>
      <c r="J88" s="292"/>
      <c r="K88" s="166"/>
      <c r="L88" s="47"/>
      <c r="M88" s="47"/>
      <c r="N88" s="47"/>
      <c r="O88" s="47"/>
      <c r="P88" s="47"/>
      <c r="Q88" s="47"/>
      <c r="R88" s="286"/>
      <c r="S88" s="46">
        <v>29</v>
      </c>
      <c r="T88" s="295" t="s">
        <v>264</v>
      </c>
      <c r="U88" s="286"/>
      <c r="V88" s="47"/>
      <c r="W88" s="47"/>
      <c r="X88" s="47"/>
      <c r="Y88" s="286"/>
      <c r="Z88" s="46">
        <v>29</v>
      </c>
      <c r="AA88" s="295" t="s">
        <v>265</v>
      </c>
      <c r="AB88" s="286"/>
      <c r="AC88" s="47"/>
      <c r="AD88" s="286"/>
      <c r="AE88" s="46">
        <v>29</v>
      </c>
      <c r="AF88" s="295" t="s">
        <v>266</v>
      </c>
      <c r="AG88" s="286"/>
      <c r="AH88" s="47"/>
      <c r="AI88" s="286"/>
      <c r="AJ88" s="46">
        <v>29</v>
      </c>
      <c r="AK88" s="295" t="s">
        <v>267</v>
      </c>
      <c r="AL88" s="286"/>
      <c r="AM88" s="47"/>
      <c r="AO88" s="286"/>
      <c r="AP88" s="46">
        <v>29</v>
      </c>
      <c r="AR88" s="286"/>
    </row>
    <row r="89" spans="2:44" x14ac:dyDescent="0.3">
      <c r="B89" t="s">
        <v>66</v>
      </c>
      <c r="C89" s="286"/>
      <c r="D89" s="46">
        <v>28</v>
      </c>
      <c r="E89" s="170"/>
      <c r="F89" s="286"/>
      <c r="G89" s="47"/>
      <c r="H89" s="166"/>
      <c r="I89" s="46">
        <v>28</v>
      </c>
      <c r="J89" s="170"/>
      <c r="K89" s="166"/>
      <c r="L89" s="47"/>
      <c r="M89" s="47"/>
      <c r="N89" s="47"/>
      <c r="O89" s="47"/>
      <c r="P89" s="47"/>
      <c r="Q89" s="47"/>
      <c r="R89" s="286"/>
      <c r="S89" s="46">
        <v>28</v>
      </c>
      <c r="T89" s="296"/>
      <c r="U89" s="286"/>
      <c r="V89" s="47"/>
      <c r="W89" s="47"/>
      <c r="X89" s="47"/>
      <c r="Y89" s="286"/>
      <c r="Z89" s="46">
        <v>28</v>
      </c>
      <c r="AA89" s="296"/>
      <c r="AB89" s="286"/>
      <c r="AC89" s="47"/>
      <c r="AD89" s="286"/>
      <c r="AE89" s="46">
        <v>28</v>
      </c>
      <c r="AF89" s="296"/>
      <c r="AG89" s="286"/>
      <c r="AH89" s="47"/>
      <c r="AI89" s="286"/>
      <c r="AJ89" s="46">
        <v>28</v>
      </c>
      <c r="AK89" s="296"/>
      <c r="AL89" s="286"/>
      <c r="AM89" s="47"/>
      <c r="AO89" s="286"/>
      <c r="AP89" s="46">
        <v>28</v>
      </c>
      <c r="AQ89" s="297" t="s">
        <v>268</v>
      </c>
      <c r="AR89" s="286"/>
    </row>
    <row r="90" spans="2:44" x14ac:dyDescent="0.3">
      <c r="C90" s="286"/>
      <c r="D90" s="46">
        <v>27</v>
      </c>
      <c r="E90" s="291" t="s">
        <v>269</v>
      </c>
      <c r="F90" s="286"/>
      <c r="G90" s="47"/>
      <c r="H90" s="166"/>
      <c r="I90" s="46">
        <v>27</v>
      </c>
      <c r="J90" s="291" t="s">
        <v>269</v>
      </c>
      <c r="K90" s="166"/>
      <c r="L90" s="47"/>
      <c r="M90" s="47"/>
      <c r="N90" s="47"/>
      <c r="O90" s="47"/>
      <c r="P90" s="47"/>
      <c r="Q90" s="47"/>
      <c r="R90" s="286"/>
      <c r="S90" s="46">
        <v>27</v>
      </c>
      <c r="U90" s="286"/>
      <c r="V90" s="47"/>
      <c r="W90" s="47"/>
      <c r="X90" s="47"/>
      <c r="Y90" s="286"/>
      <c r="Z90" s="46">
        <v>27</v>
      </c>
      <c r="AB90" s="286"/>
      <c r="AC90" s="47"/>
      <c r="AD90" s="286"/>
      <c r="AE90" s="46">
        <v>27</v>
      </c>
      <c r="AG90" s="286"/>
      <c r="AH90" s="47"/>
      <c r="AI90" s="286"/>
      <c r="AJ90" s="46">
        <v>27</v>
      </c>
      <c r="AL90" s="286"/>
      <c r="AM90" s="47"/>
      <c r="AO90" s="286"/>
      <c r="AP90" s="46">
        <v>27</v>
      </c>
      <c r="AQ90" s="298"/>
      <c r="AR90" s="286"/>
    </row>
    <row r="91" spans="2:44" x14ac:dyDescent="0.3">
      <c r="C91" s="286"/>
      <c r="D91" s="46">
        <v>26</v>
      </c>
      <c r="E91" s="292"/>
      <c r="F91" s="286"/>
      <c r="G91" s="47"/>
      <c r="H91" s="166"/>
      <c r="I91" s="46">
        <v>26</v>
      </c>
      <c r="J91" s="292"/>
      <c r="K91" s="166"/>
      <c r="L91" s="47"/>
      <c r="M91" s="47"/>
      <c r="N91" s="47"/>
      <c r="O91" s="47"/>
      <c r="P91" s="47"/>
      <c r="Q91" s="47"/>
      <c r="R91" s="286"/>
      <c r="S91" s="46">
        <v>26</v>
      </c>
      <c r="T91" s="295" t="s">
        <v>271</v>
      </c>
      <c r="U91" s="286"/>
      <c r="V91" s="47"/>
      <c r="W91" s="47"/>
      <c r="X91" s="47"/>
      <c r="Y91" s="286"/>
      <c r="Z91" s="46">
        <v>26</v>
      </c>
      <c r="AA91" s="295" t="s">
        <v>272</v>
      </c>
      <c r="AB91" s="286"/>
      <c r="AC91" s="47"/>
      <c r="AD91" s="286"/>
      <c r="AE91" s="46">
        <v>26</v>
      </c>
      <c r="AF91" s="295" t="s">
        <v>273</v>
      </c>
      <c r="AG91" s="286"/>
      <c r="AH91" s="47"/>
      <c r="AI91" s="286"/>
      <c r="AJ91" s="46">
        <v>26</v>
      </c>
      <c r="AK91" s="295" t="s">
        <v>274</v>
      </c>
      <c r="AL91" s="286"/>
      <c r="AM91" s="47"/>
      <c r="AO91" s="286"/>
      <c r="AP91" s="46">
        <v>26</v>
      </c>
      <c r="AR91" s="286"/>
    </row>
    <row r="92" spans="2:44" x14ac:dyDescent="0.3">
      <c r="B92" t="s">
        <v>66</v>
      </c>
      <c r="C92" s="286"/>
      <c r="D92" s="46">
        <v>25</v>
      </c>
      <c r="E92" s="168"/>
      <c r="F92" s="286"/>
      <c r="G92" s="47"/>
      <c r="H92" s="166"/>
      <c r="I92" s="46">
        <v>25</v>
      </c>
      <c r="J92" s="168"/>
      <c r="K92" s="166"/>
      <c r="L92" s="47"/>
      <c r="M92" s="47"/>
      <c r="N92" s="47"/>
      <c r="O92" s="47"/>
      <c r="P92" s="47"/>
      <c r="Q92" s="47"/>
      <c r="R92" s="286"/>
      <c r="S92" s="46">
        <v>25</v>
      </c>
      <c r="T92" s="296"/>
      <c r="U92" s="286"/>
      <c r="V92" s="47"/>
      <c r="W92" s="47"/>
      <c r="X92" s="47"/>
      <c r="Y92" s="286"/>
      <c r="Z92" s="46">
        <v>25</v>
      </c>
      <c r="AA92" s="296"/>
      <c r="AB92" s="286"/>
      <c r="AC92" s="47"/>
      <c r="AD92" s="286"/>
      <c r="AE92" s="46">
        <v>25</v>
      </c>
      <c r="AF92" s="296"/>
      <c r="AG92" s="286"/>
      <c r="AH92" s="47"/>
      <c r="AI92" s="286"/>
      <c r="AJ92" s="46">
        <v>25</v>
      </c>
      <c r="AK92" s="296"/>
      <c r="AL92" s="286"/>
      <c r="AM92" s="47"/>
      <c r="AO92" s="286"/>
      <c r="AP92" s="46">
        <v>25</v>
      </c>
      <c r="AR92" s="286"/>
    </row>
    <row r="93" spans="2:44" x14ac:dyDescent="0.3">
      <c r="C93" s="286"/>
      <c r="D93" s="46">
        <v>24</v>
      </c>
      <c r="E93" s="288" t="s">
        <v>242</v>
      </c>
      <c r="F93" s="286"/>
      <c r="G93" s="47"/>
      <c r="H93" s="166"/>
      <c r="I93" s="46">
        <v>24</v>
      </c>
      <c r="J93" s="288" t="s">
        <v>242</v>
      </c>
      <c r="K93" s="166"/>
      <c r="L93" s="47"/>
      <c r="M93" s="47"/>
      <c r="N93" s="47"/>
      <c r="O93" s="47"/>
      <c r="P93" s="47"/>
      <c r="Q93" s="47"/>
      <c r="R93" s="286"/>
      <c r="S93" s="46">
        <v>24</v>
      </c>
      <c r="U93" s="286"/>
      <c r="V93" s="47"/>
      <c r="W93" s="47"/>
      <c r="X93" s="47"/>
      <c r="Y93" s="286"/>
      <c r="Z93" s="46">
        <v>24</v>
      </c>
      <c r="AB93" s="286"/>
      <c r="AC93" s="47"/>
      <c r="AD93" s="286"/>
      <c r="AE93" s="46">
        <v>24</v>
      </c>
      <c r="AG93" s="286"/>
      <c r="AH93" s="47"/>
      <c r="AI93" s="286"/>
      <c r="AJ93" s="46">
        <v>24</v>
      </c>
      <c r="AL93" s="286"/>
      <c r="AM93" s="47"/>
      <c r="AO93" s="286"/>
      <c r="AP93" s="46">
        <v>24</v>
      </c>
      <c r="AR93" s="286"/>
    </row>
    <row r="94" spans="2:44" x14ac:dyDescent="0.3">
      <c r="C94" s="286"/>
      <c r="D94" s="46">
        <v>23</v>
      </c>
      <c r="E94" s="289"/>
      <c r="F94" s="286"/>
      <c r="G94" s="47"/>
      <c r="H94" s="166"/>
      <c r="I94" s="46">
        <v>23</v>
      </c>
      <c r="J94" s="289"/>
      <c r="K94" s="166"/>
      <c r="L94" s="47"/>
      <c r="M94" s="47"/>
      <c r="N94" s="47"/>
      <c r="O94" s="47"/>
      <c r="P94" s="47"/>
      <c r="Q94" s="47"/>
      <c r="R94" s="286"/>
      <c r="S94" s="46">
        <v>23</v>
      </c>
      <c r="T94" s="295" t="s">
        <v>275</v>
      </c>
      <c r="U94" s="286"/>
      <c r="V94" s="47"/>
      <c r="W94" s="47"/>
      <c r="X94" s="47"/>
      <c r="Y94" s="286"/>
      <c r="Z94" s="46">
        <v>23</v>
      </c>
      <c r="AA94" s="295" t="s">
        <v>276</v>
      </c>
      <c r="AB94" s="286"/>
      <c r="AC94" s="47"/>
      <c r="AD94" s="286"/>
      <c r="AE94" s="46">
        <v>23</v>
      </c>
      <c r="AF94" s="295" t="s">
        <v>277</v>
      </c>
      <c r="AG94" s="286"/>
      <c r="AH94" s="47"/>
      <c r="AI94" s="286"/>
      <c r="AJ94" s="46">
        <v>23</v>
      </c>
      <c r="AK94" s="295" t="s">
        <v>278</v>
      </c>
      <c r="AL94" s="286"/>
      <c r="AM94" s="47"/>
      <c r="AO94" s="286"/>
      <c r="AP94" s="46">
        <v>23</v>
      </c>
      <c r="AR94" s="286"/>
    </row>
    <row r="95" spans="2:44" x14ac:dyDescent="0.3">
      <c r="B95" t="s">
        <v>66</v>
      </c>
      <c r="C95" s="286"/>
      <c r="D95" s="46">
        <v>22</v>
      </c>
      <c r="E95" s="290"/>
      <c r="F95" s="286"/>
      <c r="G95" s="47"/>
      <c r="H95" s="166"/>
      <c r="I95" s="46">
        <v>22</v>
      </c>
      <c r="J95" s="290"/>
      <c r="K95" s="166"/>
      <c r="L95" s="47"/>
      <c r="M95" s="47"/>
      <c r="N95" s="47"/>
      <c r="O95" s="47"/>
      <c r="P95" s="47"/>
      <c r="Q95" s="47"/>
      <c r="R95" s="286"/>
      <c r="S95" s="46">
        <v>22</v>
      </c>
      <c r="T95" s="296"/>
      <c r="U95" s="286"/>
      <c r="V95" s="47"/>
      <c r="W95" s="47"/>
      <c r="X95" s="47"/>
      <c r="Y95" s="286"/>
      <c r="Z95" s="46">
        <v>22</v>
      </c>
      <c r="AA95" s="296"/>
      <c r="AB95" s="286"/>
      <c r="AC95" s="47"/>
      <c r="AD95" s="286"/>
      <c r="AE95" s="46">
        <v>22</v>
      </c>
      <c r="AF95" s="296"/>
      <c r="AG95" s="286"/>
      <c r="AH95" s="47"/>
      <c r="AI95" s="286"/>
      <c r="AJ95" s="46">
        <v>22</v>
      </c>
      <c r="AK95" s="296"/>
      <c r="AL95" s="286"/>
      <c r="AM95" s="47"/>
      <c r="AO95" s="286"/>
      <c r="AP95" s="46">
        <v>22</v>
      </c>
      <c r="AR95" s="286"/>
    </row>
    <row r="96" spans="2:44" x14ac:dyDescent="0.3">
      <c r="C96" s="286"/>
      <c r="D96" s="46">
        <v>21</v>
      </c>
      <c r="E96" s="293" t="s">
        <v>279</v>
      </c>
      <c r="F96" s="286"/>
      <c r="G96" s="47"/>
      <c r="H96" s="166"/>
      <c r="I96" s="46">
        <v>21</v>
      </c>
      <c r="J96" s="293" t="s">
        <v>279</v>
      </c>
      <c r="K96" s="166"/>
      <c r="L96" s="47"/>
      <c r="M96" s="47"/>
      <c r="N96" s="47"/>
      <c r="O96" s="47"/>
      <c r="P96" s="47"/>
      <c r="Q96" s="47"/>
      <c r="R96" s="286"/>
      <c r="S96" s="46">
        <v>21</v>
      </c>
      <c r="U96" s="286"/>
      <c r="V96" s="47"/>
      <c r="W96" s="47"/>
      <c r="X96" s="47"/>
      <c r="Y96" s="286"/>
      <c r="Z96" s="46">
        <v>21</v>
      </c>
      <c r="AB96" s="286"/>
      <c r="AC96" s="47"/>
      <c r="AD96" s="286"/>
      <c r="AE96" s="46">
        <v>21</v>
      </c>
      <c r="AG96" s="286"/>
      <c r="AH96" s="47"/>
      <c r="AI96" s="286"/>
      <c r="AJ96" s="46">
        <v>21</v>
      </c>
      <c r="AL96" s="286"/>
      <c r="AM96" s="47"/>
      <c r="AO96" s="286"/>
      <c r="AP96" s="46">
        <v>21</v>
      </c>
      <c r="AR96" s="286"/>
    </row>
    <row r="97" spans="2:44" x14ac:dyDescent="0.3">
      <c r="B97">
        <v>2080</v>
      </c>
      <c r="C97" s="286"/>
      <c r="D97" s="46">
        <v>20</v>
      </c>
      <c r="E97" s="294"/>
      <c r="F97" s="286"/>
      <c r="G97" s="47"/>
      <c r="H97" s="166"/>
      <c r="I97" s="46">
        <v>20</v>
      </c>
      <c r="J97" s="294"/>
      <c r="K97" s="166"/>
      <c r="L97" s="47"/>
      <c r="M97" s="47"/>
      <c r="N97" s="47"/>
      <c r="O97" s="47"/>
      <c r="P97" s="47"/>
      <c r="Q97" s="47"/>
      <c r="R97" s="286"/>
      <c r="S97" s="46">
        <v>20</v>
      </c>
      <c r="T97" s="295" t="s">
        <v>280</v>
      </c>
      <c r="U97" s="286"/>
      <c r="V97" s="47"/>
      <c r="W97" s="47"/>
      <c r="X97" s="47"/>
      <c r="Y97" s="286"/>
      <c r="Z97" s="46">
        <v>20</v>
      </c>
      <c r="AA97" s="295" t="s">
        <v>281</v>
      </c>
      <c r="AB97" s="286"/>
      <c r="AC97" s="47"/>
      <c r="AD97" s="286"/>
      <c r="AE97" s="46">
        <v>20</v>
      </c>
      <c r="AF97" s="295" t="s">
        <v>282</v>
      </c>
      <c r="AG97" s="286"/>
      <c r="AH97" s="47"/>
      <c r="AI97" s="286"/>
      <c r="AJ97" s="46">
        <v>20</v>
      </c>
      <c r="AK97" s="295" t="s">
        <v>283</v>
      </c>
      <c r="AL97" s="286"/>
      <c r="AM97" s="47"/>
      <c r="AO97" s="286"/>
      <c r="AP97" s="46">
        <v>20</v>
      </c>
      <c r="AR97" s="286"/>
    </row>
    <row r="98" spans="2:44" x14ac:dyDescent="0.3">
      <c r="B98" t="s">
        <v>66</v>
      </c>
      <c r="C98" s="286"/>
      <c r="D98" s="46">
        <v>19</v>
      </c>
      <c r="E98" s="170"/>
      <c r="F98" s="286"/>
      <c r="G98" s="47"/>
      <c r="H98" s="166"/>
      <c r="I98" s="46">
        <v>19</v>
      </c>
      <c r="J98" s="170"/>
      <c r="K98" s="166"/>
      <c r="L98" s="47"/>
      <c r="M98" s="47"/>
      <c r="N98" s="47"/>
      <c r="O98" s="47"/>
      <c r="P98" s="47"/>
      <c r="Q98" s="47"/>
      <c r="R98" s="286"/>
      <c r="S98" s="46">
        <v>19</v>
      </c>
      <c r="T98" s="296"/>
      <c r="U98" s="286"/>
      <c r="V98" s="47"/>
      <c r="W98" s="47"/>
      <c r="X98" s="47"/>
      <c r="Y98" s="286"/>
      <c r="Z98" s="46">
        <v>19</v>
      </c>
      <c r="AA98" s="296"/>
      <c r="AB98" s="286"/>
      <c r="AC98" s="47"/>
      <c r="AD98" s="286"/>
      <c r="AE98" s="46">
        <v>19</v>
      </c>
      <c r="AF98" s="296"/>
      <c r="AG98" s="286"/>
      <c r="AH98" s="47"/>
      <c r="AI98" s="286"/>
      <c r="AJ98" s="46">
        <v>19</v>
      </c>
      <c r="AK98" s="296"/>
      <c r="AL98" s="286"/>
      <c r="AM98" s="47"/>
      <c r="AO98" s="286"/>
      <c r="AP98" s="46">
        <v>19</v>
      </c>
      <c r="AR98" s="286"/>
    </row>
    <row r="99" spans="2:44" x14ac:dyDescent="0.3">
      <c r="C99" s="286"/>
      <c r="D99" s="46">
        <v>18</v>
      </c>
      <c r="E99" s="293" t="s">
        <v>253</v>
      </c>
      <c r="F99" s="286"/>
      <c r="G99" s="47"/>
      <c r="H99" s="166"/>
      <c r="I99" s="46">
        <v>18</v>
      </c>
      <c r="J99" s="293" t="s">
        <v>253</v>
      </c>
      <c r="K99" s="166"/>
      <c r="L99" s="47"/>
      <c r="M99" s="47"/>
      <c r="N99" s="47"/>
      <c r="O99" s="47"/>
      <c r="P99" s="47"/>
      <c r="Q99" s="47"/>
      <c r="R99" s="286"/>
      <c r="S99" s="46">
        <v>18</v>
      </c>
      <c r="U99" s="286"/>
      <c r="V99" s="47"/>
      <c r="W99" s="47"/>
      <c r="X99" s="47"/>
      <c r="Y99" s="286"/>
      <c r="Z99" s="46">
        <v>18</v>
      </c>
      <c r="AB99" s="286"/>
      <c r="AC99" s="47"/>
      <c r="AD99" s="286"/>
      <c r="AE99" s="46">
        <v>18</v>
      </c>
      <c r="AG99" s="286"/>
      <c r="AH99" s="47"/>
      <c r="AI99" s="286"/>
      <c r="AJ99" s="46">
        <v>18</v>
      </c>
      <c r="AL99" s="286"/>
      <c r="AM99" s="47"/>
      <c r="AO99" s="286"/>
      <c r="AP99" s="46">
        <v>18</v>
      </c>
      <c r="AR99" s="286"/>
    </row>
    <row r="100" spans="2:44" x14ac:dyDescent="0.3">
      <c r="B100">
        <v>2080</v>
      </c>
      <c r="C100" s="286"/>
      <c r="D100" s="46">
        <v>17</v>
      </c>
      <c r="E100" s="294"/>
      <c r="F100" s="286"/>
      <c r="G100" s="47"/>
      <c r="H100" s="166"/>
      <c r="I100" s="46">
        <v>17</v>
      </c>
      <c r="J100" s="294"/>
      <c r="K100" s="166"/>
      <c r="L100" s="47"/>
      <c r="M100" s="47"/>
      <c r="N100" s="47"/>
      <c r="O100" s="47"/>
      <c r="P100" s="47"/>
      <c r="Q100" s="47"/>
      <c r="R100" s="286"/>
      <c r="S100" s="46">
        <v>17</v>
      </c>
      <c r="T100" s="295" t="s">
        <v>284</v>
      </c>
      <c r="U100" s="286"/>
      <c r="V100" s="47"/>
      <c r="W100" s="47"/>
      <c r="X100" s="47"/>
      <c r="Y100" s="286"/>
      <c r="Z100" s="46">
        <v>17</v>
      </c>
      <c r="AA100" s="295" t="s">
        <v>285</v>
      </c>
      <c r="AB100" s="286"/>
      <c r="AC100" s="47"/>
      <c r="AD100" s="286"/>
      <c r="AE100" s="46">
        <v>17</v>
      </c>
      <c r="AF100" s="295" t="s">
        <v>286</v>
      </c>
      <c r="AG100" s="286"/>
      <c r="AH100" s="47"/>
      <c r="AI100" s="286"/>
      <c r="AJ100" s="46">
        <v>17</v>
      </c>
      <c r="AK100" s="295" t="s">
        <v>287</v>
      </c>
      <c r="AL100" s="286"/>
      <c r="AM100" s="47"/>
      <c r="AO100" s="286"/>
      <c r="AP100" s="46">
        <v>17</v>
      </c>
      <c r="AR100" s="286"/>
    </row>
    <row r="101" spans="2:44" x14ac:dyDescent="0.3">
      <c r="B101" t="s">
        <v>66</v>
      </c>
      <c r="C101" s="286"/>
      <c r="D101" s="46">
        <v>16</v>
      </c>
      <c r="E101" s="171"/>
      <c r="F101" s="286"/>
      <c r="G101" s="47"/>
      <c r="H101" s="166"/>
      <c r="I101" s="46">
        <v>16</v>
      </c>
      <c r="J101" s="171"/>
      <c r="K101" s="166"/>
      <c r="L101" s="47"/>
      <c r="M101" s="47"/>
      <c r="N101" s="47"/>
      <c r="O101" s="47"/>
      <c r="P101" s="47"/>
      <c r="Q101" s="47"/>
      <c r="R101" s="286"/>
      <c r="S101" s="46">
        <v>16</v>
      </c>
      <c r="T101" s="296"/>
      <c r="U101" s="286"/>
      <c r="V101" s="47"/>
      <c r="W101" s="47"/>
      <c r="X101" s="47"/>
      <c r="Y101" s="286"/>
      <c r="Z101" s="46">
        <v>16</v>
      </c>
      <c r="AA101" s="296"/>
      <c r="AB101" s="286"/>
      <c r="AC101" s="47"/>
      <c r="AD101" s="286"/>
      <c r="AE101" s="46">
        <v>16</v>
      </c>
      <c r="AF101" s="296"/>
      <c r="AG101" s="286"/>
      <c r="AH101" s="47"/>
      <c r="AI101" s="286"/>
      <c r="AJ101" s="46">
        <v>16</v>
      </c>
      <c r="AK101" s="296"/>
      <c r="AL101" s="286"/>
      <c r="AM101" s="47"/>
      <c r="AO101" s="286"/>
      <c r="AP101" s="46">
        <v>16</v>
      </c>
      <c r="AR101" s="286"/>
    </row>
    <row r="102" spans="2:44" x14ac:dyDescent="0.3">
      <c r="C102" s="286"/>
      <c r="D102" s="46">
        <v>15</v>
      </c>
      <c r="E102" s="288" t="s">
        <v>242</v>
      </c>
      <c r="F102" s="286"/>
      <c r="G102" s="47"/>
      <c r="H102" s="166"/>
      <c r="I102" s="46">
        <v>15</v>
      </c>
      <c r="J102" s="288" t="s">
        <v>242</v>
      </c>
      <c r="K102" s="166"/>
      <c r="L102" s="47"/>
      <c r="M102" s="47"/>
      <c r="N102" s="47"/>
      <c r="O102" s="47"/>
      <c r="P102" s="47"/>
      <c r="Q102" s="47"/>
      <c r="R102" s="286"/>
      <c r="S102" s="46">
        <v>15</v>
      </c>
      <c r="U102" s="286"/>
      <c r="V102" s="47"/>
      <c r="W102" s="47"/>
      <c r="X102" s="47"/>
      <c r="Y102" s="286"/>
      <c r="Z102" s="46">
        <v>15</v>
      </c>
      <c r="AB102" s="286"/>
      <c r="AC102" s="47"/>
      <c r="AD102" s="286"/>
      <c r="AE102" s="46">
        <v>15</v>
      </c>
      <c r="AG102" s="286"/>
      <c r="AH102" s="47"/>
      <c r="AI102" s="286"/>
      <c r="AJ102" s="46">
        <v>15</v>
      </c>
      <c r="AL102" s="286"/>
      <c r="AM102" s="47"/>
      <c r="AO102" s="286"/>
      <c r="AP102" s="46">
        <v>15</v>
      </c>
      <c r="AR102" s="286"/>
    </row>
    <row r="103" spans="2:44" x14ac:dyDescent="0.3">
      <c r="B103">
        <v>2080</v>
      </c>
      <c r="C103" s="286"/>
      <c r="D103" s="46">
        <v>14</v>
      </c>
      <c r="E103" s="289"/>
      <c r="F103" s="286"/>
      <c r="G103" s="47"/>
      <c r="H103" s="166"/>
      <c r="I103" s="46">
        <v>14</v>
      </c>
      <c r="J103" s="289"/>
      <c r="K103" s="166"/>
      <c r="L103" s="47"/>
      <c r="M103" s="47"/>
      <c r="N103" s="47"/>
      <c r="O103" s="47"/>
      <c r="P103" s="47"/>
      <c r="Q103" s="47"/>
      <c r="R103" s="286"/>
      <c r="S103" s="46">
        <v>14</v>
      </c>
      <c r="U103" s="286"/>
      <c r="V103" s="47"/>
      <c r="W103" s="47"/>
      <c r="X103" s="47"/>
      <c r="Y103" s="286"/>
      <c r="Z103" s="46">
        <v>14</v>
      </c>
      <c r="AB103" s="286"/>
      <c r="AC103" s="47"/>
      <c r="AD103" s="286"/>
      <c r="AE103" s="46">
        <v>14</v>
      </c>
      <c r="AG103" s="286"/>
      <c r="AH103" s="47"/>
      <c r="AI103" s="286"/>
      <c r="AJ103" s="46">
        <v>14</v>
      </c>
      <c r="AL103" s="286"/>
      <c r="AM103" s="47"/>
      <c r="AO103" s="286"/>
      <c r="AP103" s="46">
        <v>14</v>
      </c>
      <c r="AR103" s="286"/>
    </row>
    <row r="104" spans="2:44" x14ac:dyDescent="0.3">
      <c r="C104" s="286"/>
      <c r="D104" s="46">
        <v>13</v>
      </c>
      <c r="E104" s="290"/>
      <c r="F104" s="286"/>
      <c r="G104" s="47"/>
      <c r="H104" s="166"/>
      <c r="I104" s="46">
        <v>13</v>
      </c>
      <c r="J104" s="290"/>
      <c r="K104" s="166"/>
      <c r="L104" s="47"/>
      <c r="M104" s="47"/>
      <c r="N104" s="47"/>
      <c r="O104" s="47"/>
      <c r="P104" s="47"/>
      <c r="Q104" s="47"/>
      <c r="R104" s="286"/>
      <c r="S104" s="46">
        <v>13</v>
      </c>
      <c r="U104" s="286"/>
      <c r="V104" s="47"/>
      <c r="W104" s="47"/>
      <c r="X104" s="47"/>
      <c r="Y104" s="286"/>
      <c r="Z104" s="46">
        <v>13</v>
      </c>
      <c r="AB104" s="286"/>
      <c r="AC104" s="47"/>
      <c r="AD104" s="286"/>
      <c r="AE104" s="46">
        <v>13</v>
      </c>
      <c r="AG104" s="286"/>
      <c r="AH104" s="47"/>
      <c r="AI104" s="286"/>
      <c r="AJ104" s="46">
        <v>13</v>
      </c>
      <c r="AL104" s="286"/>
      <c r="AM104" s="47"/>
      <c r="AO104" s="286"/>
      <c r="AP104" s="46">
        <v>13</v>
      </c>
      <c r="AR104" s="286"/>
    </row>
    <row r="105" spans="2:44" x14ac:dyDescent="0.3">
      <c r="C105" s="286"/>
      <c r="D105" s="46">
        <v>12</v>
      </c>
      <c r="E105" s="291" t="s">
        <v>263</v>
      </c>
      <c r="F105" s="286"/>
      <c r="G105" s="47"/>
      <c r="H105" s="166"/>
      <c r="I105" s="46">
        <v>12</v>
      </c>
      <c r="J105" s="291" t="s">
        <v>263</v>
      </c>
      <c r="K105" s="166"/>
      <c r="L105" s="47"/>
      <c r="M105" s="47"/>
      <c r="N105" s="47"/>
      <c r="O105" s="47"/>
      <c r="P105" s="47"/>
      <c r="Q105" s="47"/>
      <c r="R105" s="286"/>
      <c r="S105" s="46">
        <v>12</v>
      </c>
      <c r="U105" s="286"/>
      <c r="V105" s="47"/>
      <c r="W105" s="47"/>
      <c r="X105" s="47"/>
      <c r="Y105" s="286"/>
      <c r="Z105" s="46">
        <v>12</v>
      </c>
      <c r="AB105" s="286"/>
      <c r="AC105" s="47"/>
      <c r="AD105" s="286"/>
      <c r="AE105" s="46">
        <v>12</v>
      </c>
      <c r="AG105" s="286"/>
      <c r="AH105" s="47"/>
      <c r="AI105" s="286"/>
      <c r="AJ105" s="46">
        <v>12</v>
      </c>
      <c r="AL105" s="286"/>
      <c r="AM105" s="47"/>
      <c r="AO105" s="286"/>
      <c r="AP105" s="46">
        <v>12</v>
      </c>
      <c r="AR105" s="286"/>
    </row>
    <row r="106" spans="2:44" x14ac:dyDescent="0.3">
      <c r="B106">
        <v>2080</v>
      </c>
      <c r="C106" s="286"/>
      <c r="D106" s="46">
        <v>11</v>
      </c>
      <c r="E106" s="292"/>
      <c r="F106" s="286"/>
      <c r="G106" s="47"/>
      <c r="H106" s="166"/>
      <c r="I106" s="46">
        <v>11</v>
      </c>
      <c r="J106" s="292"/>
      <c r="K106" s="166"/>
      <c r="L106" s="47"/>
      <c r="M106" s="47"/>
      <c r="N106" s="47"/>
      <c r="O106" s="47"/>
      <c r="P106" s="47"/>
      <c r="Q106" s="47"/>
      <c r="R106" s="286"/>
      <c r="S106" s="46">
        <v>11</v>
      </c>
      <c r="U106" s="286"/>
      <c r="V106" s="47"/>
      <c r="W106" s="47"/>
      <c r="X106" s="47"/>
      <c r="Y106" s="286"/>
      <c r="Z106" s="46">
        <v>11</v>
      </c>
      <c r="AB106" s="286"/>
      <c r="AC106" s="47"/>
      <c r="AD106" s="286"/>
      <c r="AE106" s="46">
        <v>11</v>
      </c>
      <c r="AG106" s="286"/>
      <c r="AH106" s="47"/>
      <c r="AI106" s="286"/>
      <c r="AJ106" s="46">
        <v>11</v>
      </c>
      <c r="AL106" s="286"/>
      <c r="AM106" s="47"/>
      <c r="AO106" s="286"/>
      <c r="AP106" s="46">
        <v>11</v>
      </c>
      <c r="AR106" s="286"/>
    </row>
    <row r="107" spans="2:44" x14ac:dyDescent="0.3">
      <c r="C107" s="286"/>
      <c r="D107" s="46">
        <v>10</v>
      </c>
      <c r="E107" s="170"/>
      <c r="F107" s="286"/>
      <c r="G107" s="47"/>
      <c r="H107" s="166"/>
      <c r="I107" s="46">
        <v>10</v>
      </c>
      <c r="J107" s="170"/>
      <c r="K107" s="166"/>
      <c r="L107" s="47"/>
      <c r="M107" s="47"/>
      <c r="N107" s="47"/>
      <c r="O107" s="47"/>
      <c r="P107" s="47"/>
      <c r="Q107" s="47"/>
      <c r="R107" s="286"/>
      <c r="S107" s="46">
        <v>10</v>
      </c>
      <c r="U107" s="286"/>
      <c r="V107" s="47"/>
      <c r="W107" s="47"/>
      <c r="X107" s="47"/>
      <c r="Y107" s="286"/>
      <c r="Z107" s="46">
        <v>10</v>
      </c>
      <c r="AB107" s="286"/>
      <c r="AC107" s="47"/>
      <c r="AD107" s="286"/>
      <c r="AE107" s="46">
        <v>10</v>
      </c>
      <c r="AG107" s="286"/>
      <c r="AH107" s="47"/>
      <c r="AI107" s="286"/>
      <c r="AJ107" s="46">
        <v>10</v>
      </c>
      <c r="AL107" s="286"/>
      <c r="AM107" s="47"/>
      <c r="AO107" s="286"/>
      <c r="AP107" s="46">
        <v>10</v>
      </c>
      <c r="AR107" s="286"/>
    </row>
    <row r="108" spans="2:44" x14ac:dyDescent="0.3">
      <c r="C108" s="286"/>
      <c r="D108" s="46">
        <v>9</v>
      </c>
      <c r="E108" s="291" t="s">
        <v>269</v>
      </c>
      <c r="F108" s="286"/>
      <c r="G108" s="47"/>
      <c r="H108" s="166"/>
      <c r="I108" s="46">
        <v>9</v>
      </c>
      <c r="J108" s="291" t="s">
        <v>269</v>
      </c>
      <c r="K108" s="166"/>
      <c r="L108" s="47"/>
      <c r="M108" s="47"/>
      <c r="N108" s="47"/>
      <c r="O108" s="47"/>
      <c r="P108" s="47"/>
      <c r="Q108" s="47"/>
      <c r="R108" s="286"/>
      <c r="S108" s="46">
        <v>9</v>
      </c>
      <c r="U108" s="286"/>
      <c r="V108" s="47"/>
      <c r="W108" s="47"/>
      <c r="X108" s="47"/>
      <c r="Y108" s="286"/>
      <c r="Z108" s="46">
        <v>9</v>
      </c>
      <c r="AB108" s="286"/>
      <c r="AC108" s="47"/>
      <c r="AD108" s="286"/>
      <c r="AE108" s="46">
        <v>9</v>
      </c>
      <c r="AG108" s="286"/>
      <c r="AH108" s="47"/>
      <c r="AI108" s="286"/>
      <c r="AJ108" s="46">
        <v>9</v>
      </c>
      <c r="AL108" s="286"/>
      <c r="AM108" s="47"/>
      <c r="AO108" s="286"/>
      <c r="AP108" s="46">
        <v>9</v>
      </c>
      <c r="AR108" s="286"/>
    </row>
    <row r="109" spans="2:44" x14ac:dyDescent="0.3">
      <c r="C109" s="286"/>
      <c r="D109" s="46">
        <v>8</v>
      </c>
      <c r="E109" s="290"/>
      <c r="F109" s="286"/>
      <c r="G109" s="47"/>
      <c r="H109" s="166"/>
      <c r="I109" s="46">
        <v>8</v>
      </c>
      <c r="J109" s="290"/>
      <c r="K109" s="166"/>
      <c r="L109" s="47"/>
      <c r="M109" s="47"/>
      <c r="N109" s="47"/>
      <c r="O109" s="47"/>
      <c r="P109" s="47"/>
      <c r="Q109" s="47"/>
      <c r="R109" s="286"/>
      <c r="S109" s="46">
        <v>8</v>
      </c>
      <c r="U109" s="286"/>
      <c r="V109" s="47"/>
      <c r="W109" s="47"/>
      <c r="X109" s="47"/>
      <c r="Y109" s="286"/>
      <c r="Z109" s="46">
        <v>8</v>
      </c>
      <c r="AB109" s="286"/>
      <c r="AC109" s="47"/>
      <c r="AD109" s="286"/>
      <c r="AE109" s="46">
        <v>8</v>
      </c>
      <c r="AG109" s="286"/>
      <c r="AH109" s="47"/>
      <c r="AI109" s="286"/>
      <c r="AJ109" s="46">
        <v>8</v>
      </c>
      <c r="AL109" s="286"/>
      <c r="AM109" s="47"/>
      <c r="AO109" s="286"/>
      <c r="AP109" s="46">
        <v>8</v>
      </c>
      <c r="AR109" s="286"/>
    </row>
    <row r="110" spans="2:44" x14ac:dyDescent="0.3">
      <c r="C110" s="286"/>
      <c r="D110" s="46">
        <v>7</v>
      </c>
      <c r="E110" s="169"/>
      <c r="F110" s="286"/>
      <c r="G110" s="47"/>
      <c r="H110" s="166"/>
      <c r="I110" s="46">
        <v>7</v>
      </c>
      <c r="K110" s="166"/>
      <c r="L110" s="47"/>
      <c r="M110" s="47"/>
      <c r="N110" s="47"/>
      <c r="O110" s="47"/>
      <c r="P110" s="47"/>
      <c r="Q110" s="47"/>
      <c r="R110" s="286"/>
      <c r="S110" s="46">
        <v>7</v>
      </c>
      <c r="U110" s="286"/>
      <c r="V110" s="47"/>
      <c r="W110" s="47"/>
      <c r="X110" s="47"/>
      <c r="Y110" s="286"/>
      <c r="Z110" s="46">
        <v>7</v>
      </c>
      <c r="AB110" s="286"/>
      <c r="AC110" s="47"/>
      <c r="AD110" s="286"/>
      <c r="AE110" s="46">
        <v>7</v>
      </c>
      <c r="AG110" s="286"/>
      <c r="AH110" s="47"/>
      <c r="AI110" s="286"/>
      <c r="AJ110" s="46">
        <v>7</v>
      </c>
      <c r="AL110" s="286"/>
      <c r="AM110" s="47"/>
      <c r="AO110" s="286"/>
      <c r="AP110" s="46">
        <v>7</v>
      </c>
      <c r="AR110" s="286"/>
    </row>
    <row r="111" spans="2:44" x14ac:dyDescent="0.3">
      <c r="C111" s="286"/>
      <c r="D111" s="46">
        <v>6</v>
      </c>
      <c r="F111" s="286"/>
      <c r="G111" s="47"/>
      <c r="H111" s="166"/>
      <c r="I111" s="46">
        <v>6</v>
      </c>
      <c r="K111" s="166"/>
      <c r="L111" s="47"/>
      <c r="M111" s="47"/>
      <c r="N111" s="47"/>
      <c r="O111" s="47"/>
      <c r="P111" s="47"/>
      <c r="Q111" s="47"/>
      <c r="R111" s="286"/>
      <c r="S111" s="46">
        <v>6</v>
      </c>
      <c r="U111" s="286"/>
      <c r="V111" s="47"/>
      <c r="W111" s="47"/>
      <c r="X111" s="47"/>
      <c r="Y111" s="286"/>
      <c r="Z111" s="46">
        <v>6</v>
      </c>
      <c r="AB111" s="286"/>
      <c r="AC111" s="47"/>
      <c r="AD111" s="286"/>
      <c r="AE111" s="46">
        <v>6</v>
      </c>
      <c r="AG111" s="286"/>
      <c r="AH111" s="47"/>
      <c r="AI111" s="286"/>
      <c r="AJ111" s="46">
        <v>6</v>
      </c>
      <c r="AL111" s="286"/>
      <c r="AM111" s="47"/>
      <c r="AO111" s="286"/>
      <c r="AP111" s="46">
        <v>6</v>
      </c>
      <c r="AR111" s="286"/>
    </row>
    <row r="112" spans="2:44" x14ac:dyDescent="0.3">
      <c r="C112" s="286"/>
      <c r="D112" s="46">
        <v>5</v>
      </c>
      <c r="F112" s="286"/>
      <c r="G112" s="47"/>
      <c r="H112" s="166"/>
      <c r="I112" s="46">
        <v>5</v>
      </c>
      <c r="J112" s="299" t="s">
        <v>288</v>
      </c>
      <c r="K112" s="166"/>
      <c r="L112" s="47"/>
      <c r="M112" s="47"/>
      <c r="N112" s="47"/>
      <c r="O112" s="47"/>
      <c r="P112" s="47"/>
      <c r="Q112" s="47"/>
      <c r="R112" s="286"/>
      <c r="S112" s="46">
        <v>5</v>
      </c>
      <c r="U112" s="286"/>
      <c r="V112" s="47"/>
      <c r="W112" s="47"/>
      <c r="X112" s="47"/>
      <c r="Y112" s="286"/>
      <c r="Z112" s="46">
        <v>5</v>
      </c>
      <c r="AB112" s="286"/>
      <c r="AC112" s="47"/>
      <c r="AD112" s="286"/>
      <c r="AE112" s="46">
        <v>5</v>
      </c>
      <c r="AG112" s="286"/>
      <c r="AH112" s="47"/>
      <c r="AI112" s="286"/>
      <c r="AJ112" s="46">
        <v>5</v>
      </c>
      <c r="AL112" s="286"/>
      <c r="AM112" s="47"/>
      <c r="AO112" s="286"/>
      <c r="AP112" s="46">
        <v>5</v>
      </c>
      <c r="AR112" s="286"/>
    </row>
    <row r="113" spans="3:44" x14ac:dyDescent="0.3">
      <c r="C113" s="286"/>
      <c r="D113" s="46">
        <v>4</v>
      </c>
      <c r="F113" s="286"/>
      <c r="G113" s="47"/>
      <c r="H113" s="166"/>
      <c r="I113" s="46">
        <v>4</v>
      </c>
      <c r="J113" s="300"/>
      <c r="K113" s="166"/>
      <c r="L113" s="47"/>
      <c r="M113" s="47"/>
      <c r="N113" s="47"/>
      <c r="O113" s="47"/>
      <c r="P113" s="47"/>
      <c r="Q113" s="47"/>
      <c r="R113" s="286"/>
      <c r="S113" s="46">
        <v>4</v>
      </c>
      <c r="U113" s="286"/>
      <c r="V113" s="47"/>
      <c r="W113" s="47"/>
      <c r="X113" s="47"/>
      <c r="Y113" s="286"/>
      <c r="Z113" s="46">
        <v>4</v>
      </c>
      <c r="AB113" s="286"/>
      <c r="AC113" s="47"/>
      <c r="AD113" s="286"/>
      <c r="AE113" s="46">
        <v>4</v>
      </c>
      <c r="AG113" s="286"/>
      <c r="AH113" s="47"/>
      <c r="AI113" s="286"/>
      <c r="AJ113" s="46">
        <v>4</v>
      </c>
      <c r="AL113" s="286"/>
      <c r="AM113" s="47"/>
      <c r="AO113" s="286"/>
      <c r="AP113" s="46">
        <v>4</v>
      </c>
      <c r="AR113" s="286"/>
    </row>
    <row r="114" spans="3:44" x14ac:dyDescent="0.3">
      <c r="C114" s="286"/>
      <c r="D114" s="46">
        <v>3</v>
      </c>
      <c r="F114" s="286"/>
      <c r="G114" s="47"/>
      <c r="H114" s="166"/>
      <c r="I114" s="46">
        <v>3</v>
      </c>
      <c r="K114" s="166"/>
      <c r="L114" s="47"/>
      <c r="M114" s="47"/>
      <c r="N114" s="47"/>
      <c r="O114" s="47"/>
      <c r="P114" s="47"/>
      <c r="Q114" s="47"/>
      <c r="R114" s="286"/>
      <c r="S114" s="46">
        <v>3</v>
      </c>
      <c r="U114" s="286"/>
      <c r="V114" s="47"/>
      <c r="W114" s="47"/>
      <c r="X114" s="47"/>
      <c r="Y114" s="286"/>
      <c r="Z114" s="46">
        <v>3</v>
      </c>
      <c r="AB114" s="286"/>
      <c r="AC114" s="47"/>
      <c r="AD114" s="286"/>
      <c r="AE114" s="46">
        <v>3</v>
      </c>
      <c r="AG114" s="286"/>
      <c r="AH114" s="47"/>
      <c r="AI114" s="286"/>
      <c r="AJ114" s="46">
        <v>3</v>
      </c>
      <c r="AL114" s="286"/>
      <c r="AM114" s="47"/>
      <c r="AO114" s="286"/>
      <c r="AP114" s="46">
        <v>3</v>
      </c>
      <c r="AR114" s="286"/>
    </row>
    <row r="115" spans="3:44" x14ac:dyDescent="0.3">
      <c r="C115" s="286"/>
      <c r="D115" s="46">
        <v>2</v>
      </c>
      <c r="F115" s="286"/>
      <c r="G115" s="47"/>
      <c r="H115" s="166"/>
      <c r="I115" s="46">
        <v>2</v>
      </c>
      <c r="J115" s="299" t="s">
        <v>289</v>
      </c>
      <c r="K115" s="166"/>
      <c r="L115" s="47"/>
      <c r="M115" s="47"/>
      <c r="N115" s="47"/>
      <c r="O115" s="47"/>
      <c r="P115" s="47"/>
      <c r="Q115" s="47"/>
      <c r="R115" s="286"/>
      <c r="S115" s="46">
        <v>2</v>
      </c>
      <c r="U115" s="286"/>
      <c r="V115" s="47"/>
      <c r="W115" s="47"/>
      <c r="X115" s="47"/>
      <c r="Y115" s="286"/>
      <c r="Z115" s="46">
        <v>2</v>
      </c>
      <c r="AB115" s="286"/>
      <c r="AC115" s="47"/>
      <c r="AD115" s="286"/>
      <c r="AE115" s="46">
        <v>2</v>
      </c>
      <c r="AG115" s="286"/>
      <c r="AH115" s="47"/>
      <c r="AI115" s="286"/>
      <c r="AJ115" s="46">
        <v>2</v>
      </c>
      <c r="AL115" s="286"/>
      <c r="AM115" s="47"/>
      <c r="AO115" s="286"/>
      <c r="AP115" s="46">
        <v>2</v>
      </c>
      <c r="AR115" s="286"/>
    </row>
    <row r="116" spans="3:44" ht="15" thickBot="1" x14ac:dyDescent="0.35">
      <c r="C116" s="287"/>
      <c r="D116" s="46">
        <v>1</v>
      </c>
      <c r="E116" s="48"/>
      <c r="F116" s="287"/>
      <c r="G116" s="47"/>
      <c r="H116" s="167"/>
      <c r="I116" s="46">
        <v>1</v>
      </c>
      <c r="J116" s="300"/>
      <c r="K116" s="167"/>
      <c r="L116" s="47"/>
      <c r="M116" s="47"/>
      <c r="N116" s="47"/>
      <c r="O116" s="47"/>
      <c r="P116" s="47"/>
      <c r="Q116" s="47"/>
      <c r="R116" s="287"/>
      <c r="S116" s="46">
        <v>1</v>
      </c>
      <c r="T116" s="48"/>
      <c r="U116" s="287"/>
      <c r="V116" s="47"/>
      <c r="W116" s="47"/>
      <c r="X116" s="47"/>
      <c r="Y116" s="287"/>
      <c r="Z116" s="46">
        <v>1</v>
      </c>
      <c r="AA116" s="48"/>
      <c r="AB116" s="287"/>
      <c r="AC116" s="47"/>
      <c r="AD116" s="287"/>
      <c r="AE116" s="46">
        <v>1</v>
      </c>
      <c r="AF116" s="48"/>
      <c r="AG116" s="287"/>
      <c r="AH116" s="47"/>
      <c r="AI116" s="287"/>
      <c r="AJ116" s="46">
        <v>1</v>
      </c>
      <c r="AK116" s="48"/>
      <c r="AL116" s="287"/>
      <c r="AM116" s="47"/>
      <c r="AO116" s="287"/>
      <c r="AP116" s="46">
        <v>1</v>
      </c>
      <c r="AQ116" s="48"/>
      <c r="AR116" s="287"/>
    </row>
    <row r="117" spans="3:44" x14ac:dyDescent="0.3">
      <c r="F117" s="34"/>
      <c r="G117" s="34"/>
      <c r="K117" s="34"/>
      <c r="L117" s="34"/>
      <c r="M117" s="34"/>
      <c r="N117" s="34"/>
      <c r="O117" s="34"/>
      <c r="P117" s="34"/>
      <c r="Q117" s="34"/>
      <c r="U117" s="34"/>
      <c r="V117" s="34"/>
      <c r="W117" s="34"/>
      <c r="X117" s="34"/>
      <c r="AB117" s="34"/>
      <c r="AC117" s="34"/>
      <c r="AG117" s="34"/>
      <c r="AH117" s="34"/>
      <c r="AL117" s="34"/>
      <c r="AM117" s="34"/>
    </row>
    <row r="118" spans="3:44" x14ac:dyDescent="0.3">
      <c r="F118" s="34"/>
      <c r="G118" s="34"/>
      <c r="K118" s="34"/>
      <c r="L118" s="34"/>
      <c r="M118" s="34"/>
      <c r="N118" s="34"/>
      <c r="O118" s="34"/>
      <c r="P118" s="34"/>
      <c r="Q118" s="34"/>
      <c r="U118" s="34"/>
      <c r="V118" s="34"/>
      <c r="W118" s="34"/>
      <c r="X118" s="34"/>
      <c r="AB118" s="34"/>
      <c r="AC118" s="34"/>
      <c r="AG118" s="34"/>
      <c r="AH118" s="34"/>
      <c r="AL118" s="34"/>
      <c r="AM118" s="34"/>
    </row>
  </sheetData>
  <sheetProtection algorithmName="SHA-512" hashValue="awGHUh8tSitZK2GTL33OShQt06C6KHS0zYRrbtoxjcQX4GsKtjP588TlKDGAc39W8B2Wt68iOVQ9mD49JDCqUg==" saltValue="7lBu1o4V3DS+i7QPJ/YsIw==" spinCount="100000" sheet="1" objects="1" scenarios="1"/>
  <mergeCells count="156">
    <mergeCell ref="AR8:AR55"/>
    <mergeCell ref="E11:E12"/>
    <mergeCell ref="J11:J12"/>
    <mergeCell ref="T11:T12"/>
    <mergeCell ref="AF11:AF12"/>
    <mergeCell ref="E14:E16"/>
    <mergeCell ref="J14:J16"/>
    <mergeCell ref="E17:E18"/>
    <mergeCell ref="J17:J18"/>
    <mergeCell ref="Y8:Y55"/>
    <mergeCell ref="AB8:AB55"/>
    <mergeCell ref="AD8:AD55"/>
    <mergeCell ref="AG8:AG55"/>
    <mergeCell ref="AI8:AI55"/>
    <mergeCell ref="AL8:AL55"/>
    <mergeCell ref="AA18:AA19"/>
    <mergeCell ref="AF18:AF19"/>
    <mergeCell ref="AK18:AK19"/>
    <mergeCell ref="AA21:AA22"/>
    <mergeCell ref="F8:F55"/>
    <mergeCell ref="H8:H55"/>
    <mergeCell ref="K8:K55"/>
    <mergeCell ref="R8:R55"/>
    <mergeCell ref="U8:U55"/>
    <mergeCell ref="AF21:AF22"/>
    <mergeCell ref="AK21:AK22"/>
    <mergeCell ref="E23:E25"/>
    <mergeCell ref="J23:J25"/>
    <mergeCell ref="T24:T25"/>
    <mergeCell ref="AA24:AA25"/>
    <mergeCell ref="AF24:AF25"/>
    <mergeCell ref="AK24:AK25"/>
    <mergeCell ref="AO8:AO55"/>
    <mergeCell ref="T18:T19"/>
    <mergeCell ref="E20:E21"/>
    <mergeCell ref="J20:J21"/>
    <mergeCell ref="T21:T22"/>
    <mergeCell ref="E32:E34"/>
    <mergeCell ref="J32:J34"/>
    <mergeCell ref="T33:T34"/>
    <mergeCell ref="AA33:AA34"/>
    <mergeCell ref="AF33:AF34"/>
    <mergeCell ref="AK33:AK34"/>
    <mergeCell ref="AA39:AA40"/>
    <mergeCell ref="AF39:AF40"/>
    <mergeCell ref="AK39:AK40"/>
    <mergeCell ref="E35:E36"/>
    <mergeCell ref="J35:J36"/>
    <mergeCell ref="AQ25:AQ26"/>
    <mergeCell ref="E26:E27"/>
    <mergeCell ref="J26:J27"/>
    <mergeCell ref="T27:T28"/>
    <mergeCell ref="AA27:AA28"/>
    <mergeCell ref="AF27:AF28"/>
    <mergeCell ref="AK27:AK28"/>
    <mergeCell ref="AQ28:AQ29"/>
    <mergeCell ref="E29:E30"/>
    <mergeCell ref="J29:J30"/>
    <mergeCell ref="T30:T31"/>
    <mergeCell ref="AA30:AA31"/>
    <mergeCell ref="AF30:AF31"/>
    <mergeCell ref="AK30:AK31"/>
    <mergeCell ref="AA36:AA37"/>
    <mergeCell ref="AF36:AF37"/>
    <mergeCell ref="AK36:AK37"/>
    <mergeCell ref="E41:E43"/>
    <mergeCell ref="J41:J43"/>
    <mergeCell ref="E44:E45"/>
    <mergeCell ref="J44:J45"/>
    <mergeCell ref="E47:E48"/>
    <mergeCell ref="J47:J48"/>
    <mergeCell ref="E38:E39"/>
    <mergeCell ref="J38:J39"/>
    <mergeCell ref="T39:T40"/>
    <mergeCell ref="J51:J52"/>
    <mergeCell ref="J54:J55"/>
    <mergeCell ref="C69:C116"/>
    <mergeCell ref="F69:F116"/>
    <mergeCell ref="R69:R116"/>
    <mergeCell ref="U69:U116"/>
    <mergeCell ref="T79:T80"/>
    <mergeCell ref="E81:E82"/>
    <mergeCell ref="J81:J82"/>
    <mergeCell ref="T82:T83"/>
    <mergeCell ref="C8:C55"/>
    <mergeCell ref="T36:T37"/>
    <mergeCell ref="AR69:AR116"/>
    <mergeCell ref="E72:E73"/>
    <mergeCell ref="J72:J73"/>
    <mergeCell ref="T72:T73"/>
    <mergeCell ref="AF72:AF73"/>
    <mergeCell ref="E75:E77"/>
    <mergeCell ref="J75:J77"/>
    <mergeCell ref="E78:E79"/>
    <mergeCell ref="J78:J79"/>
    <mergeCell ref="Y69:Y116"/>
    <mergeCell ref="AB69:AB116"/>
    <mergeCell ref="AD69:AD116"/>
    <mergeCell ref="AG69:AG116"/>
    <mergeCell ref="AI69:AI116"/>
    <mergeCell ref="AL69:AL116"/>
    <mergeCell ref="AA79:AA80"/>
    <mergeCell ref="AF79:AF80"/>
    <mergeCell ref="AK79:AK80"/>
    <mergeCell ref="AA82:AA83"/>
    <mergeCell ref="AF82:AF83"/>
    <mergeCell ref="AK82:AK83"/>
    <mergeCell ref="E84:E86"/>
    <mergeCell ref="J84:J86"/>
    <mergeCell ref="T85:T86"/>
    <mergeCell ref="J87:J88"/>
    <mergeCell ref="T88:T89"/>
    <mergeCell ref="AA88:AA89"/>
    <mergeCell ref="AF88:AF89"/>
    <mergeCell ref="AK88:AK89"/>
    <mergeCell ref="AQ89:AQ90"/>
    <mergeCell ref="E90:E91"/>
    <mergeCell ref="J90:J91"/>
    <mergeCell ref="AA85:AA86"/>
    <mergeCell ref="AF85:AF86"/>
    <mergeCell ref="AK85:AK86"/>
    <mergeCell ref="AO69:AO116"/>
    <mergeCell ref="AF91:AF92"/>
    <mergeCell ref="AK91:AK92"/>
    <mergeCell ref="E93:E95"/>
    <mergeCell ref="J93:J95"/>
    <mergeCell ref="T94:T95"/>
    <mergeCell ref="AA94:AA95"/>
    <mergeCell ref="AF94:AF95"/>
    <mergeCell ref="AK94:AK95"/>
    <mergeCell ref="J112:J113"/>
    <mergeCell ref="J115:J116"/>
    <mergeCell ref="AT12:AT59"/>
    <mergeCell ref="AW12:AW59"/>
    <mergeCell ref="E102:E104"/>
    <mergeCell ref="J102:J104"/>
    <mergeCell ref="E105:E106"/>
    <mergeCell ref="J105:J106"/>
    <mergeCell ref="E108:E109"/>
    <mergeCell ref="J108:J109"/>
    <mergeCell ref="E99:E100"/>
    <mergeCell ref="J99:J100"/>
    <mergeCell ref="T100:T101"/>
    <mergeCell ref="AA100:AA101"/>
    <mergeCell ref="AF100:AF101"/>
    <mergeCell ref="AK100:AK101"/>
    <mergeCell ref="E96:E97"/>
    <mergeCell ref="J96:J97"/>
    <mergeCell ref="T97:T98"/>
    <mergeCell ref="AA97:AA98"/>
    <mergeCell ref="AF97:AF98"/>
    <mergeCell ref="AK97:AK98"/>
    <mergeCell ref="T91:T92"/>
    <mergeCell ref="AA91:AA92"/>
    <mergeCell ref="AQ86:AQ87"/>
    <mergeCell ref="E87:E8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AF423-6411-4878-ABF6-5526E0F2378B}">
  <dimension ref="A1:U105"/>
  <sheetViews>
    <sheetView topLeftCell="A56" workbookViewId="0">
      <selection activeCell="W64" sqref="W64"/>
    </sheetView>
  </sheetViews>
  <sheetFormatPr defaultRowHeight="14.4" x14ac:dyDescent="0.3"/>
  <cols>
    <col min="1" max="1" width="3.33203125" customWidth="1"/>
    <col min="2" max="2" width="20" customWidth="1"/>
    <col min="3" max="4" width="3.33203125" customWidth="1"/>
    <col min="5" max="5" width="20" customWidth="1"/>
    <col min="6" max="7" width="3.33203125" customWidth="1"/>
    <col min="8" max="8" width="13" hidden="1" customWidth="1"/>
    <col min="9" max="9" width="20" hidden="1" customWidth="1"/>
    <col min="10" max="10" width="3.33203125" hidden="1" customWidth="1"/>
    <col min="11" max="11" width="13" hidden="1" customWidth="1"/>
    <col min="12" max="12" width="20" hidden="1" customWidth="1"/>
    <col min="13" max="13" width="3.33203125" hidden="1" customWidth="1"/>
    <col min="14" max="14" width="13" hidden="1" customWidth="1"/>
    <col min="15" max="15" width="20" hidden="1" customWidth="1"/>
    <col min="16" max="16" width="3.33203125" hidden="1" customWidth="1"/>
    <col min="17" max="17" width="13" hidden="1" customWidth="1"/>
    <col min="18" max="18" width="20" hidden="1" customWidth="1"/>
    <col min="19" max="19" width="3.33203125" hidden="1" customWidth="1"/>
    <col min="20" max="20" width="24.33203125" bestFit="1" customWidth="1"/>
    <col min="21" max="21" width="20" customWidth="1"/>
  </cols>
  <sheetData>
    <row r="1" spans="1:21" ht="15.6" x14ac:dyDescent="0.3">
      <c r="A1" s="179"/>
      <c r="B1" s="180"/>
      <c r="C1" s="181"/>
      <c r="D1" s="181"/>
      <c r="E1" s="181"/>
      <c r="F1" s="181"/>
      <c r="G1" s="181"/>
      <c r="H1" s="181"/>
      <c r="I1" s="181"/>
      <c r="J1" s="181"/>
      <c r="K1" s="181"/>
      <c r="L1" s="181"/>
      <c r="M1" s="181"/>
      <c r="N1" s="181"/>
      <c r="O1" s="181"/>
      <c r="P1" s="181"/>
      <c r="Q1" s="181"/>
      <c r="R1" s="181"/>
      <c r="S1" s="181"/>
      <c r="T1" s="181"/>
      <c r="U1" s="181"/>
    </row>
    <row r="2" spans="1:21" ht="15.6" x14ac:dyDescent="0.3">
      <c r="A2" s="182" t="s">
        <v>297</v>
      </c>
      <c r="B2" s="183" t="s">
        <v>297</v>
      </c>
      <c r="C2" s="182" t="s">
        <v>297</v>
      </c>
      <c r="D2" s="182" t="s">
        <v>297</v>
      </c>
      <c r="E2" s="182" t="s">
        <v>297</v>
      </c>
      <c r="F2" s="182" t="s">
        <v>297</v>
      </c>
      <c r="G2" s="182" t="s">
        <v>297</v>
      </c>
      <c r="H2" s="182" t="s">
        <v>297</v>
      </c>
      <c r="I2" s="182" t="s">
        <v>297</v>
      </c>
      <c r="J2" s="182"/>
      <c r="K2" s="182" t="s">
        <v>297</v>
      </c>
      <c r="L2" s="182" t="s">
        <v>297</v>
      </c>
      <c r="M2" s="182"/>
      <c r="N2" s="182" t="s">
        <v>297</v>
      </c>
      <c r="O2" s="182" t="s">
        <v>297</v>
      </c>
      <c r="P2" s="182"/>
      <c r="Q2" s="182" t="s">
        <v>297</v>
      </c>
      <c r="R2" s="182" t="s">
        <v>297</v>
      </c>
      <c r="S2" s="182"/>
      <c r="T2" s="182" t="s">
        <v>297</v>
      </c>
      <c r="U2" s="182" t="s">
        <v>297</v>
      </c>
    </row>
    <row r="3" spans="1:21" ht="36.6" x14ac:dyDescent="0.7">
      <c r="A3" s="184" t="str">
        <f>[1]Version!B3</f>
        <v>Solution Description:</v>
      </c>
      <c r="B3" s="184"/>
      <c r="C3" s="184"/>
      <c r="D3" s="184"/>
      <c r="E3" s="184"/>
      <c r="F3" s="184"/>
      <c r="G3" s="184"/>
      <c r="H3" s="184"/>
      <c r="I3" s="184"/>
      <c r="J3" s="184"/>
      <c r="K3" s="184"/>
      <c r="L3" s="184"/>
      <c r="M3" s="184"/>
      <c r="N3" s="184"/>
      <c r="O3" s="184"/>
      <c r="P3" s="184"/>
      <c r="Q3" s="184"/>
      <c r="R3" s="184"/>
      <c r="S3" s="184"/>
      <c r="T3" s="184"/>
      <c r="U3" s="185"/>
    </row>
    <row r="4" spans="1:21" ht="21" x14ac:dyDescent="0.3">
      <c r="A4" s="182" t="s">
        <v>297</v>
      </c>
      <c r="B4" s="183" t="s">
        <v>297</v>
      </c>
      <c r="C4" s="182" t="s">
        <v>297</v>
      </c>
      <c r="D4" s="182" t="s">
        <v>297</v>
      </c>
      <c r="E4" s="182" t="s">
        <v>297</v>
      </c>
      <c r="F4" s="182" t="s">
        <v>297</v>
      </c>
      <c r="G4" s="182" t="s">
        <v>297</v>
      </c>
      <c r="H4" s="182" t="s">
        <v>297</v>
      </c>
      <c r="I4" s="182" t="s">
        <v>297</v>
      </c>
      <c r="J4" s="182"/>
      <c r="K4" s="182" t="s">
        <v>297</v>
      </c>
      <c r="L4" s="182" t="s">
        <v>297</v>
      </c>
      <c r="M4" s="182"/>
      <c r="N4" s="182" t="s">
        <v>297</v>
      </c>
      <c r="O4" s="182" t="s">
        <v>297</v>
      </c>
      <c r="P4" s="182"/>
      <c r="Q4" s="182" t="s">
        <v>297</v>
      </c>
      <c r="R4" s="182" t="s">
        <v>297</v>
      </c>
      <c r="S4" s="182"/>
      <c r="T4" s="186" t="s">
        <v>298</v>
      </c>
      <c r="U4" s="181"/>
    </row>
    <row r="5" spans="1:21" ht="28.8" x14ac:dyDescent="0.3">
      <c r="A5" s="303" t="s">
        <v>299</v>
      </c>
      <c r="B5" s="304"/>
      <c r="C5" s="304"/>
      <c r="D5" s="304"/>
      <c r="E5" s="304"/>
      <c r="F5" s="304"/>
      <c r="G5" s="187" t="s">
        <v>297</v>
      </c>
      <c r="H5" s="188"/>
      <c r="I5" s="188"/>
      <c r="J5" s="182"/>
      <c r="K5" s="188"/>
      <c r="L5" s="188"/>
      <c r="M5" s="182"/>
      <c r="N5" s="188"/>
      <c r="O5" s="188"/>
      <c r="P5" s="182"/>
      <c r="Q5" s="188"/>
      <c r="R5" s="188"/>
      <c r="S5" s="182"/>
      <c r="T5" s="186" t="s">
        <v>300</v>
      </c>
      <c r="U5" s="181"/>
    </row>
    <row r="6" spans="1:21" ht="21" x14ac:dyDescent="0.4">
      <c r="A6" s="182" t="s">
        <v>297</v>
      </c>
      <c r="B6" s="186" t="s">
        <v>301</v>
      </c>
      <c r="C6" s="186" t="s">
        <v>297</v>
      </c>
      <c r="D6" s="186" t="s">
        <v>297</v>
      </c>
      <c r="E6" s="186" t="s">
        <v>302</v>
      </c>
      <c r="F6" s="186" t="s">
        <v>297</v>
      </c>
      <c r="G6" s="186" t="s">
        <v>297</v>
      </c>
      <c r="H6" s="190"/>
      <c r="I6" s="190"/>
      <c r="J6" s="189"/>
      <c r="K6" s="190"/>
      <c r="L6" s="190"/>
      <c r="M6" s="189"/>
      <c r="N6" s="190"/>
      <c r="O6" s="190"/>
      <c r="P6" s="189"/>
      <c r="Q6" s="190"/>
      <c r="R6" s="190"/>
      <c r="S6" s="189"/>
      <c r="T6" s="186" t="s">
        <v>303</v>
      </c>
      <c r="U6" s="181"/>
    </row>
    <row r="7" spans="1:21" ht="21" x14ac:dyDescent="0.4">
      <c r="A7" s="191">
        <v>48</v>
      </c>
      <c r="B7" s="192" t="s">
        <v>304</v>
      </c>
      <c r="C7" s="186" t="s">
        <v>297</v>
      </c>
      <c r="D7" s="191">
        <v>48</v>
      </c>
      <c r="E7" s="192" t="s">
        <v>304</v>
      </c>
      <c r="F7" s="186" t="s">
        <v>297</v>
      </c>
      <c r="G7" s="186" t="s">
        <v>297</v>
      </c>
      <c r="H7" s="193"/>
      <c r="I7" s="194"/>
      <c r="J7" s="189"/>
      <c r="K7" s="193"/>
      <c r="L7" s="194"/>
      <c r="M7" s="189"/>
      <c r="N7" s="193"/>
      <c r="O7" s="194"/>
      <c r="P7" s="189"/>
      <c r="Q7" s="193"/>
      <c r="R7" s="194"/>
      <c r="S7" s="189"/>
      <c r="T7" s="182" t="s">
        <v>297</v>
      </c>
      <c r="U7" s="181"/>
    </row>
    <row r="8" spans="1:21" ht="21" x14ac:dyDescent="0.4">
      <c r="A8" s="195">
        <v>47</v>
      </c>
      <c r="B8" s="196" t="s">
        <v>305</v>
      </c>
      <c r="C8" s="186" t="s">
        <v>297</v>
      </c>
      <c r="D8" s="195">
        <v>47</v>
      </c>
      <c r="E8" s="196" t="s">
        <v>305</v>
      </c>
      <c r="F8" s="186" t="s">
        <v>297</v>
      </c>
      <c r="G8" s="186" t="s">
        <v>297</v>
      </c>
      <c r="H8" s="193"/>
      <c r="I8" s="197"/>
      <c r="J8" s="189"/>
      <c r="K8" s="193"/>
      <c r="L8" s="197"/>
      <c r="M8" s="189"/>
      <c r="N8" s="193"/>
      <c r="O8" s="197"/>
      <c r="P8" s="189"/>
      <c r="Q8" s="193"/>
      <c r="R8" s="197"/>
      <c r="S8" s="189"/>
      <c r="T8" s="182" t="s">
        <v>297</v>
      </c>
      <c r="U8" s="181"/>
    </row>
    <row r="9" spans="1:21" ht="21" x14ac:dyDescent="0.4">
      <c r="A9" s="195">
        <v>46</v>
      </c>
      <c r="B9" s="198" t="s">
        <v>306</v>
      </c>
      <c r="C9" s="186" t="s">
        <v>297</v>
      </c>
      <c r="D9" s="195">
        <v>46</v>
      </c>
      <c r="E9" s="198" t="s">
        <v>306</v>
      </c>
      <c r="F9" s="186" t="s">
        <v>297</v>
      </c>
      <c r="G9" s="186" t="s">
        <v>297</v>
      </c>
      <c r="H9" s="193"/>
      <c r="I9" s="194"/>
      <c r="J9" s="189"/>
      <c r="K9" s="193"/>
      <c r="L9" s="194"/>
      <c r="M9" s="189"/>
      <c r="N9" s="193"/>
      <c r="O9" s="194"/>
      <c r="P9" s="189"/>
      <c r="Q9" s="193"/>
      <c r="R9" s="194"/>
      <c r="S9" s="189"/>
      <c r="T9" s="198" t="s">
        <v>306</v>
      </c>
      <c r="U9" s="181"/>
    </row>
    <row r="10" spans="1:21" ht="21" x14ac:dyDescent="0.4">
      <c r="A10" s="195">
        <v>45</v>
      </c>
      <c r="B10" s="199"/>
      <c r="C10" s="186" t="s">
        <v>297</v>
      </c>
      <c r="D10" s="195">
        <v>45</v>
      </c>
      <c r="E10" s="199"/>
      <c r="F10" s="186" t="s">
        <v>297</v>
      </c>
      <c r="G10" s="186" t="s">
        <v>297</v>
      </c>
      <c r="H10" s="193"/>
      <c r="I10" s="194"/>
      <c r="J10" s="189"/>
      <c r="K10" s="193"/>
      <c r="L10" s="194"/>
      <c r="M10" s="189"/>
      <c r="N10" s="193"/>
      <c r="O10" s="194"/>
      <c r="P10" s="189"/>
      <c r="Q10" s="193"/>
      <c r="R10" s="194"/>
      <c r="S10" s="189"/>
      <c r="T10" s="199"/>
      <c r="U10" s="181"/>
    </row>
    <row r="11" spans="1:21" ht="15.6" x14ac:dyDescent="0.3">
      <c r="A11" s="195">
        <v>44</v>
      </c>
      <c r="B11" s="200" t="s">
        <v>307</v>
      </c>
      <c r="C11" s="201" t="s">
        <v>297</v>
      </c>
      <c r="D11" s="195">
        <v>44</v>
      </c>
      <c r="E11" s="200" t="s">
        <v>307</v>
      </c>
      <c r="F11" s="201" t="s">
        <v>297</v>
      </c>
      <c r="G11" s="201" t="s">
        <v>297</v>
      </c>
      <c r="H11" s="193"/>
      <c r="I11" s="197"/>
      <c r="J11" s="182"/>
      <c r="K11" s="193"/>
      <c r="L11" s="197"/>
      <c r="M11" s="182"/>
      <c r="N11" s="193"/>
      <c r="O11" s="197"/>
      <c r="P11" s="182"/>
      <c r="Q11" s="193"/>
      <c r="R11" s="197"/>
      <c r="S11" s="182"/>
      <c r="T11" s="182" t="s">
        <v>297</v>
      </c>
      <c r="U11" s="181"/>
    </row>
    <row r="12" spans="1:21" ht="15.6" x14ac:dyDescent="0.3">
      <c r="A12" s="195">
        <v>43</v>
      </c>
      <c r="B12" s="203"/>
      <c r="C12" s="201" t="s">
        <v>297</v>
      </c>
      <c r="D12" s="195">
        <v>43</v>
      </c>
      <c r="E12" s="203"/>
      <c r="F12" s="201" t="s">
        <v>297</v>
      </c>
      <c r="G12" s="201" t="s">
        <v>297</v>
      </c>
      <c r="H12" s="193"/>
      <c r="I12" s="197"/>
      <c r="J12" s="182"/>
      <c r="K12" s="193"/>
      <c r="L12" s="197"/>
      <c r="M12" s="182"/>
      <c r="N12" s="193"/>
      <c r="O12" s="197"/>
      <c r="P12" s="182"/>
      <c r="Q12" s="193"/>
      <c r="R12" s="197"/>
      <c r="S12" s="182"/>
      <c r="T12" s="198" t="s">
        <v>306</v>
      </c>
      <c r="U12" s="181"/>
    </row>
    <row r="13" spans="1:21" ht="15.6" x14ac:dyDescent="0.3">
      <c r="A13" s="195">
        <v>42</v>
      </c>
      <c r="B13" s="202" t="s">
        <v>308</v>
      </c>
      <c r="C13" s="201" t="s">
        <v>297</v>
      </c>
      <c r="D13" s="195">
        <v>42</v>
      </c>
      <c r="E13" s="202" t="s">
        <v>308</v>
      </c>
      <c r="F13" s="201" t="s">
        <v>297</v>
      </c>
      <c r="G13" s="201" t="s">
        <v>297</v>
      </c>
      <c r="H13" s="193"/>
      <c r="I13" s="194"/>
      <c r="J13" s="182"/>
      <c r="K13" s="193"/>
      <c r="L13" s="194"/>
      <c r="M13" s="182"/>
      <c r="N13" s="193"/>
      <c r="O13" s="197"/>
      <c r="P13" s="182"/>
      <c r="Q13" s="193"/>
      <c r="R13" s="194"/>
      <c r="S13" s="182"/>
      <c r="T13" s="199"/>
      <c r="U13" s="181"/>
    </row>
    <row r="14" spans="1:21" ht="15.6" x14ac:dyDescent="0.3">
      <c r="A14" s="195">
        <v>41</v>
      </c>
      <c r="B14" s="203"/>
      <c r="C14" s="201" t="s">
        <v>297</v>
      </c>
      <c r="D14" s="195">
        <v>41</v>
      </c>
      <c r="E14" s="203"/>
      <c r="F14" s="201" t="s">
        <v>297</v>
      </c>
      <c r="G14" s="201" t="s">
        <v>297</v>
      </c>
      <c r="H14" s="193"/>
      <c r="I14" s="194"/>
      <c r="J14" s="182"/>
      <c r="K14" s="193"/>
      <c r="L14" s="194"/>
      <c r="M14" s="182"/>
      <c r="N14" s="193"/>
      <c r="O14" s="197"/>
      <c r="P14" s="182"/>
      <c r="Q14" s="193"/>
      <c r="R14" s="194"/>
      <c r="S14" s="182"/>
      <c r="T14" s="182" t="s">
        <v>297</v>
      </c>
      <c r="U14" s="181"/>
    </row>
    <row r="15" spans="1:21" ht="15.6" x14ac:dyDescent="0.3">
      <c r="A15" s="195">
        <v>40</v>
      </c>
      <c r="B15" s="204" t="s">
        <v>309</v>
      </c>
      <c r="C15" s="201" t="s">
        <v>297</v>
      </c>
      <c r="D15" s="195">
        <v>40</v>
      </c>
      <c r="E15" s="204" t="s">
        <v>309</v>
      </c>
      <c r="F15" s="201" t="s">
        <v>297</v>
      </c>
      <c r="G15" s="201" t="s">
        <v>297</v>
      </c>
      <c r="H15" s="193"/>
      <c r="I15" s="194"/>
      <c r="J15" s="182"/>
      <c r="K15" s="193"/>
      <c r="L15" s="194"/>
      <c r="M15" s="182"/>
      <c r="N15" s="193"/>
      <c r="O15" s="194"/>
      <c r="P15" s="182"/>
      <c r="Q15" s="193"/>
      <c r="R15" s="194"/>
      <c r="S15" s="182"/>
      <c r="T15" s="198" t="s">
        <v>306</v>
      </c>
      <c r="U15" s="181"/>
    </row>
    <row r="16" spans="1:21" ht="15.6" x14ac:dyDescent="0.3">
      <c r="A16" s="195">
        <v>39</v>
      </c>
      <c r="B16" s="205"/>
      <c r="C16" s="201" t="s">
        <v>297</v>
      </c>
      <c r="D16" s="195">
        <v>39</v>
      </c>
      <c r="E16" s="205"/>
      <c r="F16" s="201" t="s">
        <v>297</v>
      </c>
      <c r="G16" s="201" t="s">
        <v>297</v>
      </c>
      <c r="H16" s="193"/>
      <c r="I16" s="194"/>
      <c r="J16" s="182"/>
      <c r="K16" s="193"/>
      <c r="L16" s="194"/>
      <c r="M16" s="182"/>
      <c r="N16" s="193"/>
      <c r="O16" s="194"/>
      <c r="P16" s="182"/>
      <c r="Q16" s="193"/>
      <c r="R16" s="194"/>
      <c r="S16" s="182"/>
      <c r="T16" s="199"/>
      <c r="U16" s="181"/>
    </row>
    <row r="17" spans="1:21" ht="15.6" x14ac:dyDescent="0.3">
      <c r="A17" s="195">
        <v>38</v>
      </c>
      <c r="B17" s="204" t="s">
        <v>310</v>
      </c>
      <c r="C17" s="201" t="s">
        <v>297</v>
      </c>
      <c r="D17" s="195">
        <v>38</v>
      </c>
      <c r="E17" s="204" t="s">
        <v>310</v>
      </c>
      <c r="F17" s="201" t="s">
        <v>297</v>
      </c>
      <c r="G17" s="201" t="s">
        <v>297</v>
      </c>
      <c r="H17" s="193"/>
      <c r="I17" s="194"/>
      <c r="J17" s="182"/>
      <c r="K17" s="193"/>
      <c r="L17" s="194"/>
      <c r="M17" s="182"/>
      <c r="N17" s="193"/>
      <c r="O17" s="194"/>
      <c r="P17" s="182"/>
      <c r="Q17" s="193"/>
      <c r="R17" s="194"/>
      <c r="S17" s="182"/>
      <c r="T17" s="182" t="s">
        <v>297</v>
      </c>
      <c r="U17" s="181"/>
    </row>
    <row r="18" spans="1:21" ht="15.6" x14ac:dyDescent="0.3">
      <c r="A18" s="195">
        <v>37</v>
      </c>
      <c r="B18" s="205"/>
      <c r="C18" s="201" t="s">
        <v>297</v>
      </c>
      <c r="D18" s="195">
        <v>37</v>
      </c>
      <c r="E18" s="205"/>
      <c r="F18" s="201" t="s">
        <v>297</v>
      </c>
      <c r="G18" s="201" t="s">
        <v>297</v>
      </c>
      <c r="H18" s="193"/>
      <c r="I18" s="194"/>
      <c r="J18" s="182"/>
      <c r="K18" s="193"/>
      <c r="L18" s="194"/>
      <c r="M18" s="182"/>
      <c r="N18" s="193"/>
      <c r="O18" s="194"/>
      <c r="P18" s="182"/>
      <c r="Q18" s="193"/>
      <c r="R18" s="194"/>
      <c r="S18" s="182"/>
      <c r="T18" s="198" t="s">
        <v>306</v>
      </c>
      <c r="U18" s="181"/>
    </row>
    <row r="19" spans="1:21" ht="15.6" x14ac:dyDescent="0.3">
      <c r="A19" s="195">
        <v>36</v>
      </c>
      <c r="B19" s="204" t="s">
        <v>311</v>
      </c>
      <c r="C19" s="201" t="s">
        <v>297</v>
      </c>
      <c r="D19" s="195">
        <v>36</v>
      </c>
      <c r="E19" s="204" t="s">
        <v>311</v>
      </c>
      <c r="F19" s="201" t="s">
        <v>297</v>
      </c>
      <c r="G19" s="201" t="s">
        <v>297</v>
      </c>
      <c r="H19" s="193"/>
      <c r="I19" s="194"/>
      <c r="J19" s="182"/>
      <c r="K19" s="193"/>
      <c r="L19" s="194"/>
      <c r="M19" s="182"/>
      <c r="N19" s="193"/>
      <c r="O19" s="194"/>
      <c r="P19" s="182"/>
      <c r="Q19" s="193"/>
      <c r="R19" s="194"/>
      <c r="S19" s="182"/>
      <c r="T19" s="199"/>
      <c r="U19" s="181"/>
    </row>
    <row r="20" spans="1:21" ht="15.6" x14ac:dyDescent="0.3">
      <c r="A20" s="195">
        <v>35</v>
      </c>
      <c r="B20" s="205"/>
      <c r="C20" s="201" t="s">
        <v>297</v>
      </c>
      <c r="D20" s="195">
        <v>35</v>
      </c>
      <c r="E20" s="205"/>
      <c r="F20" s="201" t="s">
        <v>297</v>
      </c>
      <c r="G20" s="201" t="s">
        <v>297</v>
      </c>
      <c r="H20" s="193"/>
      <c r="I20" s="194"/>
      <c r="J20" s="182"/>
      <c r="K20" s="193"/>
      <c r="L20" s="194"/>
      <c r="M20" s="182"/>
      <c r="N20" s="193"/>
      <c r="O20" s="194"/>
      <c r="P20" s="182"/>
      <c r="Q20" s="193"/>
      <c r="R20" s="194"/>
      <c r="S20" s="182"/>
      <c r="T20" s="182" t="s">
        <v>297</v>
      </c>
      <c r="U20" s="206" t="s">
        <v>297</v>
      </c>
    </row>
    <row r="21" spans="1:21" ht="15.6" x14ac:dyDescent="0.3">
      <c r="A21" s="195">
        <v>34</v>
      </c>
      <c r="B21" s="204" t="s">
        <v>312</v>
      </c>
      <c r="C21" s="201" t="s">
        <v>297</v>
      </c>
      <c r="D21" s="195">
        <v>34</v>
      </c>
      <c r="E21" s="204" t="s">
        <v>312</v>
      </c>
      <c r="F21" s="201" t="s">
        <v>297</v>
      </c>
      <c r="G21" s="201" t="s">
        <v>297</v>
      </c>
      <c r="H21" s="193"/>
      <c r="I21" s="194"/>
      <c r="J21" s="182"/>
      <c r="K21" s="193"/>
      <c r="L21" s="194"/>
      <c r="M21" s="182"/>
      <c r="N21" s="193"/>
      <c r="O21" s="194"/>
      <c r="P21" s="182"/>
      <c r="Q21" s="193"/>
      <c r="R21" s="194"/>
      <c r="S21" s="182"/>
      <c r="T21" s="182" t="s">
        <v>297</v>
      </c>
      <c r="U21" s="206" t="s">
        <v>297</v>
      </c>
    </row>
    <row r="22" spans="1:21" ht="15.6" x14ac:dyDescent="0.3">
      <c r="A22" s="195">
        <v>33</v>
      </c>
      <c r="B22" s="205"/>
      <c r="C22" s="201" t="s">
        <v>297</v>
      </c>
      <c r="D22" s="195">
        <v>33</v>
      </c>
      <c r="E22" s="205"/>
      <c r="F22" s="201" t="s">
        <v>297</v>
      </c>
      <c r="G22" s="201" t="s">
        <v>297</v>
      </c>
      <c r="H22" s="193"/>
      <c r="I22" s="194"/>
      <c r="J22" s="182"/>
      <c r="K22" s="193"/>
      <c r="L22" s="194"/>
      <c r="M22" s="182"/>
      <c r="N22" s="193"/>
      <c r="O22" s="194"/>
      <c r="P22" s="182"/>
      <c r="Q22" s="193"/>
      <c r="R22" s="194"/>
      <c r="S22" s="182"/>
      <c r="T22" s="182" t="s">
        <v>297</v>
      </c>
      <c r="U22" s="206" t="s">
        <v>297</v>
      </c>
    </row>
    <row r="23" spans="1:21" ht="15.6" x14ac:dyDescent="0.3">
      <c r="A23" s="195">
        <v>32</v>
      </c>
      <c r="B23" s="204" t="s">
        <v>313</v>
      </c>
      <c r="C23" s="201" t="s">
        <v>297</v>
      </c>
      <c r="D23" s="195">
        <v>32</v>
      </c>
      <c r="E23" s="204" t="s">
        <v>313</v>
      </c>
      <c r="F23" s="201" t="s">
        <v>297</v>
      </c>
      <c r="G23" s="201" t="s">
        <v>297</v>
      </c>
      <c r="H23" s="193"/>
      <c r="I23" s="194"/>
      <c r="J23" s="182"/>
      <c r="K23" s="193"/>
      <c r="L23" s="194"/>
      <c r="M23" s="182"/>
      <c r="N23" s="193"/>
      <c r="O23" s="194"/>
      <c r="P23" s="182"/>
      <c r="Q23" s="193"/>
      <c r="R23" s="194"/>
      <c r="S23" s="182"/>
      <c r="T23" s="182" t="s">
        <v>297</v>
      </c>
      <c r="U23" s="206" t="s">
        <v>297</v>
      </c>
    </row>
    <row r="24" spans="1:21" ht="15.6" x14ac:dyDescent="0.3">
      <c r="A24" s="195">
        <v>31</v>
      </c>
      <c r="B24" s="205"/>
      <c r="C24" s="201" t="s">
        <v>297</v>
      </c>
      <c r="D24" s="195">
        <v>31</v>
      </c>
      <c r="E24" s="205"/>
      <c r="F24" s="201" t="s">
        <v>297</v>
      </c>
      <c r="G24" s="201" t="s">
        <v>297</v>
      </c>
      <c r="H24" s="193"/>
      <c r="I24" s="194"/>
      <c r="J24" s="182"/>
      <c r="K24" s="193"/>
      <c r="L24" s="194"/>
      <c r="M24" s="182"/>
      <c r="N24" s="193"/>
      <c r="O24" s="194"/>
      <c r="P24" s="182"/>
      <c r="Q24" s="193"/>
      <c r="R24" s="194"/>
      <c r="S24" s="182"/>
      <c r="T24" s="182" t="s">
        <v>297</v>
      </c>
      <c r="U24" s="182" t="s">
        <v>297</v>
      </c>
    </row>
    <row r="25" spans="1:21" ht="15.6" x14ac:dyDescent="0.3">
      <c r="A25" s="195">
        <v>30</v>
      </c>
      <c r="B25" s="204" t="s">
        <v>314</v>
      </c>
      <c r="C25" s="201" t="s">
        <v>297</v>
      </c>
      <c r="D25" s="195">
        <v>30</v>
      </c>
      <c r="E25" s="204" t="s">
        <v>314</v>
      </c>
      <c r="F25" s="201" t="s">
        <v>297</v>
      </c>
      <c r="G25" s="201" t="s">
        <v>297</v>
      </c>
      <c r="H25" s="193"/>
      <c r="I25" s="194"/>
      <c r="J25" s="182"/>
      <c r="K25" s="193"/>
      <c r="L25" s="194"/>
      <c r="M25" s="182"/>
      <c r="N25" s="193"/>
      <c r="O25" s="194"/>
      <c r="P25" s="182"/>
      <c r="Q25" s="193"/>
      <c r="R25" s="194"/>
      <c r="S25" s="182"/>
      <c r="T25" s="182" t="s">
        <v>297</v>
      </c>
      <c r="U25" s="182" t="s">
        <v>297</v>
      </c>
    </row>
    <row r="26" spans="1:21" ht="15.6" x14ac:dyDescent="0.3">
      <c r="A26" s="195">
        <v>29</v>
      </c>
      <c r="B26" s="205"/>
      <c r="C26" s="201" t="s">
        <v>297</v>
      </c>
      <c r="D26" s="195">
        <v>29</v>
      </c>
      <c r="E26" s="205"/>
      <c r="F26" s="201" t="s">
        <v>297</v>
      </c>
      <c r="G26" s="201" t="s">
        <v>297</v>
      </c>
      <c r="H26" s="193"/>
      <c r="I26" s="194"/>
      <c r="J26" s="182"/>
      <c r="K26" s="193"/>
      <c r="L26" s="194"/>
      <c r="M26" s="182"/>
      <c r="N26" s="193"/>
      <c r="O26" s="194"/>
      <c r="P26" s="182"/>
      <c r="Q26" s="193"/>
      <c r="R26" s="194"/>
      <c r="S26" s="182"/>
      <c r="T26" s="182" t="s">
        <v>297</v>
      </c>
      <c r="U26" s="182" t="s">
        <v>297</v>
      </c>
    </row>
    <row r="27" spans="1:21" ht="15.6" x14ac:dyDescent="0.3">
      <c r="A27" s="195">
        <v>28</v>
      </c>
      <c r="B27" s="204" t="s">
        <v>315</v>
      </c>
      <c r="C27" s="201" t="s">
        <v>297</v>
      </c>
      <c r="D27" s="195">
        <v>28</v>
      </c>
      <c r="E27" s="204" t="s">
        <v>315</v>
      </c>
      <c r="F27" s="201" t="s">
        <v>297</v>
      </c>
      <c r="G27" s="201" t="s">
        <v>297</v>
      </c>
      <c r="H27" s="193"/>
      <c r="I27" s="194"/>
      <c r="J27" s="182"/>
      <c r="K27" s="193"/>
      <c r="L27" s="194"/>
      <c r="M27" s="182"/>
      <c r="N27" s="193"/>
      <c r="O27" s="194"/>
      <c r="P27" s="182"/>
      <c r="Q27" s="193"/>
      <c r="R27" s="194"/>
      <c r="S27" s="182"/>
      <c r="T27" s="182" t="s">
        <v>297</v>
      </c>
      <c r="U27" s="182" t="s">
        <v>297</v>
      </c>
    </row>
    <row r="28" spans="1:21" ht="15.6" x14ac:dyDescent="0.3">
      <c r="A28" s="195">
        <v>27</v>
      </c>
      <c r="B28" s="205"/>
      <c r="C28" s="201" t="s">
        <v>297</v>
      </c>
      <c r="D28" s="195">
        <v>27</v>
      </c>
      <c r="E28" s="205"/>
      <c r="F28" s="201" t="s">
        <v>297</v>
      </c>
      <c r="G28" s="201" t="s">
        <v>297</v>
      </c>
      <c r="H28" s="193"/>
      <c r="I28" s="194"/>
      <c r="J28" s="182"/>
      <c r="K28" s="193"/>
      <c r="L28" s="194"/>
      <c r="M28" s="182"/>
      <c r="N28" s="193"/>
      <c r="O28" s="194"/>
      <c r="P28" s="182"/>
      <c r="Q28" s="193"/>
      <c r="R28" s="194"/>
      <c r="S28" s="182"/>
      <c r="T28" s="182" t="s">
        <v>297</v>
      </c>
      <c r="U28" s="182" t="s">
        <v>297</v>
      </c>
    </row>
    <row r="29" spans="1:21" ht="15.6" x14ac:dyDescent="0.3">
      <c r="A29" s="195">
        <v>26</v>
      </c>
      <c r="B29" s="204" t="s">
        <v>316</v>
      </c>
      <c r="C29" s="201" t="s">
        <v>297</v>
      </c>
      <c r="D29" s="195">
        <v>26</v>
      </c>
      <c r="E29" s="204" t="s">
        <v>316</v>
      </c>
      <c r="F29" s="201" t="s">
        <v>297</v>
      </c>
      <c r="G29" s="201" t="s">
        <v>297</v>
      </c>
      <c r="H29" s="193"/>
      <c r="I29" s="194"/>
      <c r="J29" s="182"/>
      <c r="K29" s="193"/>
      <c r="L29" s="194"/>
      <c r="M29" s="182"/>
      <c r="N29" s="193"/>
      <c r="O29" s="194"/>
      <c r="P29" s="182"/>
      <c r="Q29" s="193"/>
      <c r="R29" s="194"/>
      <c r="S29" s="182"/>
      <c r="T29" s="182" t="s">
        <v>297</v>
      </c>
      <c r="U29" s="182" t="s">
        <v>297</v>
      </c>
    </row>
    <row r="30" spans="1:21" ht="15.6" x14ac:dyDescent="0.3">
      <c r="A30" s="195">
        <v>25</v>
      </c>
      <c r="B30" s="205"/>
      <c r="C30" s="201" t="s">
        <v>297</v>
      </c>
      <c r="D30" s="195">
        <v>25</v>
      </c>
      <c r="E30" s="205"/>
      <c r="F30" s="201" t="s">
        <v>297</v>
      </c>
      <c r="G30" s="201" t="s">
        <v>297</v>
      </c>
      <c r="H30" s="193"/>
      <c r="I30" s="194"/>
      <c r="J30" s="182"/>
      <c r="K30" s="193"/>
      <c r="L30" s="194"/>
      <c r="M30" s="182"/>
      <c r="N30" s="193"/>
      <c r="O30" s="194"/>
      <c r="P30" s="182"/>
      <c r="Q30" s="193"/>
      <c r="R30" s="194"/>
      <c r="S30" s="182"/>
      <c r="T30" s="182" t="s">
        <v>297</v>
      </c>
      <c r="U30" s="182" t="s">
        <v>297</v>
      </c>
    </row>
    <row r="31" spans="1:21" ht="15.6" x14ac:dyDescent="0.3">
      <c r="A31" s="195">
        <v>24</v>
      </c>
      <c r="B31" s="204" t="s">
        <v>317</v>
      </c>
      <c r="C31" s="201" t="s">
        <v>297</v>
      </c>
      <c r="D31" s="195">
        <v>24</v>
      </c>
      <c r="E31" s="204" t="s">
        <v>317</v>
      </c>
      <c r="F31" s="201" t="s">
        <v>297</v>
      </c>
      <c r="G31" s="201" t="s">
        <v>297</v>
      </c>
      <c r="H31" s="193"/>
      <c r="I31" s="194"/>
      <c r="J31" s="182"/>
      <c r="K31" s="193"/>
      <c r="L31" s="194"/>
      <c r="M31" s="182"/>
      <c r="N31" s="193"/>
      <c r="O31" s="194"/>
      <c r="P31" s="182"/>
      <c r="Q31" s="193"/>
      <c r="R31" s="194"/>
      <c r="S31" s="182"/>
      <c r="T31" s="182" t="s">
        <v>297</v>
      </c>
      <c r="U31" s="182" t="s">
        <v>297</v>
      </c>
    </row>
    <row r="32" spans="1:21" ht="15.6" x14ac:dyDescent="0.3">
      <c r="A32" s="195">
        <v>23</v>
      </c>
      <c r="B32" s="205"/>
      <c r="C32" s="201" t="s">
        <v>297</v>
      </c>
      <c r="D32" s="195">
        <v>23</v>
      </c>
      <c r="E32" s="205"/>
      <c r="F32" s="201" t="s">
        <v>297</v>
      </c>
      <c r="G32" s="201" t="s">
        <v>297</v>
      </c>
      <c r="H32" s="193"/>
      <c r="I32" s="194"/>
      <c r="J32" s="182"/>
      <c r="K32" s="193"/>
      <c r="L32" s="194"/>
      <c r="M32" s="182"/>
      <c r="N32" s="193"/>
      <c r="O32" s="194"/>
      <c r="P32" s="182"/>
      <c r="Q32" s="193"/>
      <c r="R32" s="194"/>
      <c r="S32" s="182"/>
      <c r="T32" s="182" t="s">
        <v>297</v>
      </c>
      <c r="U32" s="182" t="s">
        <v>297</v>
      </c>
    </row>
    <row r="33" spans="1:21" ht="15.6" x14ac:dyDescent="0.3">
      <c r="A33" s="195">
        <v>22</v>
      </c>
      <c r="B33" s="204" t="s">
        <v>318</v>
      </c>
      <c r="C33" s="201" t="s">
        <v>297</v>
      </c>
      <c r="D33" s="195">
        <v>22</v>
      </c>
      <c r="E33" s="204" t="s">
        <v>318</v>
      </c>
      <c r="F33" s="201" t="s">
        <v>297</v>
      </c>
      <c r="G33" s="201" t="s">
        <v>297</v>
      </c>
      <c r="H33" s="193"/>
      <c r="I33" s="194"/>
      <c r="J33" s="182"/>
      <c r="K33" s="193"/>
      <c r="L33" s="194"/>
      <c r="M33" s="182"/>
      <c r="N33" s="193"/>
      <c r="O33" s="194"/>
      <c r="P33" s="182"/>
      <c r="Q33" s="193"/>
      <c r="R33" s="194"/>
      <c r="S33" s="182"/>
      <c r="T33" s="182" t="s">
        <v>297</v>
      </c>
      <c r="U33" s="182" t="s">
        <v>297</v>
      </c>
    </row>
    <row r="34" spans="1:21" ht="15.6" x14ac:dyDescent="0.3">
      <c r="A34" s="195">
        <v>21</v>
      </c>
      <c r="B34" s="205"/>
      <c r="C34" s="201" t="s">
        <v>297</v>
      </c>
      <c r="D34" s="195">
        <v>21</v>
      </c>
      <c r="E34" s="205"/>
      <c r="F34" s="201" t="s">
        <v>297</v>
      </c>
      <c r="G34" s="201" t="s">
        <v>297</v>
      </c>
      <c r="H34" s="193"/>
      <c r="I34" s="194"/>
      <c r="J34" s="182"/>
      <c r="K34" s="193"/>
      <c r="L34" s="194"/>
      <c r="M34" s="182"/>
      <c r="N34" s="193"/>
      <c r="O34" s="194"/>
      <c r="P34" s="182"/>
      <c r="Q34" s="193"/>
      <c r="R34" s="194"/>
      <c r="S34" s="182"/>
      <c r="T34" s="182" t="s">
        <v>297</v>
      </c>
      <c r="U34" s="182" t="s">
        <v>297</v>
      </c>
    </row>
    <row r="35" spans="1:21" ht="15.6" x14ac:dyDescent="0.3">
      <c r="A35" s="195">
        <v>20</v>
      </c>
      <c r="B35" s="204" t="s">
        <v>319</v>
      </c>
      <c r="C35" s="201" t="s">
        <v>297</v>
      </c>
      <c r="D35" s="195">
        <v>20</v>
      </c>
      <c r="E35" s="204" t="s">
        <v>319</v>
      </c>
      <c r="F35" s="201" t="s">
        <v>297</v>
      </c>
      <c r="G35" s="201" t="s">
        <v>297</v>
      </c>
      <c r="H35" s="193"/>
      <c r="I35" s="194"/>
      <c r="J35" s="182"/>
      <c r="K35" s="193"/>
      <c r="L35" s="194"/>
      <c r="M35" s="182"/>
      <c r="N35" s="193"/>
      <c r="O35" s="194"/>
      <c r="P35" s="182"/>
      <c r="Q35" s="193"/>
      <c r="R35" s="194"/>
      <c r="S35" s="182"/>
      <c r="T35" s="182" t="s">
        <v>297</v>
      </c>
      <c r="U35" s="182" t="s">
        <v>297</v>
      </c>
    </row>
    <row r="36" spans="1:21" ht="15.6" x14ac:dyDescent="0.3">
      <c r="A36" s="195">
        <v>19</v>
      </c>
      <c r="B36" s="205"/>
      <c r="C36" s="201" t="s">
        <v>297</v>
      </c>
      <c r="D36" s="195">
        <v>19</v>
      </c>
      <c r="E36" s="205"/>
      <c r="F36" s="201" t="s">
        <v>297</v>
      </c>
      <c r="G36" s="201" t="s">
        <v>297</v>
      </c>
      <c r="H36" s="193"/>
      <c r="I36" s="194"/>
      <c r="J36" s="182"/>
      <c r="K36" s="193"/>
      <c r="L36" s="194"/>
      <c r="M36" s="182"/>
      <c r="N36" s="193"/>
      <c r="O36" s="194"/>
      <c r="P36" s="182"/>
      <c r="Q36" s="193"/>
      <c r="R36" s="194"/>
      <c r="S36" s="182"/>
      <c r="T36" s="182" t="s">
        <v>297</v>
      </c>
      <c r="U36" s="182" t="s">
        <v>297</v>
      </c>
    </row>
    <row r="37" spans="1:21" ht="15.6" x14ac:dyDescent="0.3">
      <c r="A37" s="195">
        <v>18</v>
      </c>
      <c r="B37" s="204" t="s">
        <v>320</v>
      </c>
      <c r="C37" s="201" t="s">
        <v>297</v>
      </c>
      <c r="D37" s="195">
        <v>18</v>
      </c>
      <c r="E37" s="204" t="s">
        <v>320</v>
      </c>
      <c r="F37" s="201" t="s">
        <v>297</v>
      </c>
      <c r="G37" s="201" t="s">
        <v>297</v>
      </c>
      <c r="H37" s="193"/>
      <c r="I37" s="194"/>
      <c r="J37" s="182"/>
      <c r="K37" s="193"/>
      <c r="L37" s="194"/>
      <c r="M37" s="182"/>
      <c r="N37" s="193"/>
      <c r="O37" s="194"/>
      <c r="P37" s="182"/>
      <c r="Q37" s="193"/>
      <c r="R37" s="194"/>
      <c r="S37" s="182"/>
      <c r="T37" s="182" t="s">
        <v>297</v>
      </c>
      <c r="U37" s="182" t="s">
        <v>297</v>
      </c>
    </row>
    <row r="38" spans="1:21" ht="15.6" x14ac:dyDescent="0.3">
      <c r="A38" s="195">
        <v>17</v>
      </c>
      <c r="B38" s="205"/>
      <c r="C38" s="201" t="s">
        <v>297</v>
      </c>
      <c r="D38" s="195">
        <v>17</v>
      </c>
      <c r="E38" s="205"/>
      <c r="F38" s="201" t="s">
        <v>297</v>
      </c>
      <c r="G38" s="201" t="s">
        <v>297</v>
      </c>
      <c r="H38" s="193"/>
      <c r="I38" s="194"/>
      <c r="J38" s="182"/>
      <c r="K38" s="193"/>
      <c r="L38" s="194"/>
      <c r="M38" s="182"/>
      <c r="N38" s="193"/>
      <c r="O38" s="194"/>
      <c r="P38" s="182"/>
      <c r="Q38" s="193"/>
      <c r="R38" s="194"/>
      <c r="S38" s="182"/>
      <c r="T38" s="182" t="s">
        <v>297</v>
      </c>
      <c r="U38" s="182" t="s">
        <v>297</v>
      </c>
    </row>
    <row r="39" spans="1:21" ht="15.6" x14ac:dyDescent="0.3">
      <c r="A39" s="195">
        <v>16</v>
      </c>
      <c r="B39" s="204" t="s">
        <v>321</v>
      </c>
      <c r="C39" s="201" t="s">
        <v>297</v>
      </c>
      <c r="D39" s="195">
        <v>16</v>
      </c>
      <c r="E39" s="204" t="s">
        <v>321</v>
      </c>
      <c r="F39" s="201" t="s">
        <v>297</v>
      </c>
      <c r="G39" s="201" t="s">
        <v>297</v>
      </c>
      <c r="H39" s="193"/>
      <c r="I39" s="194"/>
      <c r="J39" s="182"/>
      <c r="K39" s="193"/>
      <c r="L39" s="194"/>
      <c r="M39" s="182"/>
      <c r="N39" s="193"/>
      <c r="O39" s="194"/>
      <c r="P39" s="182"/>
      <c r="Q39" s="193"/>
      <c r="R39" s="194"/>
      <c r="S39" s="182"/>
      <c r="T39" s="182" t="s">
        <v>297</v>
      </c>
      <c r="U39" s="182" t="s">
        <v>297</v>
      </c>
    </row>
    <row r="40" spans="1:21" ht="15.6" x14ac:dyDescent="0.3">
      <c r="A40" s="195">
        <v>15</v>
      </c>
      <c r="B40" s="205"/>
      <c r="C40" s="201" t="s">
        <v>297</v>
      </c>
      <c r="D40" s="195">
        <v>15</v>
      </c>
      <c r="E40" s="205"/>
      <c r="F40" s="201" t="s">
        <v>297</v>
      </c>
      <c r="G40" s="201" t="s">
        <v>297</v>
      </c>
      <c r="H40" s="193"/>
      <c r="I40" s="194"/>
      <c r="J40" s="182"/>
      <c r="K40" s="193"/>
      <c r="L40" s="194"/>
      <c r="M40" s="182"/>
      <c r="N40" s="193"/>
      <c r="O40" s="194"/>
      <c r="P40" s="182"/>
      <c r="Q40" s="193"/>
      <c r="R40" s="194"/>
      <c r="S40" s="182"/>
      <c r="T40" s="182" t="s">
        <v>297</v>
      </c>
      <c r="U40" s="182" t="s">
        <v>297</v>
      </c>
    </row>
    <row r="41" spans="1:21" ht="15.6" x14ac:dyDescent="0.3">
      <c r="A41" s="195">
        <v>14</v>
      </c>
      <c r="B41" s="204" t="s">
        <v>322</v>
      </c>
      <c r="C41" s="201" t="s">
        <v>297</v>
      </c>
      <c r="D41" s="195">
        <v>14</v>
      </c>
      <c r="E41" s="204" t="s">
        <v>322</v>
      </c>
      <c r="F41" s="201" t="s">
        <v>297</v>
      </c>
      <c r="G41" s="201" t="s">
        <v>297</v>
      </c>
      <c r="H41" s="193"/>
      <c r="I41" s="194"/>
      <c r="J41" s="182"/>
      <c r="K41" s="193"/>
      <c r="L41" s="194"/>
      <c r="M41" s="182"/>
      <c r="N41" s="193"/>
      <c r="O41" s="194"/>
      <c r="P41" s="182"/>
      <c r="Q41" s="193"/>
      <c r="R41" s="194"/>
      <c r="S41" s="182"/>
      <c r="T41" s="182" t="s">
        <v>297</v>
      </c>
      <c r="U41" s="182" t="s">
        <v>297</v>
      </c>
    </row>
    <row r="42" spans="1:21" ht="15.6" x14ac:dyDescent="0.3">
      <c r="A42" s="195">
        <v>13</v>
      </c>
      <c r="B42" s="205"/>
      <c r="C42" s="201" t="s">
        <v>297</v>
      </c>
      <c r="D42" s="195">
        <v>13</v>
      </c>
      <c r="E42" s="205"/>
      <c r="F42" s="201" t="s">
        <v>297</v>
      </c>
      <c r="G42" s="201" t="s">
        <v>297</v>
      </c>
      <c r="H42" s="193"/>
      <c r="I42" s="194"/>
      <c r="J42" s="182"/>
      <c r="K42" s="193"/>
      <c r="L42" s="194"/>
      <c r="M42" s="182"/>
      <c r="N42" s="193"/>
      <c r="O42" s="194"/>
      <c r="P42" s="182"/>
      <c r="Q42" s="193"/>
      <c r="R42" s="194"/>
      <c r="S42" s="182"/>
      <c r="T42" s="182" t="s">
        <v>297</v>
      </c>
      <c r="U42" s="182" t="s">
        <v>297</v>
      </c>
    </row>
    <row r="43" spans="1:21" ht="15.6" x14ac:dyDescent="0.3">
      <c r="A43" s="195">
        <v>12</v>
      </c>
      <c r="B43" s="204" t="s">
        <v>323</v>
      </c>
      <c r="C43" s="201" t="s">
        <v>297</v>
      </c>
      <c r="D43" s="195">
        <v>12</v>
      </c>
      <c r="E43" s="204" t="s">
        <v>323</v>
      </c>
      <c r="F43" s="201" t="s">
        <v>297</v>
      </c>
      <c r="G43" s="201" t="s">
        <v>297</v>
      </c>
      <c r="H43" s="193"/>
      <c r="I43" s="194"/>
      <c r="J43" s="182"/>
      <c r="K43" s="193"/>
      <c r="L43" s="194"/>
      <c r="M43" s="182"/>
      <c r="N43" s="193"/>
      <c r="O43" s="194"/>
      <c r="P43" s="182"/>
      <c r="Q43" s="193"/>
      <c r="R43" s="194"/>
      <c r="S43" s="182"/>
      <c r="T43" s="182" t="s">
        <v>297</v>
      </c>
      <c r="U43" s="182" t="s">
        <v>297</v>
      </c>
    </row>
    <row r="44" spans="1:21" ht="15.6" x14ac:dyDescent="0.3">
      <c r="A44" s="195">
        <v>11</v>
      </c>
      <c r="B44" s="205"/>
      <c r="C44" s="201" t="s">
        <v>297</v>
      </c>
      <c r="D44" s="195">
        <v>11</v>
      </c>
      <c r="E44" s="205"/>
      <c r="F44" s="201" t="s">
        <v>297</v>
      </c>
      <c r="G44" s="201" t="s">
        <v>297</v>
      </c>
      <c r="H44" s="193"/>
      <c r="I44" s="194"/>
      <c r="J44" s="182"/>
      <c r="K44" s="193"/>
      <c r="L44" s="194"/>
      <c r="M44" s="182"/>
      <c r="N44" s="193"/>
      <c r="O44" s="194"/>
      <c r="P44" s="182"/>
      <c r="Q44" s="193"/>
      <c r="R44" s="194"/>
      <c r="S44" s="182"/>
      <c r="T44" s="182" t="s">
        <v>297</v>
      </c>
      <c r="U44" s="182" t="s">
        <v>297</v>
      </c>
    </row>
    <row r="45" spans="1:21" ht="15.6" x14ac:dyDescent="0.3">
      <c r="A45" s="195">
        <v>10</v>
      </c>
      <c r="B45" s="204" t="s">
        <v>324</v>
      </c>
      <c r="C45" s="201" t="s">
        <v>297</v>
      </c>
      <c r="D45" s="195">
        <v>10</v>
      </c>
      <c r="E45" s="204" t="s">
        <v>324</v>
      </c>
      <c r="F45" s="201" t="s">
        <v>297</v>
      </c>
      <c r="G45" s="201" t="s">
        <v>297</v>
      </c>
      <c r="H45" s="193"/>
      <c r="I45" s="194"/>
      <c r="J45" s="182"/>
      <c r="K45" s="193"/>
      <c r="L45" s="194"/>
      <c r="M45" s="182"/>
      <c r="N45" s="193"/>
      <c r="O45" s="194"/>
      <c r="P45" s="182"/>
      <c r="Q45" s="193"/>
      <c r="R45" s="194"/>
      <c r="S45" s="182"/>
      <c r="T45" s="182" t="s">
        <v>297</v>
      </c>
      <c r="U45" s="182" t="s">
        <v>297</v>
      </c>
    </row>
    <row r="46" spans="1:21" ht="15.6" x14ac:dyDescent="0.3">
      <c r="A46" s="195">
        <v>9</v>
      </c>
      <c r="B46" s="205"/>
      <c r="C46" s="201" t="s">
        <v>297</v>
      </c>
      <c r="D46" s="195">
        <v>9</v>
      </c>
      <c r="E46" s="205"/>
      <c r="F46" s="201" t="s">
        <v>297</v>
      </c>
      <c r="G46" s="201" t="s">
        <v>297</v>
      </c>
      <c r="H46" s="193"/>
      <c r="I46" s="194"/>
      <c r="J46" s="182"/>
      <c r="K46" s="193"/>
      <c r="L46" s="194"/>
      <c r="M46" s="182"/>
      <c r="N46" s="193"/>
      <c r="O46" s="194"/>
      <c r="P46" s="182"/>
      <c r="Q46" s="193"/>
      <c r="R46" s="194"/>
      <c r="S46" s="182"/>
      <c r="T46" s="182" t="s">
        <v>297</v>
      </c>
      <c r="U46" s="182" t="s">
        <v>297</v>
      </c>
    </row>
    <row r="47" spans="1:21" ht="15.6" x14ac:dyDescent="0.3">
      <c r="A47" s="195">
        <v>8</v>
      </c>
      <c r="B47" s="204" t="s">
        <v>325</v>
      </c>
      <c r="C47" s="201" t="s">
        <v>297</v>
      </c>
      <c r="D47" s="195">
        <v>8</v>
      </c>
      <c r="E47" s="204" t="s">
        <v>325</v>
      </c>
      <c r="F47" s="201" t="s">
        <v>297</v>
      </c>
      <c r="G47" s="201" t="s">
        <v>297</v>
      </c>
      <c r="H47" s="193"/>
      <c r="I47" s="194"/>
      <c r="J47" s="182"/>
      <c r="K47" s="193"/>
      <c r="L47" s="194"/>
      <c r="M47" s="182"/>
      <c r="N47" s="193"/>
      <c r="O47" s="194"/>
      <c r="P47" s="182"/>
      <c r="Q47" s="193"/>
      <c r="R47" s="194"/>
      <c r="S47" s="182"/>
      <c r="T47" s="182" t="s">
        <v>297</v>
      </c>
      <c r="U47" s="182" t="s">
        <v>297</v>
      </c>
    </row>
    <row r="48" spans="1:21" ht="15.6" x14ac:dyDescent="0.3">
      <c r="A48" s="195">
        <v>7</v>
      </c>
      <c r="B48" s="205"/>
      <c r="C48" s="201" t="s">
        <v>297</v>
      </c>
      <c r="D48" s="195">
        <v>7</v>
      </c>
      <c r="E48" s="205"/>
      <c r="F48" s="201" t="s">
        <v>297</v>
      </c>
      <c r="G48" s="201" t="s">
        <v>297</v>
      </c>
      <c r="H48" s="193"/>
      <c r="I48" s="194"/>
      <c r="J48" s="182"/>
      <c r="K48" s="193"/>
      <c r="L48" s="194"/>
      <c r="M48" s="182"/>
      <c r="N48" s="193"/>
      <c r="O48" s="194"/>
      <c r="P48" s="182"/>
      <c r="Q48" s="193"/>
      <c r="R48" s="194"/>
      <c r="S48" s="182"/>
      <c r="T48" s="182" t="s">
        <v>297</v>
      </c>
      <c r="U48" s="182" t="s">
        <v>297</v>
      </c>
    </row>
    <row r="49" spans="1:21" ht="15.6" x14ac:dyDescent="0.3">
      <c r="A49" s="195">
        <v>6</v>
      </c>
      <c r="B49" s="204" t="s">
        <v>326</v>
      </c>
      <c r="C49" s="201" t="s">
        <v>297</v>
      </c>
      <c r="D49" s="195">
        <v>6</v>
      </c>
      <c r="E49" s="204" t="s">
        <v>326</v>
      </c>
      <c r="F49" s="201" t="s">
        <v>297</v>
      </c>
      <c r="G49" s="201" t="s">
        <v>297</v>
      </c>
      <c r="H49" s="193"/>
      <c r="I49" s="194"/>
      <c r="J49" s="182"/>
      <c r="K49" s="193"/>
      <c r="L49" s="194"/>
      <c r="M49" s="182"/>
      <c r="N49" s="193"/>
      <c r="O49" s="194"/>
      <c r="P49" s="182"/>
      <c r="Q49" s="193"/>
      <c r="R49" s="194"/>
      <c r="S49" s="182"/>
      <c r="T49" s="182" t="s">
        <v>297</v>
      </c>
      <c r="U49" s="182" t="s">
        <v>297</v>
      </c>
    </row>
    <row r="50" spans="1:21" ht="15.6" x14ac:dyDescent="0.3">
      <c r="A50" s="195">
        <v>5</v>
      </c>
      <c r="B50" s="205"/>
      <c r="C50" s="201" t="s">
        <v>297</v>
      </c>
      <c r="D50" s="195">
        <v>5</v>
      </c>
      <c r="E50" s="205"/>
      <c r="F50" s="201" t="s">
        <v>297</v>
      </c>
      <c r="G50" s="201" t="s">
        <v>297</v>
      </c>
      <c r="H50" s="193"/>
      <c r="I50" s="194"/>
      <c r="J50" s="182"/>
      <c r="K50" s="193"/>
      <c r="L50" s="194"/>
      <c r="M50" s="182"/>
      <c r="N50" s="193"/>
      <c r="O50" s="194"/>
      <c r="P50" s="182"/>
      <c r="Q50" s="193"/>
      <c r="R50" s="194"/>
      <c r="S50" s="182"/>
      <c r="T50" s="182" t="s">
        <v>297</v>
      </c>
      <c r="U50" s="182" t="s">
        <v>297</v>
      </c>
    </row>
    <row r="51" spans="1:21" ht="15.6" x14ac:dyDescent="0.3">
      <c r="A51" s="195">
        <v>4</v>
      </c>
      <c r="B51" s="204" t="s">
        <v>327</v>
      </c>
      <c r="C51" s="201" t="s">
        <v>297</v>
      </c>
      <c r="D51" s="195">
        <v>4</v>
      </c>
      <c r="E51" s="204" t="s">
        <v>327</v>
      </c>
      <c r="F51" s="201" t="s">
        <v>297</v>
      </c>
      <c r="G51" s="201" t="s">
        <v>297</v>
      </c>
      <c r="H51" s="193"/>
      <c r="I51" s="194"/>
      <c r="J51" s="182"/>
      <c r="K51" s="193"/>
      <c r="L51" s="194"/>
      <c r="M51" s="182"/>
      <c r="N51" s="193"/>
      <c r="O51" s="194"/>
      <c r="P51" s="182"/>
      <c r="Q51" s="193"/>
      <c r="R51" s="194"/>
      <c r="S51" s="182"/>
      <c r="T51" s="182" t="s">
        <v>297</v>
      </c>
      <c r="U51" s="182" t="s">
        <v>297</v>
      </c>
    </row>
    <row r="52" spans="1:21" ht="15.6" x14ac:dyDescent="0.3">
      <c r="A52" s="195">
        <v>3</v>
      </c>
      <c r="B52" s="205"/>
      <c r="C52" s="201" t="s">
        <v>297</v>
      </c>
      <c r="D52" s="195">
        <v>3</v>
      </c>
      <c r="E52" s="205"/>
      <c r="F52" s="201" t="s">
        <v>297</v>
      </c>
      <c r="G52" s="201" t="s">
        <v>297</v>
      </c>
      <c r="H52" s="193"/>
      <c r="I52" s="194"/>
      <c r="J52" s="182"/>
      <c r="K52" s="193"/>
      <c r="L52" s="194"/>
      <c r="M52" s="182"/>
      <c r="N52" s="193"/>
      <c r="O52" s="194"/>
      <c r="P52" s="182"/>
      <c r="Q52" s="193"/>
      <c r="R52" s="194"/>
      <c r="S52" s="182"/>
      <c r="T52" s="182" t="s">
        <v>297</v>
      </c>
      <c r="U52" s="182" t="s">
        <v>297</v>
      </c>
    </row>
    <row r="53" spans="1:21" ht="15.6" x14ac:dyDescent="0.3">
      <c r="A53" s="195">
        <v>2</v>
      </c>
      <c r="B53" s="204" t="s">
        <v>328</v>
      </c>
      <c r="C53" s="201" t="s">
        <v>297</v>
      </c>
      <c r="D53" s="195">
        <v>2</v>
      </c>
      <c r="E53" s="204" t="s">
        <v>328</v>
      </c>
      <c r="F53" s="201" t="s">
        <v>297</v>
      </c>
      <c r="G53" s="201" t="s">
        <v>297</v>
      </c>
      <c r="H53" s="193"/>
      <c r="I53" s="194"/>
      <c r="J53" s="182"/>
      <c r="K53" s="193"/>
      <c r="L53" s="194"/>
      <c r="M53" s="182"/>
      <c r="N53" s="193"/>
      <c r="O53" s="194"/>
      <c r="P53" s="182"/>
      <c r="Q53" s="193"/>
      <c r="R53" s="194"/>
      <c r="S53" s="182"/>
      <c r="T53" s="182" t="s">
        <v>297</v>
      </c>
      <c r="U53" s="182" t="s">
        <v>297</v>
      </c>
    </row>
    <row r="54" spans="1:21" ht="15.6" x14ac:dyDescent="0.3">
      <c r="A54" s="195">
        <v>1</v>
      </c>
      <c r="B54" s="207"/>
      <c r="C54" s="201" t="s">
        <v>297</v>
      </c>
      <c r="D54" s="195">
        <v>1</v>
      </c>
      <c r="E54" s="207"/>
      <c r="F54" s="201" t="s">
        <v>297</v>
      </c>
      <c r="G54" s="201" t="s">
        <v>297</v>
      </c>
      <c r="H54" s="193"/>
      <c r="I54" s="208"/>
      <c r="J54" s="182"/>
      <c r="K54" s="193"/>
      <c r="L54" s="208"/>
      <c r="M54" s="182"/>
      <c r="N54" s="193"/>
      <c r="O54" s="208"/>
      <c r="P54" s="182"/>
      <c r="Q54" s="193"/>
      <c r="R54" s="208"/>
      <c r="S54" s="182"/>
      <c r="T54" s="182" t="s">
        <v>297</v>
      </c>
      <c r="U54" s="182" t="s">
        <v>297</v>
      </c>
    </row>
    <row r="55" spans="1:21" x14ac:dyDescent="0.3">
      <c r="A55" s="182" t="s">
        <v>297</v>
      </c>
      <c r="B55" s="209" t="s">
        <v>297</v>
      </c>
      <c r="C55" s="209" t="s">
        <v>297</v>
      </c>
      <c r="D55" s="209" t="s">
        <v>297</v>
      </c>
      <c r="E55" s="209" t="s">
        <v>297</v>
      </c>
      <c r="F55" s="209" t="s">
        <v>297</v>
      </c>
      <c r="G55" s="209" t="s">
        <v>297</v>
      </c>
      <c r="H55" s="210"/>
      <c r="I55" s="210"/>
      <c r="J55" s="182"/>
      <c r="K55" s="210"/>
      <c r="L55" s="210"/>
      <c r="M55" s="182"/>
      <c r="N55" s="210"/>
      <c r="O55" s="210"/>
      <c r="P55" s="182"/>
      <c r="Q55" s="210"/>
      <c r="R55" s="210"/>
      <c r="S55" s="182"/>
      <c r="T55" s="182" t="s">
        <v>297</v>
      </c>
      <c r="U55" s="182" t="s">
        <v>297</v>
      </c>
    </row>
    <row r="56" spans="1:21" x14ac:dyDescent="0.3">
      <c r="A56" s="182" t="s">
        <v>297</v>
      </c>
      <c r="B56" s="209" t="s">
        <v>297</v>
      </c>
      <c r="C56" s="209" t="s">
        <v>297</v>
      </c>
      <c r="D56" s="209" t="s">
        <v>297</v>
      </c>
      <c r="E56" s="209" t="s">
        <v>297</v>
      </c>
      <c r="F56" s="209" t="s">
        <v>297</v>
      </c>
      <c r="G56" s="209" t="s">
        <v>297</v>
      </c>
      <c r="H56" s="210"/>
      <c r="I56" s="210"/>
      <c r="J56" s="182"/>
      <c r="K56" s="210"/>
      <c r="L56" s="210"/>
      <c r="M56" s="182"/>
      <c r="N56" s="210"/>
      <c r="O56" s="210"/>
      <c r="P56" s="182"/>
      <c r="Q56" s="210"/>
      <c r="R56" s="210"/>
      <c r="S56" s="182"/>
      <c r="T56" s="182" t="s">
        <v>297</v>
      </c>
      <c r="U56" s="182" t="s">
        <v>297</v>
      </c>
    </row>
    <row r="57" spans="1:21" ht="21" x14ac:dyDescent="0.4">
      <c r="A57" s="189" t="s">
        <v>297</v>
      </c>
      <c r="B57" s="211" t="s">
        <v>301</v>
      </c>
      <c r="C57" s="211" t="s">
        <v>297</v>
      </c>
      <c r="D57" s="211" t="s">
        <v>297</v>
      </c>
      <c r="E57" s="211" t="s">
        <v>302</v>
      </c>
      <c r="F57" s="211" t="s">
        <v>297</v>
      </c>
      <c r="G57" s="211" t="s">
        <v>297</v>
      </c>
      <c r="H57" s="212"/>
      <c r="I57" s="212"/>
      <c r="J57" s="189"/>
      <c r="K57" s="212"/>
      <c r="L57" s="212"/>
      <c r="M57" s="189"/>
      <c r="N57" s="212"/>
      <c r="O57" s="212"/>
      <c r="P57" s="189"/>
      <c r="Q57" s="212"/>
      <c r="R57" s="212"/>
      <c r="S57" s="189"/>
      <c r="T57" s="213" t="s">
        <v>297</v>
      </c>
      <c r="U57" s="213" t="s">
        <v>297</v>
      </c>
    </row>
    <row r="58" spans="1:21" ht="18" x14ac:dyDescent="0.35">
      <c r="A58" s="213" t="s">
        <v>297</v>
      </c>
      <c r="B58" s="214">
        <f>B61*$W$73+B62*$W$74+B63*$W$75</f>
        <v>0</v>
      </c>
      <c r="C58" s="215" t="s">
        <v>297</v>
      </c>
      <c r="D58" s="215" t="s">
        <v>297</v>
      </c>
      <c r="E58" s="214">
        <f>E61*$W$73+E62*$W$74+E63*$W$75</f>
        <v>0</v>
      </c>
      <c r="F58" s="215" t="s">
        <v>297</v>
      </c>
      <c r="G58" s="215" t="s">
        <v>297</v>
      </c>
      <c r="H58" s="216"/>
      <c r="I58" s="216"/>
      <c r="J58" s="213"/>
      <c r="K58" s="216"/>
      <c r="L58" s="216"/>
      <c r="M58" s="213"/>
      <c r="N58" s="216"/>
      <c r="O58" s="216"/>
      <c r="P58" s="213"/>
      <c r="Q58" s="216"/>
      <c r="R58" s="216"/>
      <c r="S58" s="213"/>
      <c r="T58" s="217" t="s">
        <v>329</v>
      </c>
      <c r="U58" s="218">
        <f t="shared" ref="U58:U68" si="0">SUM(B58:R58)</f>
        <v>0</v>
      </c>
    </row>
    <row r="59" spans="1:21" ht="18" x14ac:dyDescent="0.35">
      <c r="A59" s="213" t="s">
        <v>297</v>
      </c>
      <c r="B59" s="219">
        <f>B61*$W$73+B62*$W$74+B63*$W$76</f>
        <v>0</v>
      </c>
      <c r="C59" s="215" t="s">
        <v>297</v>
      </c>
      <c r="D59" s="215" t="s">
        <v>297</v>
      </c>
      <c r="E59" s="219">
        <f>E61*$W$73+E62*$W$74+E63*$W$76</f>
        <v>0</v>
      </c>
      <c r="F59" s="215" t="s">
        <v>297</v>
      </c>
      <c r="G59" s="215" t="s">
        <v>297</v>
      </c>
      <c r="H59" s="216"/>
      <c r="I59" s="216"/>
      <c r="J59" s="213"/>
      <c r="K59" s="216"/>
      <c r="L59" s="216"/>
      <c r="M59" s="213"/>
      <c r="N59" s="216"/>
      <c r="O59" s="216"/>
      <c r="P59" s="213"/>
      <c r="Q59" s="216"/>
      <c r="R59" s="216"/>
      <c r="S59" s="213"/>
      <c r="T59" s="220" t="s">
        <v>330</v>
      </c>
      <c r="U59" s="218">
        <f t="shared" si="0"/>
        <v>0</v>
      </c>
    </row>
    <row r="60" spans="1:21" ht="18" x14ac:dyDescent="0.35">
      <c r="A60" s="213"/>
      <c r="B60" s="219">
        <f>'[1]L11 BOM Storage'!$D$15</f>
        <v>0</v>
      </c>
      <c r="C60" s="215"/>
      <c r="D60" s="215"/>
      <c r="E60" s="219">
        <f>'[1]L11 BOM Storage'!$D$15</f>
        <v>0</v>
      </c>
      <c r="F60" s="215"/>
      <c r="G60" s="215"/>
      <c r="H60" s="216"/>
      <c r="I60" s="216"/>
      <c r="J60" s="213"/>
      <c r="K60" s="216"/>
      <c r="L60" s="216"/>
      <c r="M60" s="213"/>
      <c r="N60" s="216"/>
      <c r="O60" s="216"/>
      <c r="P60" s="213"/>
      <c r="Q60" s="216"/>
      <c r="R60" s="216"/>
      <c r="S60" s="213"/>
      <c r="T60" s="220" t="s">
        <v>331</v>
      </c>
      <c r="U60" s="218">
        <f t="shared" si="0"/>
        <v>0</v>
      </c>
    </row>
    <row r="61" spans="1:21" ht="18" x14ac:dyDescent="0.35">
      <c r="A61" s="213" t="s">
        <v>297</v>
      </c>
      <c r="B61" s="221">
        <v>1</v>
      </c>
      <c r="C61" s="215" t="s">
        <v>297</v>
      </c>
      <c r="D61" s="215" t="s">
        <v>297</v>
      </c>
      <c r="E61" s="221">
        <v>1</v>
      </c>
      <c r="F61" s="215" t="s">
        <v>297</v>
      </c>
      <c r="G61" s="215" t="s">
        <v>297</v>
      </c>
      <c r="H61" s="216"/>
      <c r="I61" s="216"/>
      <c r="J61" s="213"/>
      <c r="K61" s="216"/>
      <c r="L61" s="216"/>
      <c r="M61" s="213"/>
      <c r="N61" s="216"/>
      <c r="O61" s="216"/>
      <c r="P61" s="213"/>
      <c r="Q61" s="216"/>
      <c r="R61" s="216"/>
      <c r="S61" s="213"/>
      <c r="T61" s="220" t="s">
        <v>72</v>
      </c>
      <c r="U61" s="218">
        <f t="shared" si="0"/>
        <v>2</v>
      </c>
    </row>
    <row r="62" spans="1:21" ht="18" x14ac:dyDescent="0.35">
      <c r="A62" s="213" t="s">
        <v>297</v>
      </c>
      <c r="B62" s="221">
        <v>1</v>
      </c>
      <c r="C62" s="215" t="s">
        <v>297</v>
      </c>
      <c r="D62" s="215" t="s">
        <v>297</v>
      </c>
      <c r="E62" s="221">
        <v>1</v>
      </c>
      <c r="F62" s="215" t="s">
        <v>297</v>
      </c>
      <c r="G62" s="215" t="s">
        <v>297</v>
      </c>
      <c r="H62" s="216"/>
      <c r="I62" s="216"/>
      <c r="J62" s="213"/>
      <c r="K62" s="216"/>
      <c r="L62" s="216"/>
      <c r="M62" s="213"/>
      <c r="N62" s="216"/>
      <c r="O62" s="216"/>
      <c r="P62" s="213"/>
      <c r="Q62" s="216"/>
      <c r="R62" s="216"/>
      <c r="S62" s="213"/>
      <c r="T62" s="220" t="s">
        <v>332</v>
      </c>
      <c r="U62" s="222">
        <v>6</v>
      </c>
    </row>
    <row r="63" spans="1:21" ht="18" x14ac:dyDescent="0.35">
      <c r="A63" s="213" t="s">
        <v>297</v>
      </c>
      <c r="B63" s="221">
        <v>22</v>
      </c>
      <c r="C63" s="215" t="s">
        <v>297</v>
      </c>
      <c r="D63" s="215" t="s">
        <v>297</v>
      </c>
      <c r="E63" s="221">
        <v>22</v>
      </c>
      <c r="F63" s="215" t="s">
        <v>297</v>
      </c>
      <c r="G63" s="215" t="s">
        <v>297</v>
      </c>
      <c r="H63" s="216"/>
      <c r="I63" s="216"/>
      <c r="J63" s="213"/>
      <c r="K63" s="216"/>
      <c r="L63" s="216"/>
      <c r="M63" s="213"/>
      <c r="N63" s="216"/>
      <c r="O63" s="216"/>
      <c r="P63" s="213"/>
      <c r="Q63" s="216"/>
      <c r="R63" s="216"/>
      <c r="S63" s="213"/>
      <c r="T63" s="220" t="s">
        <v>333</v>
      </c>
      <c r="U63" s="218">
        <f t="shared" si="0"/>
        <v>44</v>
      </c>
    </row>
    <row r="64" spans="1:21" ht="18" x14ac:dyDescent="0.35">
      <c r="A64" s="213"/>
      <c r="B64" s="221">
        <v>1</v>
      </c>
      <c r="C64" s="215"/>
      <c r="D64" s="215"/>
      <c r="E64" s="221">
        <v>1</v>
      </c>
      <c r="F64" s="215"/>
      <c r="G64" s="215"/>
      <c r="H64" s="216"/>
      <c r="I64" s="216"/>
      <c r="J64" s="213"/>
      <c r="K64" s="216"/>
      <c r="L64" s="216"/>
      <c r="M64" s="213"/>
      <c r="N64" s="216"/>
      <c r="O64" s="216"/>
      <c r="P64" s="213"/>
      <c r="Q64" s="216"/>
      <c r="R64" s="216"/>
      <c r="S64" s="213"/>
      <c r="T64" s="220" t="s">
        <v>334</v>
      </c>
      <c r="U64" s="218">
        <f t="shared" si="0"/>
        <v>2</v>
      </c>
    </row>
    <row r="65" spans="1:21" ht="18" x14ac:dyDescent="0.35">
      <c r="A65" s="213" t="s">
        <v>297</v>
      </c>
      <c r="B65" s="219">
        <f>B63*2</f>
        <v>44</v>
      </c>
      <c r="C65" s="215" t="s">
        <v>297</v>
      </c>
      <c r="D65" s="215" t="s">
        <v>297</v>
      </c>
      <c r="E65" s="219">
        <f>E63*2</f>
        <v>44</v>
      </c>
      <c r="F65" s="215" t="s">
        <v>297</v>
      </c>
      <c r="G65" s="215" t="s">
        <v>297</v>
      </c>
      <c r="H65" s="216"/>
      <c r="I65" s="216"/>
      <c r="J65" s="213"/>
      <c r="K65" s="216"/>
      <c r="L65" s="216"/>
      <c r="M65" s="213"/>
      <c r="N65" s="216"/>
      <c r="O65" s="216"/>
      <c r="P65" s="213"/>
      <c r="Q65" s="216"/>
      <c r="R65" s="216"/>
      <c r="S65" s="213"/>
      <c r="T65" s="220" t="s">
        <v>335</v>
      </c>
      <c r="U65" s="218">
        <f t="shared" si="0"/>
        <v>88</v>
      </c>
    </row>
    <row r="66" spans="1:21" ht="18" x14ac:dyDescent="0.35">
      <c r="A66" s="213"/>
      <c r="B66" s="219">
        <f>B63*2</f>
        <v>44</v>
      </c>
      <c r="C66" s="215"/>
      <c r="D66" s="215"/>
      <c r="E66" s="219">
        <f>E63*2</f>
        <v>44</v>
      </c>
      <c r="F66" s="215"/>
      <c r="G66" s="215"/>
      <c r="H66" s="216"/>
      <c r="I66" s="216"/>
      <c r="J66" s="213"/>
      <c r="K66" s="216"/>
      <c r="L66" s="216"/>
      <c r="M66" s="213"/>
      <c r="N66" s="216"/>
      <c r="O66" s="216"/>
      <c r="P66" s="213"/>
      <c r="Q66" s="216"/>
      <c r="R66" s="216"/>
      <c r="S66" s="213"/>
      <c r="T66" s="220" t="s">
        <v>336</v>
      </c>
      <c r="U66" s="218">
        <f t="shared" si="0"/>
        <v>88</v>
      </c>
    </row>
    <row r="67" spans="1:21" ht="18" x14ac:dyDescent="0.35">
      <c r="A67" s="213" t="s">
        <v>297</v>
      </c>
      <c r="B67" s="219">
        <f>B63</f>
        <v>22</v>
      </c>
      <c r="C67" s="215" t="s">
        <v>297</v>
      </c>
      <c r="D67" s="215" t="s">
        <v>297</v>
      </c>
      <c r="E67" s="219">
        <f>E63</f>
        <v>22</v>
      </c>
      <c r="F67" s="215" t="s">
        <v>297</v>
      </c>
      <c r="G67" s="215" t="s">
        <v>297</v>
      </c>
      <c r="H67" s="216"/>
      <c r="I67" s="216"/>
      <c r="J67" s="213"/>
      <c r="K67" s="216"/>
      <c r="L67" s="216"/>
      <c r="M67" s="213"/>
      <c r="N67" s="216"/>
      <c r="O67" s="216"/>
      <c r="P67" s="213"/>
      <c r="Q67" s="216"/>
      <c r="R67" s="216"/>
      <c r="S67" s="213"/>
      <c r="T67" s="220" t="s">
        <v>337</v>
      </c>
      <c r="U67" s="218">
        <f t="shared" si="0"/>
        <v>44</v>
      </c>
    </row>
    <row r="68" spans="1:21" ht="18" x14ac:dyDescent="0.35">
      <c r="A68" s="213" t="s">
        <v>297</v>
      </c>
      <c r="B68" s="223">
        <f>B63*'[1]L10 BOM Storage'!$E$11*'[1]L10 BOM Storage'!$C$23</f>
        <v>8110.08</v>
      </c>
      <c r="C68" s="215" t="s">
        <v>297</v>
      </c>
      <c r="D68" s="215" t="s">
        <v>297</v>
      </c>
      <c r="E68" s="223">
        <f>E63*'[1]L10 BOM Storage'!$E$11*'[1]L10 BOM Storage'!$C$23</f>
        <v>8110.08</v>
      </c>
      <c r="F68" s="215" t="s">
        <v>297</v>
      </c>
      <c r="G68" s="215" t="s">
        <v>297</v>
      </c>
      <c r="H68" s="216"/>
      <c r="I68" s="224"/>
      <c r="J68" s="213"/>
      <c r="K68" s="216"/>
      <c r="L68" s="224"/>
      <c r="M68" s="213"/>
      <c r="N68" s="216"/>
      <c r="O68" s="224"/>
      <c r="P68" s="213"/>
      <c r="Q68" s="216"/>
      <c r="R68" s="224"/>
      <c r="S68" s="213"/>
      <c r="T68" s="220" t="s">
        <v>338</v>
      </c>
      <c r="U68" s="218">
        <f t="shared" si="0"/>
        <v>16220.16</v>
      </c>
    </row>
    <row r="69" spans="1:21" ht="15.6" x14ac:dyDescent="0.3">
      <c r="A69" s="182" t="s">
        <v>297</v>
      </c>
      <c r="B69" s="183" t="s">
        <v>297</v>
      </c>
      <c r="C69" s="182" t="s">
        <v>297</v>
      </c>
      <c r="D69" s="182" t="s">
        <v>297</v>
      </c>
      <c r="E69" s="182" t="s">
        <v>297</v>
      </c>
      <c r="F69" s="182" t="s">
        <v>297</v>
      </c>
      <c r="G69" s="182" t="s">
        <v>297</v>
      </c>
      <c r="H69" s="188"/>
      <c r="I69" s="188"/>
      <c r="J69" s="182"/>
      <c r="K69" s="188"/>
      <c r="L69" s="188"/>
      <c r="M69" s="182"/>
      <c r="N69" s="188"/>
      <c r="O69" s="188"/>
      <c r="P69" s="182"/>
      <c r="Q69" s="188"/>
      <c r="R69" s="188"/>
      <c r="S69" s="182"/>
      <c r="T69" s="182" t="s">
        <v>297</v>
      </c>
      <c r="U69" s="182" t="s">
        <v>297</v>
      </c>
    </row>
    <row r="70" spans="1:21" ht="15.6" x14ac:dyDescent="0.3">
      <c r="A70" s="182" t="s">
        <v>297</v>
      </c>
      <c r="B70" s="183" t="s">
        <v>297</v>
      </c>
      <c r="C70" s="182" t="s">
        <v>297</v>
      </c>
      <c r="D70" s="182" t="s">
        <v>297</v>
      </c>
      <c r="E70" s="182" t="s">
        <v>297</v>
      </c>
      <c r="F70" s="182" t="s">
        <v>297</v>
      </c>
      <c r="G70" s="182" t="s">
        <v>297</v>
      </c>
      <c r="H70" s="188"/>
      <c r="I70" s="188"/>
      <c r="J70" s="182"/>
      <c r="K70" s="188"/>
      <c r="L70" s="188"/>
      <c r="M70" s="182"/>
      <c r="N70" s="188"/>
      <c r="O70" s="188"/>
      <c r="P70" s="182"/>
      <c r="Q70" s="188"/>
      <c r="R70" s="188"/>
      <c r="S70" s="182"/>
      <c r="T70" s="182" t="s">
        <v>297</v>
      </c>
      <c r="U70" s="182" t="s">
        <v>297</v>
      </c>
    </row>
    <row r="71" spans="1:21" x14ac:dyDescent="0.3">
      <c r="H71" s="188"/>
      <c r="I71" s="188"/>
      <c r="J71" s="182"/>
      <c r="K71" s="188"/>
      <c r="L71" s="188"/>
      <c r="M71" s="182"/>
      <c r="N71" s="188"/>
      <c r="O71" s="188"/>
      <c r="P71" s="182"/>
      <c r="Q71" s="188"/>
      <c r="R71" s="188"/>
      <c r="S71" s="182"/>
      <c r="T71" s="225" t="s">
        <v>339</v>
      </c>
      <c r="U71" s="225"/>
    </row>
    <row r="72" spans="1:21" ht="15.6" x14ac:dyDescent="0.3">
      <c r="A72" s="182" t="s">
        <v>297</v>
      </c>
      <c r="B72" s="183" t="s">
        <v>297</v>
      </c>
      <c r="C72" s="182" t="s">
        <v>297</v>
      </c>
      <c r="D72" s="182" t="s">
        <v>297</v>
      </c>
      <c r="E72" s="182" t="s">
        <v>297</v>
      </c>
      <c r="F72" s="182" t="s">
        <v>297</v>
      </c>
      <c r="G72" s="182" t="s">
        <v>297</v>
      </c>
      <c r="H72" s="182" t="s">
        <v>297</v>
      </c>
      <c r="I72" s="182" t="s">
        <v>297</v>
      </c>
      <c r="J72" s="182"/>
      <c r="K72" s="182" t="s">
        <v>297</v>
      </c>
      <c r="L72" s="182" t="s">
        <v>297</v>
      </c>
      <c r="M72" s="182"/>
      <c r="N72" s="182" t="s">
        <v>297</v>
      </c>
      <c r="O72" s="182" t="s">
        <v>297</v>
      </c>
      <c r="P72" s="182"/>
      <c r="Q72" s="182" t="s">
        <v>297</v>
      </c>
      <c r="R72" s="182" t="s">
        <v>297</v>
      </c>
      <c r="S72" s="182"/>
      <c r="T72" s="225" t="s">
        <v>340</v>
      </c>
      <c r="U72" s="225" t="s">
        <v>341</v>
      </c>
    </row>
    <row r="73" spans="1:21" ht="15.6" x14ac:dyDescent="0.3">
      <c r="A73" s="182" t="s">
        <v>297</v>
      </c>
      <c r="B73" s="183" t="s">
        <v>297</v>
      </c>
      <c r="C73" s="182" t="s">
        <v>297</v>
      </c>
      <c r="D73" s="182" t="s">
        <v>297</v>
      </c>
      <c r="E73" s="182" t="s">
        <v>297</v>
      </c>
      <c r="F73" s="182" t="s">
        <v>297</v>
      </c>
      <c r="G73" s="182" t="s">
        <v>297</v>
      </c>
      <c r="H73" s="182" t="s">
        <v>297</v>
      </c>
      <c r="I73" s="182" t="s">
        <v>297</v>
      </c>
      <c r="J73" s="182"/>
      <c r="K73" s="182" t="s">
        <v>297</v>
      </c>
      <c r="L73" s="182" t="s">
        <v>297</v>
      </c>
      <c r="M73" s="182"/>
      <c r="N73" s="182" t="s">
        <v>297</v>
      </c>
      <c r="O73" s="182" t="s">
        <v>297</v>
      </c>
      <c r="P73" s="182"/>
      <c r="Q73" s="182" t="s">
        <v>297</v>
      </c>
      <c r="R73" s="182" t="s">
        <v>297</v>
      </c>
      <c r="S73" s="182"/>
      <c r="T73" s="226" t="s">
        <v>304</v>
      </c>
      <c r="U73" s="227">
        <v>220</v>
      </c>
    </row>
    <row r="74" spans="1:21" ht="15.6" x14ac:dyDescent="0.3">
      <c r="A74" s="182" t="s">
        <v>297</v>
      </c>
      <c r="B74" s="183" t="s">
        <v>297</v>
      </c>
      <c r="C74" s="182" t="s">
        <v>297</v>
      </c>
      <c r="D74" s="182" t="s">
        <v>297</v>
      </c>
      <c r="E74" s="182" t="s">
        <v>297</v>
      </c>
      <c r="F74" s="182" t="s">
        <v>297</v>
      </c>
      <c r="G74" s="182" t="s">
        <v>297</v>
      </c>
      <c r="H74" s="182" t="s">
        <v>297</v>
      </c>
      <c r="I74" s="182" t="s">
        <v>297</v>
      </c>
      <c r="J74" s="182"/>
      <c r="K74" s="182" t="s">
        <v>297</v>
      </c>
      <c r="L74" s="182" t="s">
        <v>297</v>
      </c>
      <c r="M74" s="182"/>
      <c r="N74" s="182" t="s">
        <v>297</v>
      </c>
      <c r="O74" s="182" t="s">
        <v>297</v>
      </c>
      <c r="P74" s="182"/>
      <c r="Q74" s="182" t="s">
        <v>297</v>
      </c>
      <c r="R74" s="182" t="s">
        <v>297</v>
      </c>
      <c r="S74" s="182"/>
      <c r="T74" s="228" t="s">
        <v>306</v>
      </c>
      <c r="U74" s="229">
        <v>2080</v>
      </c>
    </row>
    <row r="75" spans="1:21" ht="15.6" x14ac:dyDescent="0.3">
      <c r="A75" s="182" t="s">
        <v>297</v>
      </c>
      <c r="B75" s="183" t="s">
        <v>297</v>
      </c>
      <c r="C75" s="182" t="s">
        <v>297</v>
      </c>
      <c r="D75" s="182" t="s">
        <v>297</v>
      </c>
      <c r="E75" s="182" t="s">
        <v>297</v>
      </c>
      <c r="F75" s="182" t="s">
        <v>297</v>
      </c>
      <c r="G75" s="182" t="s">
        <v>297</v>
      </c>
      <c r="H75" s="182" t="s">
        <v>297</v>
      </c>
      <c r="I75" s="182" t="s">
        <v>297</v>
      </c>
      <c r="J75" s="182"/>
      <c r="K75" s="182" t="s">
        <v>297</v>
      </c>
      <c r="L75" s="182" t="s">
        <v>297</v>
      </c>
      <c r="M75" s="182"/>
      <c r="N75" s="182" t="s">
        <v>297</v>
      </c>
      <c r="O75" s="182" t="s">
        <v>297</v>
      </c>
      <c r="P75" s="182"/>
      <c r="Q75" s="182" t="s">
        <v>297</v>
      </c>
      <c r="R75" s="182" t="s">
        <v>297</v>
      </c>
      <c r="S75" s="182"/>
      <c r="T75" s="230" t="s">
        <v>342</v>
      </c>
      <c r="U75" s="231">
        <v>1816</v>
      </c>
    </row>
    <row r="76" spans="1:21" x14ac:dyDescent="0.3">
      <c r="A76" s="182" t="s">
        <v>297</v>
      </c>
      <c r="B76" s="182" t="s">
        <v>297</v>
      </c>
      <c r="C76" s="182" t="s">
        <v>297</v>
      </c>
      <c r="D76" s="182" t="s">
        <v>297</v>
      </c>
      <c r="E76" s="182" t="s">
        <v>297</v>
      </c>
      <c r="F76" s="182" t="s">
        <v>297</v>
      </c>
      <c r="G76" s="182" t="s">
        <v>297</v>
      </c>
      <c r="H76" s="182" t="s">
        <v>297</v>
      </c>
      <c r="I76" s="182" t="s">
        <v>297</v>
      </c>
      <c r="J76" s="182"/>
      <c r="K76" s="182" t="s">
        <v>297</v>
      </c>
      <c r="L76" s="182" t="s">
        <v>297</v>
      </c>
      <c r="M76" s="182"/>
      <c r="N76" s="182" t="s">
        <v>297</v>
      </c>
      <c r="O76" s="182" t="s">
        <v>297</v>
      </c>
      <c r="P76" s="182"/>
      <c r="Q76" s="182" t="s">
        <v>297</v>
      </c>
      <c r="R76" s="182" t="s">
        <v>297</v>
      </c>
      <c r="S76" s="182"/>
      <c r="T76" s="230" t="s">
        <v>343</v>
      </c>
      <c r="U76" s="231">
        <v>1513</v>
      </c>
    </row>
    <row r="77" spans="1:21" x14ac:dyDescent="0.3">
      <c r="A77" s="182" t="s">
        <v>297</v>
      </c>
      <c r="B77" s="182" t="s">
        <v>297</v>
      </c>
      <c r="C77" s="182" t="s">
        <v>297</v>
      </c>
      <c r="D77" s="182" t="s">
        <v>297</v>
      </c>
      <c r="E77" s="182" t="s">
        <v>297</v>
      </c>
      <c r="F77" s="182" t="s">
        <v>297</v>
      </c>
      <c r="G77" s="182" t="s">
        <v>297</v>
      </c>
      <c r="H77" s="182" t="s">
        <v>297</v>
      </c>
      <c r="I77" s="182" t="s">
        <v>297</v>
      </c>
      <c r="J77" s="182"/>
      <c r="K77" s="182" t="s">
        <v>297</v>
      </c>
      <c r="L77" s="182" t="s">
        <v>297</v>
      </c>
      <c r="M77" s="182"/>
      <c r="N77" s="182" t="s">
        <v>297</v>
      </c>
      <c r="O77" s="182" t="s">
        <v>297</v>
      </c>
      <c r="P77" s="182"/>
      <c r="Q77" s="182" t="s">
        <v>297</v>
      </c>
      <c r="R77" s="182" t="s">
        <v>297</v>
      </c>
      <c r="S77" s="182"/>
      <c r="T77" s="182" t="s">
        <v>297</v>
      </c>
      <c r="U77" s="182" t="s">
        <v>297</v>
      </c>
    </row>
    <row r="78" spans="1:21" x14ac:dyDescent="0.3">
      <c r="A78" s="182" t="s">
        <v>297</v>
      </c>
      <c r="B78" s="182" t="s">
        <v>297</v>
      </c>
      <c r="C78" s="182" t="s">
        <v>297</v>
      </c>
      <c r="D78" s="182" t="s">
        <v>297</v>
      </c>
      <c r="E78" s="182" t="s">
        <v>297</v>
      </c>
      <c r="F78" s="182" t="s">
        <v>297</v>
      </c>
      <c r="G78" s="182" t="s">
        <v>297</v>
      </c>
      <c r="H78" s="182" t="s">
        <v>297</v>
      </c>
      <c r="I78" s="182" t="s">
        <v>297</v>
      </c>
      <c r="J78" s="182"/>
      <c r="K78" s="182" t="s">
        <v>297</v>
      </c>
      <c r="L78" s="182" t="s">
        <v>297</v>
      </c>
      <c r="M78" s="182"/>
      <c r="N78" s="182" t="s">
        <v>297</v>
      </c>
      <c r="O78" s="182" t="s">
        <v>297</v>
      </c>
      <c r="P78" s="182"/>
      <c r="Q78" s="182" t="s">
        <v>297</v>
      </c>
      <c r="R78" s="182" t="s">
        <v>297</v>
      </c>
      <c r="S78" s="182"/>
      <c r="T78" s="182" t="s">
        <v>297</v>
      </c>
      <c r="U78" s="182" t="s">
        <v>297</v>
      </c>
    </row>
    <row r="79" spans="1:21" x14ac:dyDescent="0.3">
      <c r="A79" s="182" t="s">
        <v>297</v>
      </c>
      <c r="B79" s="182" t="s">
        <v>297</v>
      </c>
      <c r="C79" s="182" t="s">
        <v>297</v>
      </c>
      <c r="D79" s="182" t="s">
        <v>297</v>
      </c>
      <c r="E79" s="182" t="s">
        <v>297</v>
      </c>
      <c r="F79" s="182" t="s">
        <v>297</v>
      </c>
      <c r="G79" s="182" t="s">
        <v>297</v>
      </c>
      <c r="H79" s="182" t="s">
        <v>297</v>
      </c>
      <c r="I79" s="182" t="s">
        <v>297</v>
      </c>
      <c r="J79" s="182"/>
      <c r="K79" s="182" t="s">
        <v>297</v>
      </c>
      <c r="L79" s="182" t="s">
        <v>297</v>
      </c>
      <c r="M79" s="182"/>
      <c r="N79" s="182" t="s">
        <v>297</v>
      </c>
      <c r="O79" s="182" t="s">
        <v>297</v>
      </c>
      <c r="P79" s="182"/>
      <c r="Q79" s="182" t="s">
        <v>297</v>
      </c>
      <c r="R79" s="182" t="s">
        <v>297</v>
      </c>
      <c r="S79" s="182"/>
      <c r="T79" s="182" t="s">
        <v>297</v>
      </c>
      <c r="U79" s="182" t="s">
        <v>297</v>
      </c>
    </row>
    <row r="80" spans="1:21" x14ac:dyDescent="0.3">
      <c r="A80" s="182" t="s">
        <v>297</v>
      </c>
      <c r="B80" s="182" t="s">
        <v>297</v>
      </c>
      <c r="C80" s="182" t="s">
        <v>297</v>
      </c>
      <c r="D80" s="182" t="s">
        <v>297</v>
      </c>
      <c r="E80" s="182" t="s">
        <v>297</v>
      </c>
      <c r="F80" s="182" t="s">
        <v>297</v>
      </c>
      <c r="G80" s="182" t="s">
        <v>297</v>
      </c>
      <c r="H80" s="182" t="s">
        <v>297</v>
      </c>
      <c r="I80" s="182" t="s">
        <v>297</v>
      </c>
      <c r="J80" s="182"/>
      <c r="K80" s="182" t="s">
        <v>297</v>
      </c>
      <c r="L80" s="182" t="s">
        <v>297</v>
      </c>
      <c r="M80" s="182"/>
      <c r="N80" s="182" t="s">
        <v>297</v>
      </c>
      <c r="O80" s="182" t="s">
        <v>297</v>
      </c>
      <c r="P80" s="182"/>
      <c r="Q80" s="182" t="s">
        <v>297</v>
      </c>
      <c r="R80" s="182" t="s">
        <v>297</v>
      </c>
      <c r="S80" s="182"/>
      <c r="T80" s="182" t="s">
        <v>297</v>
      </c>
      <c r="U80" s="182" t="s">
        <v>297</v>
      </c>
    </row>
    <row r="81" spans="1:21" x14ac:dyDescent="0.3">
      <c r="A81" s="182" t="s">
        <v>297</v>
      </c>
      <c r="B81" s="182" t="s">
        <v>297</v>
      </c>
      <c r="C81" s="182" t="s">
        <v>297</v>
      </c>
      <c r="D81" s="182" t="s">
        <v>297</v>
      </c>
      <c r="E81" s="182" t="s">
        <v>297</v>
      </c>
      <c r="F81" s="182" t="s">
        <v>297</v>
      </c>
      <c r="G81" s="182" t="s">
        <v>297</v>
      </c>
      <c r="H81" s="182" t="s">
        <v>297</v>
      </c>
      <c r="I81" s="182" t="s">
        <v>297</v>
      </c>
      <c r="J81" s="182"/>
      <c r="K81" s="182" t="s">
        <v>297</v>
      </c>
      <c r="L81" s="182" t="s">
        <v>297</v>
      </c>
      <c r="M81" s="182"/>
      <c r="N81" s="182" t="s">
        <v>297</v>
      </c>
      <c r="O81" s="182" t="s">
        <v>297</v>
      </c>
      <c r="P81" s="182"/>
      <c r="Q81" s="182" t="s">
        <v>297</v>
      </c>
      <c r="R81" s="182" t="s">
        <v>297</v>
      </c>
      <c r="S81" s="182"/>
      <c r="T81" s="182" t="s">
        <v>297</v>
      </c>
      <c r="U81" s="182" t="s">
        <v>297</v>
      </c>
    </row>
    <row r="82" spans="1:21" x14ac:dyDescent="0.3">
      <c r="A82" s="181"/>
      <c r="B82" s="181"/>
      <c r="C82" s="181"/>
      <c r="D82" s="181"/>
      <c r="E82" s="181"/>
      <c r="F82" s="181"/>
      <c r="G82" s="181"/>
      <c r="H82" s="181"/>
      <c r="I82" s="181"/>
      <c r="J82" s="181"/>
      <c r="K82" s="181"/>
      <c r="L82" s="181"/>
      <c r="M82" s="181"/>
      <c r="N82" s="181"/>
      <c r="O82" s="181"/>
      <c r="P82" s="181"/>
      <c r="Q82" s="181"/>
      <c r="R82" s="181"/>
      <c r="S82" s="181"/>
      <c r="T82" s="181"/>
      <c r="U82" s="181"/>
    </row>
    <row r="83" spans="1:21" x14ac:dyDescent="0.3">
      <c r="A83" s="181"/>
      <c r="B83" s="181"/>
      <c r="C83" s="181"/>
      <c r="D83" s="181"/>
      <c r="E83" s="181"/>
      <c r="F83" s="181"/>
      <c r="G83" s="181"/>
      <c r="H83" s="181"/>
      <c r="I83" s="181"/>
      <c r="J83" s="181"/>
      <c r="K83" s="181"/>
      <c r="L83" s="181"/>
      <c r="M83" s="181"/>
      <c r="N83" s="181"/>
      <c r="O83" s="181"/>
      <c r="P83" s="181"/>
      <c r="Q83" s="181"/>
      <c r="R83" s="181"/>
      <c r="S83" s="181"/>
      <c r="T83" s="181"/>
      <c r="U83" s="181"/>
    </row>
    <row r="84" spans="1:21" x14ac:dyDescent="0.3">
      <c r="A84" s="181"/>
      <c r="B84" s="181"/>
      <c r="C84" s="181"/>
      <c r="D84" s="181"/>
      <c r="E84" s="181"/>
      <c r="F84" s="181"/>
      <c r="G84" s="181"/>
      <c r="H84" s="181"/>
      <c r="I84" s="181"/>
      <c r="J84" s="181"/>
      <c r="K84" s="181"/>
      <c r="L84" s="181"/>
      <c r="M84" s="181"/>
      <c r="N84" s="181"/>
      <c r="O84" s="181"/>
      <c r="P84" s="181"/>
      <c r="Q84" s="181"/>
      <c r="R84" s="181"/>
      <c r="S84" s="181"/>
      <c r="T84" s="181"/>
      <c r="U84" s="181"/>
    </row>
    <row r="85" spans="1:21" x14ac:dyDescent="0.3">
      <c r="A85" s="181"/>
      <c r="B85" s="181"/>
      <c r="C85" s="181"/>
      <c r="D85" s="181"/>
      <c r="E85" s="181"/>
      <c r="F85" s="181"/>
      <c r="G85" s="181"/>
      <c r="H85" s="181"/>
      <c r="I85" s="181"/>
      <c r="J85" s="181"/>
      <c r="K85" s="181"/>
      <c r="L85" s="181"/>
      <c r="M85" s="181"/>
      <c r="N85" s="181"/>
      <c r="O85" s="181"/>
      <c r="P85" s="181"/>
      <c r="Q85" s="181"/>
      <c r="R85" s="181"/>
      <c r="S85" s="181"/>
      <c r="T85" s="181"/>
      <c r="U85" s="181"/>
    </row>
    <row r="86" spans="1:21" x14ac:dyDescent="0.3">
      <c r="A86" s="181"/>
      <c r="B86" s="181"/>
      <c r="C86" s="181"/>
      <c r="D86" s="181"/>
      <c r="E86" s="181"/>
      <c r="F86" s="181"/>
      <c r="G86" s="181"/>
      <c r="H86" s="181"/>
      <c r="I86" s="181"/>
      <c r="J86" s="181"/>
      <c r="K86" s="181"/>
      <c r="L86" s="181"/>
      <c r="M86" s="181"/>
      <c r="N86" s="181"/>
      <c r="O86" s="181"/>
      <c r="P86" s="181"/>
      <c r="Q86" s="181"/>
      <c r="R86" s="181"/>
      <c r="S86" s="181"/>
      <c r="T86" s="181"/>
      <c r="U86" s="181"/>
    </row>
    <row r="87" spans="1:21" x14ac:dyDescent="0.3">
      <c r="A87" s="181"/>
      <c r="B87" s="181"/>
      <c r="C87" s="181"/>
      <c r="D87" s="181"/>
      <c r="E87" s="181"/>
      <c r="F87" s="181"/>
      <c r="G87" s="181"/>
      <c r="H87" s="181"/>
      <c r="I87" s="181"/>
      <c r="J87" s="181"/>
      <c r="K87" s="181"/>
      <c r="L87" s="181"/>
      <c r="M87" s="181"/>
      <c r="N87" s="181"/>
      <c r="O87" s="181"/>
      <c r="P87" s="181"/>
      <c r="Q87" s="181"/>
      <c r="R87" s="181"/>
      <c r="S87" s="181"/>
      <c r="T87" s="181"/>
      <c r="U87" s="181"/>
    </row>
    <row r="88" spans="1:21" x14ac:dyDescent="0.3">
      <c r="A88" s="181"/>
      <c r="B88" s="181"/>
      <c r="C88" s="181"/>
      <c r="D88" s="181"/>
      <c r="E88" s="181"/>
      <c r="F88" s="181"/>
      <c r="G88" s="181"/>
      <c r="H88" s="181"/>
      <c r="I88" s="181"/>
      <c r="J88" s="181"/>
      <c r="K88" s="181"/>
      <c r="L88" s="181"/>
      <c r="M88" s="181"/>
      <c r="N88" s="181"/>
      <c r="O88" s="181"/>
      <c r="P88" s="181"/>
      <c r="Q88" s="181"/>
      <c r="R88" s="181"/>
      <c r="S88" s="181"/>
      <c r="T88" s="181"/>
      <c r="U88" s="181"/>
    </row>
    <row r="89" spans="1:21" x14ac:dyDescent="0.3">
      <c r="A89" s="181"/>
      <c r="B89" s="181"/>
      <c r="C89" s="181"/>
      <c r="D89" s="181"/>
      <c r="E89" s="181"/>
      <c r="F89" s="181"/>
      <c r="G89" s="181"/>
      <c r="H89" s="181"/>
      <c r="I89" s="181"/>
      <c r="J89" s="181"/>
      <c r="K89" s="181"/>
      <c r="L89" s="181"/>
      <c r="M89" s="181"/>
      <c r="N89" s="181"/>
      <c r="O89" s="181"/>
      <c r="P89" s="181"/>
      <c r="Q89" s="181"/>
      <c r="R89" s="181"/>
      <c r="S89" s="181"/>
      <c r="T89" s="181"/>
      <c r="U89" s="181"/>
    </row>
    <row r="90" spans="1:21" x14ac:dyDescent="0.3">
      <c r="A90" s="181"/>
      <c r="B90" s="181"/>
      <c r="C90" s="181"/>
      <c r="D90" s="181"/>
      <c r="E90" s="181"/>
      <c r="F90" s="181"/>
      <c r="G90" s="181"/>
      <c r="H90" s="181"/>
      <c r="I90" s="181"/>
      <c r="J90" s="181"/>
      <c r="K90" s="181"/>
      <c r="L90" s="181"/>
      <c r="M90" s="181"/>
      <c r="N90" s="181"/>
      <c r="O90" s="181"/>
      <c r="P90" s="181"/>
      <c r="Q90" s="181"/>
      <c r="R90" s="181"/>
      <c r="S90" s="181"/>
      <c r="T90" s="181"/>
      <c r="U90" s="181"/>
    </row>
    <row r="91" spans="1:21" x14ac:dyDescent="0.3">
      <c r="A91" s="181"/>
      <c r="B91" s="181"/>
      <c r="C91" s="181"/>
      <c r="D91" s="181"/>
      <c r="E91" s="181"/>
      <c r="F91" s="181"/>
      <c r="G91" s="181"/>
      <c r="H91" s="181"/>
      <c r="I91" s="181"/>
      <c r="J91" s="181"/>
      <c r="K91" s="181"/>
      <c r="L91" s="181"/>
      <c r="M91" s="181"/>
      <c r="N91" s="181"/>
      <c r="O91" s="181"/>
      <c r="P91" s="181"/>
      <c r="Q91" s="181"/>
      <c r="R91" s="181"/>
      <c r="S91" s="181"/>
      <c r="T91" s="181"/>
      <c r="U91" s="181"/>
    </row>
    <row r="92" spans="1:21" x14ac:dyDescent="0.3">
      <c r="A92" s="181"/>
      <c r="B92" s="181"/>
      <c r="C92" s="181"/>
      <c r="D92" s="181"/>
      <c r="E92" s="181"/>
      <c r="F92" s="181"/>
      <c r="G92" s="181"/>
      <c r="H92" s="181"/>
      <c r="I92" s="181"/>
      <c r="J92" s="181"/>
      <c r="K92" s="181"/>
      <c r="L92" s="181"/>
      <c r="M92" s="181"/>
      <c r="N92" s="181"/>
      <c r="O92" s="181"/>
      <c r="P92" s="181"/>
      <c r="Q92" s="181"/>
      <c r="R92" s="181"/>
      <c r="S92" s="181"/>
      <c r="T92" s="181"/>
      <c r="U92" s="181"/>
    </row>
    <row r="93" spans="1:21" x14ac:dyDescent="0.3">
      <c r="A93" s="181"/>
      <c r="B93" s="181"/>
      <c r="C93" s="181"/>
      <c r="D93" s="181"/>
      <c r="E93" s="181"/>
      <c r="F93" s="181"/>
      <c r="G93" s="181"/>
      <c r="H93" s="181"/>
      <c r="I93" s="181"/>
      <c r="J93" s="181"/>
      <c r="K93" s="181"/>
      <c r="L93" s="181"/>
      <c r="M93" s="181"/>
      <c r="N93" s="181"/>
      <c r="O93" s="181"/>
      <c r="P93" s="181"/>
      <c r="Q93" s="181"/>
      <c r="R93" s="181"/>
      <c r="S93" s="181"/>
      <c r="T93" s="181"/>
      <c r="U93" s="181"/>
    </row>
    <row r="94" spans="1:21" x14ac:dyDescent="0.3">
      <c r="A94" s="181"/>
      <c r="B94" s="181"/>
      <c r="C94" s="181"/>
      <c r="D94" s="181"/>
      <c r="E94" s="181"/>
      <c r="F94" s="181"/>
      <c r="G94" s="181"/>
      <c r="H94" s="181"/>
      <c r="I94" s="181"/>
      <c r="J94" s="181"/>
      <c r="K94" s="181"/>
      <c r="L94" s="181"/>
      <c r="M94" s="181"/>
      <c r="N94" s="181"/>
      <c r="O94" s="181"/>
      <c r="P94" s="181"/>
      <c r="Q94" s="181"/>
      <c r="R94" s="181"/>
      <c r="S94" s="181"/>
      <c r="T94" s="181"/>
      <c r="U94" s="181"/>
    </row>
    <row r="95" spans="1:21" x14ac:dyDescent="0.3">
      <c r="A95" s="181"/>
      <c r="B95" s="181"/>
      <c r="C95" s="181"/>
      <c r="D95" s="181"/>
      <c r="E95" s="181"/>
      <c r="F95" s="181"/>
      <c r="G95" s="181"/>
      <c r="H95" s="181"/>
      <c r="I95" s="181"/>
      <c r="J95" s="181"/>
      <c r="K95" s="181"/>
      <c r="L95" s="181"/>
      <c r="M95" s="181"/>
      <c r="N95" s="181"/>
      <c r="O95" s="181"/>
      <c r="P95" s="181"/>
      <c r="Q95" s="181"/>
      <c r="R95" s="181"/>
      <c r="S95" s="181"/>
      <c r="T95" s="181"/>
      <c r="U95" s="181"/>
    </row>
    <row r="96" spans="1:21" x14ac:dyDescent="0.3">
      <c r="A96" s="181"/>
      <c r="B96" s="181"/>
      <c r="C96" s="181"/>
      <c r="D96" s="181"/>
      <c r="E96" s="181"/>
      <c r="F96" s="181"/>
      <c r="G96" s="181"/>
      <c r="H96" s="181"/>
      <c r="I96" s="181"/>
      <c r="J96" s="181"/>
      <c r="K96" s="181"/>
      <c r="L96" s="181"/>
      <c r="M96" s="181"/>
      <c r="N96" s="181"/>
      <c r="O96" s="181"/>
      <c r="P96" s="181"/>
      <c r="Q96" s="181"/>
      <c r="R96" s="181"/>
      <c r="S96" s="181"/>
      <c r="T96" s="181"/>
      <c r="U96" s="181"/>
    </row>
    <row r="97" spans="1:21" x14ac:dyDescent="0.3">
      <c r="A97" s="181"/>
      <c r="B97" s="181"/>
      <c r="C97" s="181"/>
      <c r="D97" s="181"/>
      <c r="E97" s="181"/>
      <c r="F97" s="181"/>
      <c r="G97" s="181"/>
      <c r="H97" s="181"/>
      <c r="I97" s="181"/>
      <c r="J97" s="181"/>
      <c r="K97" s="181"/>
      <c r="L97" s="181"/>
      <c r="M97" s="181"/>
      <c r="N97" s="181"/>
      <c r="O97" s="181"/>
      <c r="P97" s="181"/>
      <c r="Q97" s="181"/>
      <c r="R97" s="181"/>
      <c r="S97" s="181"/>
      <c r="T97" s="181"/>
      <c r="U97" s="181"/>
    </row>
    <row r="98" spans="1:21" x14ac:dyDescent="0.3">
      <c r="A98" s="181"/>
      <c r="B98" s="181"/>
      <c r="C98" s="181"/>
      <c r="D98" s="181"/>
      <c r="E98" s="181"/>
      <c r="F98" s="181"/>
      <c r="G98" s="181"/>
      <c r="H98" s="181"/>
      <c r="I98" s="181"/>
      <c r="J98" s="181"/>
      <c r="K98" s="181"/>
      <c r="L98" s="181"/>
      <c r="M98" s="181"/>
      <c r="N98" s="181"/>
      <c r="O98" s="181"/>
      <c r="P98" s="181"/>
      <c r="Q98" s="181"/>
      <c r="R98" s="181"/>
      <c r="S98" s="181"/>
      <c r="T98" s="181"/>
      <c r="U98" s="181"/>
    </row>
    <row r="99" spans="1:21" x14ac:dyDescent="0.3">
      <c r="A99" s="181"/>
      <c r="B99" s="181"/>
      <c r="C99" s="181"/>
      <c r="D99" s="181"/>
      <c r="E99" s="181"/>
      <c r="F99" s="181"/>
      <c r="G99" s="181"/>
      <c r="H99" s="181"/>
      <c r="I99" s="181"/>
      <c r="J99" s="181"/>
      <c r="K99" s="181"/>
      <c r="L99" s="181"/>
      <c r="M99" s="181"/>
      <c r="N99" s="181"/>
      <c r="O99" s="181"/>
      <c r="P99" s="181"/>
      <c r="Q99" s="181"/>
      <c r="R99" s="181"/>
      <c r="S99" s="181"/>
      <c r="T99" s="181"/>
      <c r="U99" s="181"/>
    </row>
    <row r="100" spans="1:21" x14ac:dyDescent="0.3">
      <c r="A100" s="181"/>
      <c r="B100" s="181"/>
      <c r="C100" s="181"/>
      <c r="D100" s="181"/>
      <c r="E100" s="181"/>
      <c r="F100" s="181"/>
      <c r="G100" s="181"/>
      <c r="H100" s="181"/>
      <c r="I100" s="181"/>
      <c r="J100" s="181"/>
      <c r="K100" s="181"/>
      <c r="L100" s="181"/>
      <c r="M100" s="181"/>
      <c r="N100" s="181"/>
      <c r="O100" s="181"/>
      <c r="P100" s="181"/>
      <c r="Q100" s="181"/>
      <c r="R100" s="181"/>
      <c r="S100" s="181"/>
      <c r="T100" s="181"/>
      <c r="U100" s="181"/>
    </row>
    <row r="101" spans="1:21" x14ac:dyDescent="0.3">
      <c r="A101" s="181"/>
      <c r="B101" s="181"/>
      <c r="C101" s="181"/>
      <c r="D101" s="181"/>
      <c r="E101" s="181"/>
      <c r="F101" s="181"/>
      <c r="G101" s="181"/>
      <c r="H101" s="181"/>
      <c r="I101" s="181"/>
      <c r="J101" s="181"/>
      <c r="K101" s="181"/>
      <c r="L101" s="181"/>
      <c r="M101" s="181"/>
      <c r="N101" s="181"/>
      <c r="O101" s="181"/>
      <c r="P101" s="181"/>
      <c r="Q101" s="181"/>
      <c r="R101" s="181"/>
      <c r="S101" s="181"/>
      <c r="T101" s="181"/>
      <c r="U101" s="181"/>
    </row>
    <row r="102" spans="1:21" x14ac:dyDescent="0.3">
      <c r="A102" s="181"/>
      <c r="B102" s="181"/>
      <c r="C102" s="181"/>
      <c r="D102" s="181"/>
      <c r="E102" s="181"/>
      <c r="F102" s="181"/>
      <c r="G102" s="181"/>
      <c r="H102" s="181"/>
      <c r="I102" s="181"/>
      <c r="J102" s="181"/>
      <c r="K102" s="181"/>
      <c r="L102" s="181"/>
      <c r="M102" s="181"/>
      <c r="N102" s="181"/>
      <c r="O102" s="181"/>
      <c r="P102" s="181"/>
      <c r="Q102" s="181"/>
      <c r="R102" s="181"/>
      <c r="S102" s="181"/>
      <c r="T102" s="181"/>
      <c r="U102" s="181"/>
    </row>
    <row r="103" spans="1:21" x14ac:dyDescent="0.3">
      <c r="A103" s="181"/>
      <c r="B103" s="181"/>
      <c r="C103" s="181"/>
      <c r="D103" s="181"/>
      <c r="E103" s="181"/>
      <c r="F103" s="181"/>
      <c r="G103" s="181"/>
      <c r="H103" s="181"/>
      <c r="I103" s="181"/>
      <c r="J103" s="181"/>
      <c r="K103" s="181"/>
      <c r="L103" s="181"/>
      <c r="M103" s="181"/>
      <c r="N103" s="181"/>
      <c r="O103" s="181"/>
      <c r="P103" s="181"/>
      <c r="Q103" s="181"/>
      <c r="R103" s="181"/>
      <c r="S103" s="181"/>
      <c r="T103" s="181"/>
      <c r="U103" s="181"/>
    </row>
    <row r="104" spans="1:21" x14ac:dyDescent="0.3">
      <c r="A104" s="181"/>
      <c r="B104" s="181"/>
      <c r="C104" s="181"/>
      <c r="D104" s="181"/>
      <c r="E104" s="181"/>
      <c r="F104" s="181"/>
      <c r="G104" s="181"/>
      <c r="H104" s="181"/>
      <c r="I104" s="181"/>
      <c r="J104" s="181"/>
      <c r="K104" s="181"/>
      <c r="L104" s="181"/>
      <c r="M104" s="181"/>
      <c r="N104" s="181"/>
      <c r="O104" s="181"/>
      <c r="P104" s="181"/>
      <c r="Q104" s="181"/>
      <c r="R104" s="181"/>
      <c r="S104" s="181"/>
      <c r="T104" s="181"/>
      <c r="U104" s="181"/>
    </row>
    <row r="105" spans="1:21" x14ac:dyDescent="0.3">
      <c r="A105" s="181"/>
      <c r="B105" s="181"/>
      <c r="C105" s="181"/>
      <c r="D105" s="181"/>
      <c r="E105" s="181"/>
      <c r="F105" s="181"/>
      <c r="G105" s="181"/>
      <c r="H105" s="181"/>
      <c r="I105" s="181"/>
      <c r="J105" s="181"/>
      <c r="K105" s="181"/>
      <c r="L105" s="181"/>
      <c r="M105" s="181"/>
      <c r="N105" s="181"/>
      <c r="O105" s="181"/>
      <c r="P105" s="181"/>
      <c r="Q105" s="181"/>
      <c r="R105" s="181"/>
      <c r="S105" s="181"/>
      <c r="T105" s="181"/>
      <c r="U105" s="181"/>
    </row>
  </sheetData>
  <sheetProtection algorithmName="SHA-512" hashValue="FQ5bJoBi83l+347v4280YFjOEDUJB11IUr0UUfiRlywq98URfg2ZqtuaR7iNhKTMvQl+OIf4xA9LPMxOU5F/Xg==" saltValue="JUz3vCWznzPOIXAxz4RCbw==" spinCount="100000" sheet="1" objects="1" scenarios="1"/>
  <mergeCells count="1">
    <mergeCell ref="A5: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9CFBE-1B50-483A-9022-7D5C587E54C8}">
  <dimension ref="A2:E28"/>
  <sheetViews>
    <sheetView topLeftCell="A10" workbookViewId="0">
      <selection activeCell="D28" sqref="D28"/>
    </sheetView>
  </sheetViews>
  <sheetFormatPr defaultRowHeight="14.4" x14ac:dyDescent="0.3"/>
  <cols>
    <col min="1" max="1" width="3.6640625" style="181" customWidth="1"/>
    <col min="2" max="2" width="43.6640625" style="181" customWidth="1"/>
    <col min="3" max="3" width="20.5546875" style="179" customWidth="1"/>
    <col min="4" max="4" width="76.5546875" style="181" customWidth="1"/>
    <col min="5" max="5" width="21.5546875" style="181" customWidth="1"/>
  </cols>
  <sheetData>
    <row r="2" spans="2:5" x14ac:dyDescent="0.3">
      <c r="B2" s="232" t="s">
        <v>344</v>
      </c>
      <c r="C2" s="233"/>
      <c r="D2" s="233"/>
      <c r="E2" s="233"/>
    </row>
    <row r="3" spans="2:5" x14ac:dyDescent="0.3">
      <c r="B3" s="234" t="s">
        <v>345</v>
      </c>
      <c r="C3" s="234" t="s">
        <v>213</v>
      </c>
      <c r="D3" s="234" t="s">
        <v>55</v>
      </c>
      <c r="E3" s="235" t="s">
        <v>346</v>
      </c>
    </row>
    <row r="4" spans="2:5" x14ac:dyDescent="0.3">
      <c r="B4" s="234" t="s">
        <v>347</v>
      </c>
      <c r="C4" s="237" t="s">
        <v>306</v>
      </c>
      <c r="D4" s="238" t="s">
        <v>348</v>
      </c>
      <c r="E4" s="235">
        <v>4</v>
      </c>
    </row>
    <row r="5" spans="2:5" x14ac:dyDescent="0.3">
      <c r="B5" s="236" t="s">
        <v>349</v>
      </c>
      <c r="C5" s="237" t="s">
        <v>306</v>
      </c>
      <c r="D5" s="238" t="s">
        <v>348</v>
      </c>
      <c r="E5" s="238">
        <v>2</v>
      </c>
    </row>
    <row r="6" spans="2:5" x14ac:dyDescent="0.3">
      <c r="B6" s="239" t="s">
        <v>350</v>
      </c>
      <c r="C6" s="237" t="s">
        <v>304</v>
      </c>
      <c r="D6" s="240" t="s">
        <v>351</v>
      </c>
      <c r="E6" s="241">
        <v>2</v>
      </c>
    </row>
    <row r="7" spans="2:5" ht="28.8" x14ac:dyDescent="0.3">
      <c r="B7" s="239" t="s">
        <v>352</v>
      </c>
      <c r="C7" s="252" t="s">
        <v>126</v>
      </c>
      <c r="D7" s="105" t="s">
        <v>127</v>
      </c>
      <c r="E7" s="241">
        <v>48</v>
      </c>
    </row>
    <row r="8" spans="2:5" ht="28.8" x14ac:dyDescent="0.3">
      <c r="B8" s="239" t="s">
        <v>353</v>
      </c>
      <c r="C8" s="252" t="s">
        <v>126</v>
      </c>
      <c r="D8" s="105" t="s">
        <v>127</v>
      </c>
      <c r="E8" s="241">
        <v>48</v>
      </c>
    </row>
    <row r="9" spans="2:5" x14ac:dyDescent="0.3">
      <c r="B9" s="239" t="s">
        <v>354</v>
      </c>
      <c r="C9" s="159" t="s">
        <v>144</v>
      </c>
      <c r="D9" t="s">
        <v>145</v>
      </c>
      <c r="E9" s="241">
        <v>96</v>
      </c>
    </row>
    <row r="10" spans="2:5" ht="28.8" x14ac:dyDescent="0.3">
      <c r="B10" s="239" t="s">
        <v>355</v>
      </c>
      <c r="C10" s="252" t="s">
        <v>126</v>
      </c>
      <c r="D10" s="105" t="s">
        <v>127</v>
      </c>
      <c r="E10" s="241">
        <v>48</v>
      </c>
    </row>
    <row r="11" spans="2:5" ht="28.8" x14ac:dyDescent="0.3">
      <c r="B11" s="239" t="s">
        <v>356</v>
      </c>
      <c r="C11" s="252" t="s">
        <v>126</v>
      </c>
      <c r="D11" s="105" t="s">
        <v>127</v>
      </c>
      <c r="E11" s="241">
        <v>48</v>
      </c>
    </row>
    <row r="12" spans="2:5" x14ac:dyDescent="0.3">
      <c r="B12" s="239" t="s">
        <v>357</v>
      </c>
      <c r="C12" s="159" t="s">
        <v>144</v>
      </c>
      <c r="D12" t="s">
        <v>145</v>
      </c>
      <c r="E12" s="241">
        <v>96</v>
      </c>
    </row>
    <row r="13" spans="2:5" x14ac:dyDescent="0.3">
      <c r="B13" s="242" t="s">
        <v>358</v>
      </c>
      <c r="C13" s="237" t="s">
        <v>359</v>
      </c>
      <c r="D13" s="243" t="s">
        <v>360</v>
      </c>
      <c r="E13" s="244">
        <v>88</v>
      </c>
    </row>
    <row r="14" spans="2:5" x14ac:dyDescent="0.3">
      <c r="B14" s="242" t="s">
        <v>361</v>
      </c>
      <c r="C14" s="237" t="s">
        <v>161</v>
      </c>
      <c r="D14" s="245" t="s">
        <v>362</v>
      </c>
      <c r="E14" s="244">
        <v>88</v>
      </c>
    </row>
    <row r="15" spans="2:5" ht="28.8" x14ac:dyDescent="0.3">
      <c r="B15" s="242" t="s">
        <v>363</v>
      </c>
      <c r="C15" s="237" t="s">
        <v>364</v>
      </c>
      <c r="D15" s="246" t="s">
        <v>365</v>
      </c>
      <c r="E15" s="247">
        <v>44</v>
      </c>
    </row>
    <row r="16" spans="2:5" x14ac:dyDescent="0.3">
      <c r="B16" s="242" t="s">
        <v>366</v>
      </c>
      <c r="C16" s="237" t="s">
        <v>364</v>
      </c>
      <c r="D16" s="248" t="s">
        <v>367</v>
      </c>
      <c r="E16" s="247">
        <v>4</v>
      </c>
    </row>
    <row r="17" spans="2:5" x14ac:dyDescent="0.3">
      <c r="B17" s="242" t="s">
        <v>368</v>
      </c>
      <c r="C17" s="237" t="s">
        <v>359</v>
      </c>
      <c r="D17" s="249" t="s">
        <v>369</v>
      </c>
      <c r="E17" s="247">
        <v>4</v>
      </c>
    </row>
    <row r="18" spans="2:5" x14ac:dyDescent="0.3">
      <c r="B18" s="242" t="s">
        <v>370</v>
      </c>
      <c r="C18" s="237" t="s">
        <v>371</v>
      </c>
      <c r="D18" s="249" t="s">
        <v>372</v>
      </c>
      <c r="E18" s="247">
        <v>88</v>
      </c>
    </row>
    <row r="19" spans="2:5" x14ac:dyDescent="0.3">
      <c r="B19" s="242" t="s">
        <v>373</v>
      </c>
      <c r="C19" s="237" t="s">
        <v>371</v>
      </c>
      <c r="D19" s="249" t="s">
        <v>374</v>
      </c>
      <c r="E19" s="247">
        <v>0</v>
      </c>
    </row>
    <row r="21" spans="2:5" x14ac:dyDescent="0.3">
      <c r="B21" s="250" t="s">
        <v>375</v>
      </c>
    </row>
    <row r="22" spans="2:5" x14ac:dyDescent="0.3">
      <c r="B22" s="251"/>
    </row>
    <row r="23" spans="2:5" x14ac:dyDescent="0.3">
      <c r="B23" s="250" t="s">
        <v>376</v>
      </c>
    </row>
    <row r="25" spans="2:5" x14ac:dyDescent="0.3">
      <c r="B25" s="250" t="s">
        <v>377</v>
      </c>
      <c r="C25" s="181"/>
    </row>
    <row r="26" spans="2:5" x14ac:dyDescent="0.3">
      <c r="C26" s="181"/>
    </row>
    <row r="27" spans="2:5" x14ac:dyDescent="0.3">
      <c r="C27" s="181"/>
    </row>
    <row r="28" spans="2:5" x14ac:dyDescent="0.3">
      <c r="C28" s="181"/>
    </row>
  </sheetData>
  <sheetProtection algorithmName="SHA-512" hashValue="9bYwkIyEkB6FuY0p8La8leYHTHvmEWWS7+JRTH793/HfLEgcvVe4upe8OBMwVyEFsQzSntj0o9lV5FrvTP/Ntw==" saltValue="s3Nlv7vlq1/lcfDxJWraDw=="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54.5546875" style="1" customWidth="1"/>
    <col min="5" max="5" width="11.664062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378</v>
      </c>
    </row>
    <row r="3" spans="1:14" x14ac:dyDescent="0.3">
      <c r="A3" s="1" t="s">
        <v>379</v>
      </c>
    </row>
    <row r="4" spans="1:14" x14ac:dyDescent="0.3">
      <c r="A4" s="1" t="s">
        <v>380</v>
      </c>
    </row>
    <row r="5" spans="1:14" x14ac:dyDescent="0.3">
      <c r="A5" s="1" t="s">
        <v>381</v>
      </c>
    </row>
    <row r="6" spans="1:14" x14ac:dyDescent="0.3">
      <c r="A6" s="1" t="s">
        <v>382</v>
      </c>
    </row>
    <row r="7" spans="1:14" ht="43.2" x14ac:dyDescent="0.3">
      <c r="A7" s="2" t="s">
        <v>383</v>
      </c>
    </row>
    <row r="8" spans="1:14" x14ac:dyDescent="0.3">
      <c r="A8" s="3"/>
      <c r="B8" s="3" t="s">
        <v>384</v>
      </c>
      <c r="C8" s="3" t="s">
        <v>385</v>
      </c>
      <c r="D8" s="3" t="s">
        <v>386</v>
      </c>
      <c r="E8" s="3" t="s">
        <v>387</v>
      </c>
      <c r="F8" s="3" t="s">
        <v>388</v>
      </c>
      <c r="G8" s="3" t="s">
        <v>389</v>
      </c>
      <c r="H8" s="3" t="s">
        <v>390</v>
      </c>
      <c r="I8" s="3" t="s">
        <v>391</v>
      </c>
      <c r="J8" s="3" t="s">
        <v>392</v>
      </c>
      <c r="K8" s="3" t="s">
        <v>393</v>
      </c>
      <c r="L8" s="3" t="s">
        <v>394</v>
      </c>
      <c r="M8" s="3" t="s">
        <v>395</v>
      </c>
      <c r="N8" s="3" t="s">
        <v>396</v>
      </c>
    </row>
    <row r="9" spans="1:14" x14ac:dyDescent="0.3">
      <c r="B9" s="1" t="s">
        <v>397</v>
      </c>
      <c r="C9" s="1" t="s">
        <v>398</v>
      </c>
      <c r="D9" s="1" t="s">
        <v>399</v>
      </c>
      <c r="E9" s="1">
        <v>8</v>
      </c>
      <c r="F9" s="4">
        <v>326247.63</v>
      </c>
      <c r="G9" s="4">
        <v>2609981.04</v>
      </c>
    </row>
    <row r="10" spans="1:14" x14ac:dyDescent="0.3">
      <c r="H10" s="1" t="s">
        <v>400</v>
      </c>
      <c r="I10" s="1" t="s">
        <v>401</v>
      </c>
      <c r="J10" s="1" t="s">
        <v>402</v>
      </c>
      <c r="K10" s="4">
        <v>4496.13</v>
      </c>
      <c r="L10" s="1" t="s">
        <v>403</v>
      </c>
      <c r="M10" s="1">
        <v>1</v>
      </c>
    </row>
    <row r="11" spans="1:14" x14ac:dyDescent="0.3">
      <c r="H11" s="1" t="s">
        <v>404</v>
      </c>
      <c r="I11" s="1" t="s">
        <v>405</v>
      </c>
      <c r="J11" s="1" t="s">
        <v>406</v>
      </c>
      <c r="K11" s="4">
        <v>0</v>
      </c>
      <c r="L11" s="1" t="s">
        <v>407</v>
      </c>
      <c r="M11" s="1">
        <v>1</v>
      </c>
    </row>
    <row r="12" spans="1:14" x14ac:dyDescent="0.3">
      <c r="H12" s="1" t="s">
        <v>408</v>
      </c>
      <c r="I12" s="1" t="s">
        <v>409</v>
      </c>
      <c r="J12" s="1" t="s">
        <v>410</v>
      </c>
      <c r="K12" s="4">
        <v>0</v>
      </c>
      <c r="L12" s="1" t="s">
        <v>411</v>
      </c>
      <c r="M12" s="1">
        <v>1</v>
      </c>
    </row>
    <row r="13" spans="1:14" x14ac:dyDescent="0.3">
      <c r="H13" s="1" t="s">
        <v>412</v>
      </c>
      <c r="I13" s="1" t="s">
        <v>413</v>
      </c>
      <c r="J13" s="1" t="s">
        <v>414</v>
      </c>
      <c r="K13" s="4">
        <v>0</v>
      </c>
      <c r="L13" s="1" t="s">
        <v>415</v>
      </c>
      <c r="M13" s="1">
        <v>1</v>
      </c>
    </row>
    <row r="14" spans="1:14" x14ac:dyDescent="0.3">
      <c r="H14" s="1" t="s">
        <v>416</v>
      </c>
      <c r="I14" s="1" t="s">
        <v>417</v>
      </c>
      <c r="J14" s="1" t="s">
        <v>418</v>
      </c>
      <c r="K14" s="4">
        <v>99</v>
      </c>
      <c r="L14" s="1" t="s">
        <v>419</v>
      </c>
      <c r="M14" s="1">
        <v>1</v>
      </c>
    </row>
    <row r="15" spans="1:14" x14ac:dyDescent="0.3">
      <c r="H15" s="1" t="s">
        <v>420</v>
      </c>
      <c r="I15" s="1" t="s">
        <v>421</v>
      </c>
      <c r="J15" s="1" t="s">
        <v>422</v>
      </c>
      <c r="K15" s="4">
        <v>1080</v>
      </c>
      <c r="L15" s="1" t="s">
        <v>423</v>
      </c>
      <c r="M15" s="1">
        <v>1</v>
      </c>
    </row>
    <row r="16" spans="1:14" x14ac:dyDescent="0.3">
      <c r="H16" s="1" t="s">
        <v>424</v>
      </c>
      <c r="I16" s="1" t="s">
        <v>425</v>
      </c>
      <c r="J16" s="1" t="s">
        <v>426</v>
      </c>
      <c r="K16" s="4">
        <v>10645</v>
      </c>
      <c r="L16" s="1" t="s">
        <v>427</v>
      </c>
      <c r="M16" s="1">
        <v>1</v>
      </c>
    </row>
    <row r="17" spans="8:13" x14ac:dyDescent="0.3">
      <c r="H17" s="1" t="s">
        <v>428</v>
      </c>
      <c r="I17" s="1" t="s">
        <v>429</v>
      </c>
      <c r="J17" s="1" t="s">
        <v>430</v>
      </c>
      <c r="K17" s="4">
        <v>157.4</v>
      </c>
      <c r="L17" s="1" t="s">
        <v>431</v>
      </c>
      <c r="M17" s="1">
        <v>1</v>
      </c>
    </row>
    <row r="18" spans="8:13" x14ac:dyDescent="0.3">
      <c r="H18" s="1" t="s">
        <v>432</v>
      </c>
      <c r="I18" s="1" t="s">
        <v>433</v>
      </c>
      <c r="J18" s="1" t="s">
        <v>434</v>
      </c>
      <c r="K18" s="4">
        <v>0</v>
      </c>
      <c r="L18" s="1" t="s">
        <v>435</v>
      </c>
      <c r="M18" s="1">
        <v>1</v>
      </c>
    </row>
    <row r="19" spans="8:13" x14ac:dyDescent="0.3">
      <c r="H19" s="1" t="s">
        <v>436</v>
      </c>
      <c r="I19" s="1" t="s">
        <v>437</v>
      </c>
      <c r="J19" s="1" t="s">
        <v>438</v>
      </c>
      <c r="K19" s="4">
        <v>0</v>
      </c>
      <c r="L19" s="1" t="s">
        <v>439</v>
      </c>
      <c r="M19" s="1">
        <v>1</v>
      </c>
    </row>
    <row r="20" spans="8:13" x14ac:dyDescent="0.3">
      <c r="H20" s="1" t="s">
        <v>440</v>
      </c>
      <c r="I20" s="1" t="s">
        <v>441</v>
      </c>
      <c r="J20" s="1" t="s">
        <v>442</v>
      </c>
      <c r="K20" s="4">
        <v>25824</v>
      </c>
      <c r="L20" s="1" t="s">
        <v>443</v>
      </c>
      <c r="M20" s="1">
        <v>12</v>
      </c>
    </row>
    <row r="21" spans="8:13" x14ac:dyDescent="0.3">
      <c r="H21" s="1" t="s">
        <v>444</v>
      </c>
      <c r="I21" s="1" t="s">
        <v>445</v>
      </c>
      <c r="J21" s="1" t="s">
        <v>446</v>
      </c>
      <c r="K21" s="4">
        <v>0</v>
      </c>
      <c r="L21" s="1" t="s">
        <v>447</v>
      </c>
      <c r="M21" s="1">
        <v>1</v>
      </c>
    </row>
    <row r="22" spans="8:13" x14ac:dyDescent="0.3">
      <c r="H22" s="1" t="s">
        <v>448</v>
      </c>
      <c r="I22" s="1" t="s">
        <v>449</v>
      </c>
      <c r="J22" s="1" t="s">
        <v>450</v>
      </c>
      <c r="K22" s="4">
        <v>0</v>
      </c>
      <c r="L22" s="1" t="s">
        <v>451</v>
      </c>
      <c r="M22" s="1">
        <v>1</v>
      </c>
    </row>
    <row r="23" spans="8:13" x14ac:dyDescent="0.3">
      <c r="H23" s="1" t="s">
        <v>452</v>
      </c>
      <c r="I23" s="1" t="s">
        <v>453</v>
      </c>
      <c r="J23" s="1" t="s">
        <v>454</v>
      </c>
      <c r="K23" s="4">
        <v>0</v>
      </c>
      <c r="L23" s="1" t="s">
        <v>455</v>
      </c>
      <c r="M23" s="1">
        <v>1</v>
      </c>
    </row>
    <row r="24" spans="8:13" x14ac:dyDescent="0.3">
      <c r="H24" s="1" t="s">
        <v>456</v>
      </c>
      <c r="I24" s="1" t="s">
        <v>457</v>
      </c>
      <c r="J24" s="1" t="s">
        <v>458</v>
      </c>
      <c r="K24" s="4">
        <v>253785.98</v>
      </c>
      <c r="L24" s="1" t="s">
        <v>459</v>
      </c>
      <c r="M24" s="1">
        <v>14</v>
      </c>
    </row>
    <row r="25" spans="8:13" x14ac:dyDescent="0.3">
      <c r="H25" s="1" t="s">
        <v>460</v>
      </c>
      <c r="I25" s="1" t="s">
        <v>461</v>
      </c>
      <c r="J25" s="1" t="s">
        <v>462</v>
      </c>
      <c r="K25" s="4">
        <v>0</v>
      </c>
      <c r="L25" s="1" t="s">
        <v>463</v>
      </c>
      <c r="M25" s="1">
        <v>1</v>
      </c>
    </row>
    <row r="26" spans="8:13" x14ac:dyDescent="0.3">
      <c r="H26" s="1" t="s">
        <v>464</v>
      </c>
      <c r="I26" s="1" t="s">
        <v>465</v>
      </c>
      <c r="J26" s="1" t="s">
        <v>466</v>
      </c>
      <c r="K26" s="4">
        <v>0</v>
      </c>
      <c r="L26" s="1" t="s">
        <v>467</v>
      </c>
      <c r="M26" s="1">
        <v>1</v>
      </c>
    </row>
    <row r="27" spans="8:13" x14ac:dyDescent="0.3">
      <c r="H27" s="1" t="s">
        <v>468</v>
      </c>
      <c r="I27" s="1" t="s">
        <v>469</v>
      </c>
      <c r="J27" s="1" t="s">
        <v>470</v>
      </c>
      <c r="K27" s="4">
        <v>299</v>
      </c>
      <c r="L27" s="1" t="s">
        <v>471</v>
      </c>
      <c r="M27" s="1">
        <v>1</v>
      </c>
    </row>
    <row r="28" spans="8:13" x14ac:dyDescent="0.3">
      <c r="H28" s="1" t="s">
        <v>472</v>
      </c>
      <c r="I28" s="1" t="s">
        <v>473</v>
      </c>
      <c r="J28" s="1" t="s">
        <v>474</v>
      </c>
      <c r="K28" s="4">
        <v>1429</v>
      </c>
      <c r="L28" s="1" t="s">
        <v>475</v>
      </c>
      <c r="M28" s="1">
        <v>1</v>
      </c>
    </row>
    <row r="29" spans="8:13" x14ac:dyDescent="0.3">
      <c r="H29" s="1" t="s">
        <v>476</v>
      </c>
      <c r="I29" s="1" t="s">
        <v>477</v>
      </c>
      <c r="J29" s="1" t="s">
        <v>478</v>
      </c>
      <c r="K29" s="4">
        <v>70</v>
      </c>
      <c r="L29" s="1" t="s">
        <v>479</v>
      </c>
      <c r="M29" s="1">
        <v>2</v>
      </c>
    </row>
    <row r="30" spans="8:13" x14ac:dyDescent="0.3">
      <c r="H30" s="1" t="s">
        <v>480</v>
      </c>
      <c r="I30" s="1" t="s">
        <v>481</v>
      </c>
      <c r="J30" s="1" t="s">
        <v>482</v>
      </c>
      <c r="K30" s="4">
        <v>1147.5999999999999</v>
      </c>
      <c r="L30" s="1" t="s">
        <v>483</v>
      </c>
      <c r="M30" s="1">
        <v>1</v>
      </c>
    </row>
    <row r="31" spans="8:13" x14ac:dyDescent="0.3">
      <c r="H31" s="1" t="s">
        <v>484</v>
      </c>
      <c r="I31" s="1" t="s">
        <v>485</v>
      </c>
      <c r="J31" s="1" t="s">
        <v>486</v>
      </c>
      <c r="K31" s="4">
        <v>0</v>
      </c>
      <c r="L31" s="1" t="s">
        <v>487</v>
      </c>
      <c r="M31" s="1">
        <v>1</v>
      </c>
    </row>
    <row r="32" spans="8:13" x14ac:dyDescent="0.3">
      <c r="H32" s="1" t="s">
        <v>488</v>
      </c>
      <c r="I32" s="1" t="s">
        <v>489</v>
      </c>
      <c r="J32" s="1" t="s">
        <v>490</v>
      </c>
      <c r="K32" s="4">
        <v>709</v>
      </c>
      <c r="L32" s="1" t="s">
        <v>491</v>
      </c>
      <c r="M32" s="1">
        <v>1</v>
      </c>
    </row>
    <row r="33" spans="8:13" x14ac:dyDescent="0.3">
      <c r="H33" s="1" t="s">
        <v>492</v>
      </c>
      <c r="I33" s="1" t="s">
        <v>493</v>
      </c>
      <c r="J33" s="1" t="s">
        <v>494</v>
      </c>
      <c r="K33" s="4">
        <v>139</v>
      </c>
      <c r="L33" s="1" t="s">
        <v>495</v>
      </c>
      <c r="M33" s="1">
        <v>1</v>
      </c>
    </row>
    <row r="34" spans="8:13" x14ac:dyDescent="0.3">
      <c r="H34" s="1" t="s">
        <v>492</v>
      </c>
      <c r="I34" s="1" t="s">
        <v>496</v>
      </c>
      <c r="J34" s="1" t="s">
        <v>497</v>
      </c>
      <c r="K34" s="4">
        <v>18938</v>
      </c>
      <c r="L34" s="1" t="s">
        <v>498</v>
      </c>
      <c r="M34" s="1">
        <v>2</v>
      </c>
    </row>
    <row r="35" spans="8:13" x14ac:dyDescent="0.3">
      <c r="H35" s="1" t="s">
        <v>499</v>
      </c>
      <c r="I35" s="1" t="s">
        <v>500</v>
      </c>
      <c r="J35" s="1" t="s">
        <v>501</v>
      </c>
      <c r="K35" s="4">
        <v>49</v>
      </c>
      <c r="L35" s="1" t="s">
        <v>502</v>
      </c>
      <c r="M35" s="1">
        <v>1</v>
      </c>
    </row>
    <row r="36" spans="8:13" x14ac:dyDescent="0.3">
      <c r="H36" s="1" t="s">
        <v>503</v>
      </c>
      <c r="I36" s="1" t="s">
        <v>504</v>
      </c>
      <c r="J36" s="1" t="s">
        <v>505</v>
      </c>
      <c r="K36" s="4">
        <v>4070</v>
      </c>
      <c r="L36" s="1" t="s">
        <v>506</v>
      </c>
      <c r="M36" s="1">
        <v>1</v>
      </c>
    </row>
    <row r="37" spans="8:13" x14ac:dyDescent="0.3">
      <c r="H37" s="1" t="s">
        <v>507</v>
      </c>
      <c r="I37" s="1" t="s">
        <v>508</v>
      </c>
      <c r="J37" s="1" t="s">
        <v>509</v>
      </c>
      <c r="K37" s="4">
        <v>0</v>
      </c>
      <c r="L37" s="1" t="s">
        <v>510</v>
      </c>
      <c r="M37" s="1">
        <v>1</v>
      </c>
    </row>
    <row r="38" spans="8:13" x14ac:dyDescent="0.3">
      <c r="H38" s="1" t="s">
        <v>511</v>
      </c>
      <c r="I38" s="1" t="s">
        <v>512</v>
      </c>
      <c r="J38" s="1" t="s">
        <v>513</v>
      </c>
      <c r="K38" s="4">
        <v>0</v>
      </c>
      <c r="L38" s="1" t="s">
        <v>514</v>
      </c>
      <c r="M38" s="1">
        <v>1</v>
      </c>
    </row>
    <row r="39" spans="8:13" x14ac:dyDescent="0.3">
      <c r="H39" s="1" t="s">
        <v>515</v>
      </c>
      <c r="I39" s="1" t="s">
        <v>516</v>
      </c>
      <c r="J39" s="1" t="s">
        <v>517</v>
      </c>
      <c r="K39" s="4">
        <v>0</v>
      </c>
      <c r="L39" s="1" t="s">
        <v>518</v>
      </c>
      <c r="M39" s="1">
        <v>1</v>
      </c>
    </row>
    <row r="40" spans="8:13" x14ac:dyDescent="0.3">
      <c r="H40" s="1" t="s">
        <v>515</v>
      </c>
      <c r="I40" s="1" t="s">
        <v>519</v>
      </c>
      <c r="J40" s="1" t="s">
        <v>520</v>
      </c>
      <c r="K40" s="4">
        <v>99</v>
      </c>
      <c r="L40" s="1" t="s">
        <v>521</v>
      </c>
      <c r="M40" s="1">
        <v>1</v>
      </c>
    </row>
    <row r="41" spans="8:13" x14ac:dyDescent="0.3">
      <c r="H41" s="1" t="s">
        <v>515</v>
      </c>
      <c r="I41" s="1" t="s">
        <v>522</v>
      </c>
      <c r="J41" s="1" t="s">
        <v>523</v>
      </c>
      <c r="K41" s="4">
        <v>1288</v>
      </c>
      <c r="L41" s="1" t="s">
        <v>524</v>
      </c>
      <c r="M41" s="1">
        <v>1</v>
      </c>
    </row>
    <row r="42" spans="8:13" x14ac:dyDescent="0.3">
      <c r="H42" s="1" t="s">
        <v>525</v>
      </c>
      <c r="I42" s="1" t="s">
        <v>526</v>
      </c>
      <c r="J42" s="1" t="s">
        <v>527</v>
      </c>
      <c r="K42" s="4">
        <v>0</v>
      </c>
      <c r="L42" s="1" t="s">
        <v>528</v>
      </c>
      <c r="M42" s="1">
        <v>1</v>
      </c>
    </row>
    <row r="43" spans="8:13" x14ac:dyDescent="0.3">
      <c r="H43" s="1" t="s">
        <v>529</v>
      </c>
      <c r="I43" s="1" t="s">
        <v>530</v>
      </c>
      <c r="J43" s="1" t="s">
        <v>531</v>
      </c>
      <c r="K43" s="4">
        <v>0</v>
      </c>
      <c r="L43" s="1" t="s">
        <v>532</v>
      </c>
      <c r="M43" s="1">
        <v>1</v>
      </c>
    </row>
    <row r="44" spans="8:13" x14ac:dyDescent="0.3">
      <c r="H44" s="1" t="s">
        <v>533</v>
      </c>
      <c r="I44" s="1" t="s">
        <v>534</v>
      </c>
      <c r="J44" s="1" t="s">
        <v>535</v>
      </c>
      <c r="K44" s="4">
        <v>0</v>
      </c>
      <c r="L44" s="1" t="s">
        <v>536</v>
      </c>
      <c r="M44" s="1">
        <v>1</v>
      </c>
    </row>
    <row r="45" spans="8:13" x14ac:dyDescent="0.3">
      <c r="H45" s="1" t="s">
        <v>537</v>
      </c>
      <c r="I45" s="1" t="s">
        <v>538</v>
      </c>
      <c r="J45" s="1" t="s">
        <v>539</v>
      </c>
      <c r="K45" s="4">
        <v>187.51</v>
      </c>
      <c r="L45" s="1" t="s">
        <v>540</v>
      </c>
      <c r="M45" s="1">
        <v>1</v>
      </c>
    </row>
    <row r="46" spans="8:13" x14ac:dyDescent="0.3">
      <c r="H46" s="1" t="s">
        <v>541</v>
      </c>
      <c r="I46" s="1" t="s">
        <v>542</v>
      </c>
      <c r="J46" s="1" t="s">
        <v>543</v>
      </c>
      <c r="K46" s="4">
        <v>0</v>
      </c>
      <c r="L46" s="1" t="s">
        <v>544</v>
      </c>
      <c r="M46" s="1">
        <v>1</v>
      </c>
    </row>
    <row r="47" spans="8:13" x14ac:dyDescent="0.3">
      <c r="H47" s="1" t="s">
        <v>545</v>
      </c>
      <c r="I47" s="1" t="s">
        <v>546</v>
      </c>
      <c r="J47" s="1" t="s">
        <v>547</v>
      </c>
      <c r="K47" s="4">
        <v>10</v>
      </c>
      <c r="L47" s="1" t="s">
        <v>548</v>
      </c>
      <c r="M47" s="1">
        <v>1</v>
      </c>
    </row>
    <row r="48" spans="8:13" x14ac:dyDescent="0.3">
      <c r="H48" s="1" t="s">
        <v>549</v>
      </c>
      <c r="I48" s="1" t="s">
        <v>550</v>
      </c>
      <c r="J48" s="1" t="s">
        <v>551</v>
      </c>
      <c r="K48" s="4">
        <v>99</v>
      </c>
      <c r="L48" s="1" t="s">
        <v>552</v>
      </c>
      <c r="M48" s="1">
        <v>1</v>
      </c>
    </row>
    <row r="49" spans="1:13" x14ac:dyDescent="0.3">
      <c r="H49" s="1" t="s">
        <v>553</v>
      </c>
      <c r="I49" s="1" t="s">
        <v>554</v>
      </c>
      <c r="J49" s="1" t="s">
        <v>555</v>
      </c>
      <c r="K49" s="4">
        <v>0</v>
      </c>
      <c r="L49" s="1" t="s">
        <v>556</v>
      </c>
      <c r="M49" s="1">
        <v>1</v>
      </c>
    </row>
    <row r="50" spans="1:13" x14ac:dyDescent="0.3">
      <c r="H50" s="1" t="s">
        <v>557</v>
      </c>
      <c r="I50" s="1" t="s">
        <v>558</v>
      </c>
      <c r="J50" s="1" t="s">
        <v>559</v>
      </c>
      <c r="K50" s="4">
        <v>0</v>
      </c>
      <c r="L50" s="1" t="s">
        <v>560</v>
      </c>
      <c r="M50" s="1">
        <v>1</v>
      </c>
    </row>
    <row r="51" spans="1:13" x14ac:dyDescent="0.3">
      <c r="H51" s="1" t="s">
        <v>561</v>
      </c>
      <c r="I51" s="1" t="s">
        <v>562</v>
      </c>
      <c r="J51" s="1" t="s">
        <v>563</v>
      </c>
      <c r="K51" s="4">
        <v>0</v>
      </c>
      <c r="L51" s="1" t="s">
        <v>564</v>
      </c>
      <c r="M51" s="1">
        <v>1</v>
      </c>
    </row>
    <row r="52" spans="1:13" x14ac:dyDescent="0.3">
      <c r="H52" s="1" t="s">
        <v>565</v>
      </c>
      <c r="I52" s="1" t="s">
        <v>566</v>
      </c>
      <c r="J52" s="1" t="s">
        <v>567</v>
      </c>
      <c r="K52" s="4">
        <v>1626.01</v>
      </c>
      <c r="L52" s="1" t="s">
        <v>568</v>
      </c>
      <c r="M52" s="1">
        <v>1</v>
      </c>
    </row>
    <row r="53" spans="1:13" x14ac:dyDescent="0.3">
      <c r="H53" s="1" t="s">
        <v>569</v>
      </c>
      <c r="I53" s="1" t="s">
        <v>570</v>
      </c>
      <c r="J53" s="1" t="s">
        <v>571</v>
      </c>
      <c r="K53" s="4">
        <v>0</v>
      </c>
      <c r="L53" s="1" t="s">
        <v>572</v>
      </c>
      <c r="M53" s="1">
        <v>1</v>
      </c>
    </row>
    <row r="54" spans="1:13" x14ac:dyDescent="0.3">
      <c r="B54" s="1" t="s">
        <v>397</v>
      </c>
      <c r="C54" s="1" t="s">
        <v>398</v>
      </c>
      <c r="D54" s="1" t="s">
        <v>573</v>
      </c>
      <c r="E54" s="1">
        <v>480</v>
      </c>
      <c r="F54" s="4">
        <v>1125</v>
      </c>
      <c r="G54" s="4">
        <v>540000</v>
      </c>
      <c r="L54" s="1" t="s">
        <v>574</v>
      </c>
    </row>
    <row r="55" spans="1:13" x14ac:dyDescent="0.3">
      <c r="B55" s="1" t="s">
        <v>397</v>
      </c>
      <c r="C55" s="1" t="s">
        <v>398</v>
      </c>
      <c r="D55" s="1" t="s">
        <v>575</v>
      </c>
      <c r="E55" s="1">
        <v>1</v>
      </c>
      <c r="F55" s="4">
        <v>25000</v>
      </c>
      <c r="G55" s="4">
        <v>25000</v>
      </c>
      <c r="L55" s="1" t="s">
        <v>576</v>
      </c>
    </row>
    <row r="58" spans="1:13" x14ac:dyDescent="0.3">
      <c r="A58" s="1" t="s">
        <v>577</v>
      </c>
    </row>
  </sheetData>
  <pageMargins left="0.75" right="0.75" top="0.75" bottom="0.5" header="0.5" footer="0.7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44.33203125" style="1" customWidth="1"/>
    <col min="5" max="5" width="11.6640625" style="1" customWidth="1"/>
    <col min="6" max="6" width="14.109375" style="1" customWidth="1"/>
    <col min="7" max="7" width="18.88671875" style="1" customWidth="1"/>
    <col min="8" max="8" width="46.109375" style="1" customWidth="1"/>
    <col min="9" max="9" width="10.664062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578</v>
      </c>
    </row>
    <row r="3" spans="1:14" x14ac:dyDescent="0.3">
      <c r="A3" s="1" t="s">
        <v>579</v>
      </c>
    </row>
    <row r="4" spans="1:14" x14ac:dyDescent="0.3">
      <c r="A4" s="1" t="s">
        <v>380</v>
      </c>
    </row>
    <row r="5" spans="1:14" x14ac:dyDescent="0.3">
      <c r="A5" s="1" t="s">
        <v>580</v>
      </c>
    </row>
    <row r="6" spans="1:14" x14ac:dyDescent="0.3">
      <c r="A6" s="1" t="s">
        <v>581</v>
      </c>
    </row>
    <row r="7" spans="1:14" ht="43.2" x14ac:dyDescent="0.3">
      <c r="A7" s="2" t="s">
        <v>383</v>
      </c>
    </row>
    <row r="8" spans="1:14" x14ac:dyDescent="0.3">
      <c r="A8" s="3"/>
      <c r="B8" s="3" t="s">
        <v>384</v>
      </c>
      <c r="C8" s="3" t="s">
        <v>385</v>
      </c>
      <c r="D8" s="3" t="s">
        <v>386</v>
      </c>
      <c r="E8" s="3" t="s">
        <v>387</v>
      </c>
      <c r="F8" s="3" t="s">
        <v>388</v>
      </c>
      <c r="G8" s="3" t="s">
        <v>389</v>
      </c>
      <c r="H8" s="3" t="s">
        <v>390</v>
      </c>
      <c r="I8" s="3" t="s">
        <v>391</v>
      </c>
      <c r="J8" s="3" t="s">
        <v>392</v>
      </c>
      <c r="K8" s="3" t="s">
        <v>393</v>
      </c>
      <c r="L8" s="3" t="s">
        <v>394</v>
      </c>
      <c r="M8" s="3" t="s">
        <v>395</v>
      </c>
      <c r="N8" s="3" t="s">
        <v>396</v>
      </c>
    </row>
    <row r="9" spans="1:14" x14ac:dyDescent="0.3">
      <c r="B9" s="1" t="s">
        <v>397</v>
      </c>
      <c r="C9" s="1" t="s">
        <v>582</v>
      </c>
      <c r="D9" s="1" t="s">
        <v>583</v>
      </c>
      <c r="E9" s="1">
        <v>2</v>
      </c>
      <c r="F9" s="4">
        <v>95460.32</v>
      </c>
      <c r="G9" s="4">
        <v>190920.64</v>
      </c>
    </row>
    <row r="10" spans="1:14" x14ac:dyDescent="0.3">
      <c r="H10" s="1" t="s">
        <v>584</v>
      </c>
      <c r="I10" s="1" t="s">
        <v>585</v>
      </c>
      <c r="J10" s="1" t="s">
        <v>586</v>
      </c>
      <c r="K10" s="4">
        <v>5014</v>
      </c>
      <c r="L10" s="1" t="s">
        <v>587</v>
      </c>
      <c r="M10" s="1">
        <v>1</v>
      </c>
    </row>
    <row r="11" spans="1:14" x14ac:dyDescent="0.3">
      <c r="H11" s="1" t="s">
        <v>416</v>
      </c>
      <c r="I11" s="1" t="s">
        <v>417</v>
      </c>
      <c r="J11" s="1" t="s">
        <v>418</v>
      </c>
      <c r="K11" s="4">
        <v>99</v>
      </c>
      <c r="L11" s="1" t="s">
        <v>419</v>
      </c>
      <c r="M11" s="1">
        <v>1</v>
      </c>
    </row>
    <row r="12" spans="1:14" x14ac:dyDescent="0.3">
      <c r="H12" s="1" t="s">
        <v>420</v>
      </c>
      <c r="I12" s="1" t="s">
        <v>588</v>
      </c>
      <c r="J12" s="1" t="s">
        <v>589</v>
      </c>
      <c r="K12" s="4">
        <v>580</v>
      </c>
      <c r="L12" s="1" t="s">
        <v>590</v>
      </c>
      <c r="M12" s="1">
        <v>1</v>
      </c>
    </row>
    <row r="13" spans="1:14" x14ac:dyDescent="0.3">
      <c r="H13" s="1" t="s">
        <v>424</v>
      </c>
      <c r="I13" s="1" t="s">
        <v>591</v>
      </c>
      <c r="J13" s="1" t="s">
        <v>592</v>
      </c>
      <c r="K13" s="4">
        <v>8199</v>
      </c>
      <c r="L13" s="1" t="s">
        <v>593</v>
      </c>
      <c r="M13" s="1">
        <v>1</v>
      </c>
    </row>
    <row r="14" spans="1:14" x14ac:dyDescent="0.3">
      <c r="H14" s="1" t="s">
        <v>594</v>
      </c>
      <c r="I14" s="1" t="s">
        <v>595</v>
      </c>
      <c r="J14" s="1" t="s">
        <v>592</v>
      </c>
      <c r="K14" s="4">
        <v>8199</v>
      </c>
      <c r="L14" s="1" t="s">
        <v>596</v>
      </c>
      <c r="M14" s="1">
        <v>1</v>
      </c>
    </row>
    <row r="15" spans="1:14" x14ac:dyDescent="0.3">
      <c r="H15" s="1" t="s">
        <v>597</v>
      </c>
      <c r="I15" s="1" t="s">
        <v>598</v>
      </c>
      <c r="J15" s="1" t="s">
        <v>599</v>
      </c>
      <c r="K15" s="4">
        <v>0</v>
      </c>
      <c r="L15" s="1" t="s">
        <v>600</v>
      </c>
      <c r="M15" s="1">
        <v>1</v>
      </c>
    </row>
    <row r="16" spans="1:14" x14ac:dyDescent="0.3">
      <c r="H16" s="1" t="s">
        <v>428</v>
      </c>
      <c r="I16" s="1" t="s">
        <v>601</v>
      </c>
      <c r="J16" s="1" t="s">
        <v>602</v>
      </c>
      <c r="K16" s="4">
        <v>217.45</v>
      </c>
      <c r="L16" s="1" t="s">
        <v>603</v>
      </c>
      <c r="M16" s="1">
        <v>1</v>
      </c>
    </row>
    <row r="17" spans="8:13" x14ac:dyDescent="0.3">
      <c r="H17" s="1" t="s">
        <v>432</v>
      </c>
      <c r="I17" s="1" t="s">
        <v>604</v>
      </c>
      <c r="J17" s="1" t="s">
        <v>434</v>
      </c>
      <c r="K17" s="4">
        <v>0</v>
      </c>
      <c r="L17" s="1" t="s">
        <v>605</v>
      </c>
      <c r="M17" s="1">
        <v>1</v>
      </c>
    </row>
    <row r="18" spans="8:13" x14ac:dyDescent="0.3">
      <c r="H18" s="1" t="s">
        <v>436</v>
      </c>
      <c r="I18" s="1" t="s">
        <v>437</v>
      </c>
      <c r="J18" s="1" t="s">
        <v>438</v>
      </c>
      <c r="K18" s="4">
        <v>0</v>
      </c>
      <c r="L18" s="1" t="s">
        <v>439</v>
      </c>
      <c r="M18" s="1">
        <v>1</v>
      </c>
    </row>
    <row r="19" spans="8:13" x14ac:dyDescent="0.3">
      <c r="H19" s="1" t="s">
        <v>440</v>
      </c>
      <c r="I19" s="1" t="s">
        <v>606</v>
      </c>
      <c r="J19" s="1" t="s">
        <v>607</v>
      </c>
      <c r="K19" s="4">
        <v>36576</v>
      </c>
      <c r="L19" s="1" t="s">
        <v>608</v>
      </c>
      <c r="M19" s="1">
        <v>32</v>
      </c>
    </row>
    <row r="20" spans="8:13" x14ac:dyDescent="0.3">
      <c r="H20" s="1" t="s">
        <v>444</v>
      </c>
      <c r="I20" s="1" t="s">
        <v>609</v>
      </c>
      <c r="J20" s="1" t="s">
        <v>610</v>
      </c>
      <c r="K20" s="4">
        <v>0</v>
      </c>
      <c r="L20" s="1" t="s">
        <v>611</v>
      </c>
      <c r="M20" s="1">
        <v>1</v>
      </c>
    </row>
    <row r="21" spans="8:13" x14ac:dyDescent="0.3">
      <c r="H21" s="1" t="s">
        <v>448</v>
      </c>
      <c r="I21" s="1" t="s">
        <v>612</v>
      </c>
      <c r="J21" s="1" t="s">
        <v>613</v>
      </c>
      <c r="K21" s="4">
        <v>3349</v>
      </c>
      <c r="L21" s="1" t="s">
        <v>614</v>
      </c>
      <c r="M21" s="1">
        <v>1</v>
      </c>
    </row>
    <row r="22" spans="8:13" x14ac:dyDescent="0.3">
      <c r="H22" s="1" t="s">
        <v>452</v>
      </c>
      <c r="I22" s="1" t="s">
        <v>615</v>
      </c>
      <c r="J22" s="1" t="s">
        <v>616</v>
      </c>
      <c r="K22" s="4">
        <v>10678.32</v>
      </c>
      <c r="L22" s="1" t="s">
        <v>617</v>
      </c>
      <c r="M22" s="1">
        <v>2</v>
      </c>
    </row>
    <row r="23" spans="8:13" x14ac:dyDescent="0.3">
      <c r="H23" s="1" t="s">
        <v>460</v>
      </c>
      <c r="I23" s="1" t="s">
        <v>618</v>
      </c>
      <c r="J23" s="1" t="s">
        <v>619</v>
      </c>
      <c r="K23" s="4">
        <v>0</v>
      </c>
      <c r="L23" s="1" t="s">
        <v>620</v>
      </c>
      <c r="M23" s="1">
        <v>1</v>
      </c>
    </row>
    <row r="24" spans="8:13" x14ac:dyDescent="0.3">
      <c r="H24" s="1" t="s">
        <v>464</v>
      </c>
      <c r="I24" s="1" t="s">
        <v>465</v>
      </c>
      <c r="J24" s="1" t="s">
        <v>466</v>
      </c>
      <c r="K24" s="4">
        <v>0</v>
      </c>
      <c r="L24" s="1" t="s">
        <v>467</v>
      </c>
      <c r="M24" s="1">
        <v>1</v>
      </c>
    </row>
    <row r="25" spans="8:13" x14ac:dyDescent="0.3">
      <c r="H25" s="1" t="s">
        <v>464</v>
      </c>
      <c r="I25" s="1" t="s">
        <v>621</v>
      </c>
      <c r="J25" s="1" t="s">
        <v>622</v>
      </c>
      <c r="K25" s="4">
        <v>0</v>
      </c>
      <c r="L25" s="1" t="s">
        <v>623</v>
      </c>
      <c r="M25" s="1">
        <v>1</v>
      </c>
    </row>
    <row r="26" spans="8:13" x14ac:dyDescent="0.3">
      <c r="H26" s="1" t="s">
        <v>468</v>
      </c>
      <c r="I26" s="1" t="s">
        <v>624</v>
      </c>
      <c r="J26" s="1" t="s">
        <v>625</v>
      </c>
      <c r="K26" s="4">
        <v>299</v>
      </c>
      <c r="L26" s="1" t="s">
        <v>626</v>
      </c>
      <c r="M26" s="1">
        <v>1</v>
      </c>
    </row>
    <row r="27" spans="8:13" x14ac:dyDescent="0.3">
      <c r="H27" s="1" t="s">
        <v>472</v>
      </c>
      <c r="I27" s="1" t="s">
        <v>473</v>
      </c>
      <c r="J27" s="1" t="s">
        <v>474</v>
      </c>
      <c r="K27" s="4">
        <v>1429</v>
      </c>
      <c r="L27" s="1" t="s">
        <v>475</v>
      </c>
      <c r="M27" s="1">
        <v>1</v>
      </c>
    </row>
    <row r="28" spans="8:13" x14ac:dyDescent="0.3">
      <c r="H28" s="1" t="s">
        <v>476</v>
      </c>
      <c r="I28" s="1" t="s">
        <v>477</v>
      </c>
      <c r="J28" s="1" t="s">
        <v>478</v>
      </c>
      <c r="K28" s="4">
        <v>70</v>
      </c>
      <c r="L28" s="1" t="s">
        <v>479</v>
      </c>
      <c r="M28" s="1">
        <v>2</v>
      </c>
    </row>
    <row r="29" spans="8:13" x14ac:dyDescent="0.3">
      <c r="H29" s="1" t="s">
        <v>480</v>
      </c>
      <c r="I29" s="1" t="s">
        <v>627</v>
      </c>
      <c r="J29" s="1" t="s">
        <v>628</v>
      </c>
      <c r="K29" s="4">
        <v>808.03</v>
      </c>
      <c r="L29" s="1" t="s">
        <v>629</v>
      </c>
      <c r="M29" s="1">
        <v>1</v>
      </c>
    </row>
    <row r="30" spans="8:13" x14ac:dyDescent="0.3">
      <c r="H30" s="1" t="s">
        <v>484</v>
      </c>
      <c r="I30" s="1" t="s">
        <v>630</v>
      </c>
      <c r="J30" s="1" t="s">
        <v>631</v>
      </c>
      <c r="K30" s="4">
        <v>450</v>
      </c>
      <c r="L30" s="1" t="s">
        <v>632</v>
      </c>
      <c r="M30" s="1">
        <v>1</v>
      </c>
    </row>
    <row r="31" spans="8:13" x14ac:dyDescent="0.3">
      <c r="H31" s="1" t="s">
        <v>515</v>
      </c>
      <c r="I31" s="1" t="s">
        <v>516</v>
      </c>
      <c r="J31" s="1" t="s">
        <v>517</v>
      </c>
      <c r="K31" s="4">
        <v>0</v>
      </c>
      <c r="L31" s="1" t="s">
        <v>518</v>
      </c>
      <c r="M31" s="1">
        <v>1</v>
      </c>
    </row>
    <row r="32" spans="8:13" x14ac:dyDescent="0.3">
      <c r="H32" s="1" t="s">
        <v>515</v>
      </c>
      <c r="I32" s="1" t="s">
        <v>519</v>
      </c>
      <c r="J32" s="1" t="s">
        <v>520</v>
      </c>
      <c r="K32" s="4">
        <v>99</v>
      </c>
      <c r="L32" s="1" t="s">
        <v>521</v>
      </c>
      <c r="M32" s="1">
        <v>1</v>
      </c>
    </row>
    <row r="33" spans="8:13" x14ac:dyDescent="0.3">
      <c r="H33" s="1" t="s">
        <v>515</v>
      </c>
      <c r="I33" s="1" t="s">
        <v>522</v>
      </c>
      <c r="J33" s="1" t="s">
        <v>523</v>
      </c>
      <c r="K33" s="4">
        <v>1288</v>
      </c>
      <c r="L33" s="1" t="s">
        <v>524</v>
      </c>
      <c r="M33" s="1">
        <v>1</v>
      </c>
    </row>
    <row r="34" spans="8:13" x14ac:dyDescent="0.3">
      <c r="H34" s="1" t="s">
        <v>488</v>
      </c>
      <c r="I34" s="1" t="s">
        <v>633</v>
      </c>
      <c r="J34" s="1" t="s">
        <v>634</v>
      </c>
      <c r="K34" s="4">
        <v>3224</v>
      </c>
      <c r="L34" s="1" t="s">
        <v>635</v>
      </c>
      <c r="M34" s="1">
        <v>1</v>
      </c>
    </row>
    <row r="35" spans="8:13" x14ac:dyDescent="0.3">
      <c r="H35" s="1" t="s">
        <v>492</v>
      </c>
      <c r="I35" s="1" t="s">
        <v>636</v>
      </c>
      <c r="J35" s="1" t="s">
        <v>637</v>
      </c>
      <c r="K35" s="4">
        <v>0</v>
      </c>
      <c r="L35" s="1" t="s">
        <v>638</v>
      </c>
      <c r="M35" s="1">
        <v>1</v>
      </c>
    </row>
    <row r="36" spans="8:13" x14ac:dyDescent="0.3">
      <c r="H36" s="1" t="s">
        <v>492</v>
      </c>
      <c r="I36" s="1" t="s">
        <v>639</v>
      </c>
      <c r="J36" s="1" t="s">
        <v>640</v>
      </c>
      <c r="K36" s="4">
        <v>8712</v>
      </c>
      <c r="L36" s="1" t="s">
        <v>641</v>
      </c>
      <c r="M36" s="1">
        <v>2</v>
      </c>
    </row>
    <row r="37" spans="8:13" x14ac:dyDescent="0.3">
      <c r="H37" s="1" t="s">
        <v>499</v>
      </c>
      <c r="I37" s="1" t="s">
        <v>642</v>
      </c>
      <c r="J37" s="1" t="s">
        <v>643</v>
      </c>
      <c r="K37" s="4">
        <v>49</v>
      </c>
      <c r="L37" s="1" t="s">
        <v>644</v>
      </c>
      <c r="M37" s="1">
        <v>1</v>
      </c>
    </row>
    <row r="38" spans="8:13" x14ac:dyDescent="0.3">
      <c r="H38" s="1" t="s">
        <v>503</v>
      </c>
      <c r="I38" s="1" t="s">
        <v>645</v>
      </c>
      <c r="J38" s="1" t="s">
        <v>646</v>
      </c>
      <c r="K38" s="4">
        <v>2700</v>
      </c>
      <c r="L38" s="1" t="s">
        <v>647</v>
      </c>
      <c r="M38" s="1">
        <v>1</v>
      </c>
    </row>
    <row r="39" spans="8:13" x14ac:dyDescent="0.3">
      <c r="H39" s="1" t="s">
        <v>525</v>
      </c>
      <c r="I39" s="1" t="s">
        <v>526</v>
      </c>
      <c r="J39" s="1" t="s">
        <v>527</v>
      </c>
      <c r="K39" s="4">
        <v>0</v>
      </c>
      <c r="L39" s="1" t="s">
        <v>528</v>
      </c>
      <c r="M39" s="1">
        <v>1</v>
      </c>
    </row>
    <row r="40" spans="8:13" x14ac:dyDescent="0.3">
      <c r="H40" s="1" t="s">
        <v>529</v>
      </c>
      <c r="I40" s="1" t="s">
        <v>648</v>
      </c>
      <c r="J40" s="1" t="s">
        <v>649</v>
      </c>
      <c r="K40" s="4">
        <v>0</v>
      </c>
      <c r="L40" s="1" t="s">
        <v>650</v>
      </c>
      <c r="M40" s="1">
        <v>1</v>
      </c>
    </row>
    <row r="41" spans="8:13" x14ac:dyDescent="0.3">
      <c r="H41" s="1" t="s">
        <v>533</v>
      </c>
      <c r="I41" s="1" t="s">
        <v>534</v>
      </c>
      <c r="J41" s="1" t="s">
        <v>535</v>
      </c>
      <c r="K41" s="4">
        <v>0</v>
      </c>
      <c r="L41" s="1" t="s">
        <v>536</v>
      </c>
      <c r="M41" s="1">
        <v>1</v>
      </c>
    </row>
    <row r="42" spans="8:13" x14ac:dyDescent="0.3">
      <c r="H42" s="1" t="s">
        <v>557</v>
      </c>
      <c r="I42" s="1" t="s">
        <v>558</v>
      </c>
      <c r="J42" s="1" t="s">
        <v>559</v>
      </c>
      <c r="K42" s="4">
        <v>0</v>
      </c>
      <c r="L42" s="1" t="s">
        <v>560</v>
      </c>
      <c r="M42" s="1">
        <v>1</v>
      </c>
    </row>
    <row r="43" spans="8:13" x14ac:dyDescent="0.3">
      <c r="H43" s="1" t="s">
        <v>507</v>
      </c>
      <c r="I43" s="1" t="s">
        <v>508</v>
      </c>
      <c r="J43" s="1" t="s">
        <v>509</v>
      </c>
      <c r="K43" s="4">
        <v>0</v>
      </c>
      <c r="L43" s="1" t="s">
        <v>510</v>
      </c>
      <c r="M43" s="1">
        <v>1</v>
      </c>
    </row>
    <row r="44" spans="8:13" x14ac:dyDescent="0.3">
      <c r="H44" s="1" t="s">
        <v>511</v>
      </c>
      <c r="I44" s="1" t="s">
        <v>512</v>
      </c>
      <c r="J44" s="1" t="s">
        <v>513</v>
      </c>
      <c r="K44" s="4">
        <v>0</v>
      </c>
      <c r="L44" s="1" t="s">
        <v>514</v>
      </c>
      <c r="M44" s="1">
        <v>1</v>
      </c>
    </row>
    <row r="45" spans="8:13" x14ac:dyDescent="0.3">
      <c r="H45" s="1" t="s">
        <v>537</v>
      </c>
      <c r="I45" s="1" t="s">
        <v>538</v>
      </c>
      <c r="J45" s="1" t="s">
        <v>539</v>
      </c>
      <c r="K45" s="4">
        <v>187.51</v>
      </c>
      <c r="L45" s="1" t="s">
        <v>540</v>
      </c>
      <c r="M45" s="1">
        <v>1</v>
      </c>
    </row>
    <row r="46" spans="8:13" x14ac:dyDescent="0.3">
      <c r="H46" s="1" t="s">
        <v>541</v>
      </c>
      <c r="I46" s="1" t="s">
        <v>542</v>
      </c>
      <c r="J46" s="1" t="s">
        <v>543</v>
      </c>
      <c r="K46" s="4">
        <v>0</v>
      </c>
      <c r="L46" s="1" t="s">
        <v>544</v>
      </c>
      <c r="M46" s="1">
        <v>1</v>
      </c>
    </row>
    <row r="47" spans="8:13" x14ac:dyDescent="0.3">
      <c r="H47" s="1" t="s">
        <v>545</v>
      </c>
      <c r="I47" s="1" t="s">
        <v>651</v>
      </c>
      <c r="J47" s="1" t="s">
        <v>652</v>
      </c>
      <c r="K47" s="4">
        <v>49</v>
      </c>
      <c r="L47" s="1" t="s">
        <v>653</v>
      </c>
      <c r="M47" s="1">
        <v>1</v>
      </c>
    </row>
    <row r="48" spans="8:13" x14ac:dyDescent="0.3">
      <c r="H48" s="1" t="s">
        <v>549</v>
      </c>
      <c r="I48" s="1" t="s">
        <v>654</v>
      </c>
      <c r="J48" s="1" t="s">
        <v>655</v>
      </c>
      <c r="K48" s="4">
        <v>99</v>
      </c>
      <c r="L48" s="1" t="s">
        <v>656</v>
      </c>
      <c r="M48" s="1">
        <v>1</v>
      </c>
    </row>
    <row r="49" spans="2:13" x14ac:dyDescent="0.3">
      <c r="H49" s="1" t="s">
        <v>553</v>
      </c>
      <c r="I49" s="1" t="s">
        <v>657</v>
      </c>
      <c r="J49" s="1" t="s">
        <v>658</v>
      </c>
      <c r="K49" s="4">
        <v>0</v>
      </c>
      <c r="L49" s="1" t="s">
        <v>659</v>
      </c>
      <c r="M49" s="1">
        <v>1</v>
      </c>
    </row>
    <row r="50" spans="2:13" x14ac:dyDescent="0.3">
      <c r="H50" s="1" t="s">
        <v>561</v>
      </c>
      <c r="I50" s="1" t="s">
        <v>562</v>
      </c>
      <c r="J50" s="1" t="s">
        <v>563</v>
      </c>
      <c r="K50" s="4">
        <v>0</v>
      </c>
      <c r="L50" s="1" t="s">
        <v>564</v>
      </c>
      <c r="M50" s="1">
        <v>1</v>
      </c>
    </row>
    <row r="51" spans="2:13" x14ac:dyDescent="0.3">
      <c r="H51" s="1" t="s">
        <v>660</v>
      </c>
      <c r="I51" s="1" t="s">
        <v>661</v>
      </c>
      <c r="J51" s="1" t="s">
        <v>567</v>
      </c>
      <c r="K51" s="4">
        <v>3085.01</v>
      </c>
      <c r="L51" s="1" t="s">
        <v>662</v>
      </c>
      <c r="M51" s="1">
        <v>1</v>
      </c>
    </row>
    <row r="52" spans="2:13" x14ac:dyDescent="0.3">
      <c r="B52" s="1" t="s">
        <v>397</v>
      </c>
      <c r="C52" s="1" t="s">
        <v>582</v>
      </c>
      <c r="D52" s="1" t="s">
        <v>663</v>
      </c>
      <c r="E52" s="1">
        <v>4</v>
      </c>
      <c r="F52" s="4">
        <v>88222.32</v>
      </c>
      <c r="G52" s="4">
        <v>352889.28</v>
      </c>
    </row>
    <row r="53" spans="2:13" x14ac:dyDescent="0.3">
      <c r="H53" s="1" t="s">
        <v>584</v>
      </c>
      <c r="I53" s="1" t="s">
        <v>585</v>
      </c>
      <c r="J53" s="1" t="s">
        <v>586</v>
      </c>
      <c r="K53" s="4">
        <v>5014</v>
      </c>
      <c r="L53" s="1" t="s">
        <v>587</v>
      </c>
      <c r="M53" s="1">
        <v>1</v>
      </c>
    </row>
    <row r="54" spans="2:13" x14ac:dyDescent="0.3">
      <c r="H54" s="1" t="s">
        <v>416</v>
      </c>
      <c r="I54" s="1" t="s">
        <v>417</v>
      </c>
      <c r="J54" s="1" t="s">
        <v>418</v>
      </c>
      <c r="K54" s="4">
        <v>99</v>
      </c>
      <c r="L54" s="1" t="s">
        <v>419</v>
      </c>
      <c r="M54" s="1">
        <v>1</v>
      </c>
    </row>
    <row r="55" spans="2:13" x14ac:dyDescent="0.3">
      <c r="H55" s="1" t="s">
        <v>420</v>
      </c>
      <c r="I55" s="1" t="s">
        <v>588</v>
      </c>
      <c r="J55" s="1" t="s">
        <v>589</v>
      </c>
      <c r="K55" s="4">
        <v>580</v>
      </c>
      <c r="L55" s="1" t="s">
        <v>590</v>
      </c>
      <c r="M55" s="1">
        <v>1</v>
      </c>
    </row>
    <row r="56" spans="2:13" x14ac:dyDescent="0.3">
      <c r="H56" s="1" t="s">
        <v>424</v>
      </c>
      <c r="I56" s="1" t="s">
        <v>591</v>
      </c>
      <c r="J56" s="1" t="s">
        <v>592</v>
      </c>
      <c r="K56" s="4">
        <v>8199</v>
      </c>
      <c r="L56" s="1" t="s">
        <v>593</v>
      </c>
      <c r="M56" s="1">
        <v>1</v>
      </c>
    </row>
    <row r="57" spans="2:13" x14ac:dyDescent="0.3">
      <c r="H57" s="1" t="s">
        <v>594</v>
      </c>
      <c r="I57" s="1" t="s">
        <v>595</v>
      </c>
      <c r="J57" s="1" t="s">
        <v>592</v>
      </c>
      <c r="K57" s="4">
        <v>8199</v>
      </c>
      <c r="L57" s="1" t="s">
        <v>596</v>
      </c>
      <c r="M57" s="1">
        <v>1</v>
      </c>
    </row>
    <row r="58" spans="2:13" x14ac:dyDescent="0.3">
      <c r="H58" s="1" t="s">
        <v>597</v>
      </c>
      <c r="I58" s="1" t="s">
        <v>598</v>
      </c>
      <c r="J58" s="1" t="s">
        <v>599</v>
      </c>
      <c r="K58" s="4">
        <v>0</v>
      </c>
      <c r="L58" s="1" t="s">
        <v>600</v>
      </c>
      <c r="M58" s="1">
        <v>1</v>
      </c>
    </row>
    <row r="59" spans="2:13" x14ac:dyDescent="0.3">
      <c r="H59" s="1" t="s">
        <v>428</v>
      </c>
      <c r="I59" s="1" t="s">
        <v>601</v>
      </c>
      <c r="J59" s="1" t="s">
        <v>602</v>
      </c>
      <c r="K59" s="4">
        <v>217.45</v>
      </c>
      <c r="L59" s="1" t="s">
        <v>603</v>
      </c>
      <c r="M59" s="1">
        <v>1</v>
      </c>
    </row>
    <row r="60" spans="2:13" x14ac:dyDescent="0.3">
      <c r="H60" s="1" t="s">
        <v>432</v>
      </c>
      <c r="I60" s="1" t="s">
        <v>604</v>
      </c>
      <c r="J60" s="1" t="s">
        <v>434</v>
      </c>
      <c r="K60" s="4">
        <v>0</v>
      </c>
      <c r="L60" s="1" t="s">
        <v>605</v>
      </c>
      <c r="M60" s="1">
        <v>1</v>
      </c>
    </row>
    <row r="61" spans="2:13" x14ac:dyDescent="0.3">
      <c r="H61" s="1" t="s">
        <v>436</v>
      </c>
      <c r="I61" s="1" t="s">
        <v>437</v>
      </c>
      <c r="J61" s="1" t="s">
        <v>438</v>
      </c>
      <c r="K61" s="4">
        <v>0</v>
      </c>
      <c r="L61" s="1" t="s">
        <v>439</v>
      </c>
      <c r="M61" s="1">
        <v>1</v>
      </c>
    </row>
    <row r="62" spans="2:13" x14ac:dyDescent="0.3">
      <c r="H62" s="1" t="s">
        <v>440</v>
      </c>
      <c r="I62" s="1" t="s">
        <v>606</v>
      </c>
      <c r="J62" s="1" t="s">
        <v>607</v>
      </c>
      <c r="K62" s="4">
        <v>36576</v>
      </c>
      <c r="L62" s="1" t="s">
        <v>608</v>
      </c>
      <c r="M62" s="1">
        <v>32</v>
      </c>
    </row>
    <row r="63" spans="2:13" x14ac:dyDescent="0.3">
      <c r="H63" s="1" t="s">
        <v>444</v>
      </c>
      <c r="I63" s="1" t="s">
        <v>609</v>
      </c>
      <c r="J63" s="1" t="s">
        <v>610</v>
      </c>
      <c r="K63" s="4">
        <v>0</v>
      </c>
      <c r="L63" s="1" t="s">
        <v>611</v>
      </c>
      <c r="M63" s="1">
        <v>1</v>
      </c>
    </row>
    <row r="64" spans="2:13" x14ac:dyDescent="0.3">
      <c r="H64" s="1" t="s">
        <v>448</v>
      </c>
      <c r="I64" s="1" t="s">
        <v>612</v>
      </c>
      <c r="J64" s="1" t="s">
        <v>613</v>
      </c>
      <c r="K64" s="4">
        <v>3349</v>
      </c>
      <c r="L64" s="1" t="s">
        <v>614</v>
      </c>
      <c r="M64" s="1">
        <v>1</v>
      </c>
    </row>
    <row r="65" spans="8:13" x14ac:dyDescent="0.3">
      <c r="H65" s="1" t="s">
        <v>452</v>
      </c>
      <c r="I65" s="1" t="s">
        <v>615</v>
      </c>
      <c r="J65" s="1" t="s">
        <v>616</v>
      </c>
      <c r="K65" s="4">
        <v>10678.32</v>
      </c>
      <c r="L65" s="1" t="s">
        <v>617</v>
      </c>
      <c r="M65" s="1">
        <v>2</v>
      </c>
    </row>
    <row r="66" spans="8:13" x14ac:dyDescent="0.3">
      <c r="H66" s="1" t="s">
        <v>460</v>
      </c>
      <c r="I66" s="1" t="s">
        <v>618</v>
      </c>
      <c r="J66" s="1" t="s">
        <v>619</v>
      </c>
      <c r="K66" s="4">
        <v>0</v>
      </c>
      <c r="L66" s="1" t="s">
        <v>620</v>
      </c>
      <c r="M66" s="1">
        <v>1</v>
      </c>
    </row>
    <row r="67" spans="8:13" x14ac:dyDescent="0.3">
      <c r="H67" s="1" t="s">
        <v>464</v>
      </c>
      <c r="I67" s="1" t="s">
        <v>465</v>
      </c>
      <c r="J67" s="1" t="s">
        <v>466</v>
      </c>
      <c r="K67" s="4">
        <v>0</v>
      </c>
      <c r="L67" s="1" t="s">
        <v>467</v>
      </c>
      <c r="M67" s="1">
        <v>1</v>
      </c>
    </row>
    <row r="68" spans="8:13" x14ac:dyDescent="0.3">
      <c r="H68" s="1" t="s">
        <v>464</v>
      </c>
      <c r="I68" s="1" t="s">
        <v>621</v>
      </c>
      <c r="J68" s="1" t="s">
        <v>622</v>
      </c>
      <c r="K68" s="4">
        <v>0</v>
      </c>
      <c r="L68" s="1" t="s">
        <v>623</v>
      </c>
      <c r="M68" s="1">
        <v>1</v>
      </c>
    </row>
    <row r="69" spans="8:13" x14ac:dyDescent="0.3">
      <c r="H69" s="1" t="s">
        <v>468</v>
      </c>
      <c r="I69" s="1" t="s">
        <v>624</v>
      </c>
      <c r="J69" s="1" t="s">
        <v>625</v>
      </c>
      <c r="K69" s="4">
        <v>299</v>
      </c>
      <c r="L69" s="1" t="s">
        <v>626</v>
      </c>
      <c r="M69" s="1">
        <v>1</v>
      </c>
    </row>
    <row r="70" spans="8:13" x14ac:dyDescent="0.3">
      <c r="H70" s="1" t="s">
        <v>472</v>
      </c>
      <c r="I70" s="1" t="s">
        <v>473</v>
      </c>
      <c r="J70" s="1" t="s">
        <v>474</v>
      </c>
      <c r="K70" s="4">
        <v>1429</v>
      </c>
      <c r="L70" s="1" t="s">
        <v>475</v>
      </c>
      <c r="M70" s="1">
        <v>1</v>
      </c>
    </row>
    <row r="71" spans="8:13" x14ac:dyDescent="0.3">
      <c r="H71" s="1" t="s">
        <v>476</v>
      </c>
      <c r="I71" s="1" t="s">
        <v>477</v>
      </c>
      <c r="J71" s="1" t="s">
        <v>478</v>
      </c>
      <c r="K71" s="4">
        <v>70</v>
      </c>
      <c r="L71" s="1" t="s">
        <v>479</v>
      </c>
      <c r="M71" s="1">
        <v>2</v>
      </c>
    </row>
    <row r="72" spans="8:13" x14ac:dyDescent="0.3">
      <c r="H72" s="1" t="s">
        <v>480</v>
      </c>
      <c r="I72" s="1" t="s">
        <v>627</v>
      </c>
      <c r="J72" s="1" t="s">
        <v>628</v>
      </c>
      <c r="K72" s="4">
        <v>808.03</v>
      </c>
      <c r="L72" s="1" t="s">
        <v>629</v>
      </c>
      <c r="M72" s="1">
        <v>1</v>
      </c>
    </row>
    <row r="73" spans="8:13" x14ac:dyDescent="0.3">
      <c r="H73" s="1" t="s">
        <v>484</v>
      </c>
      <c r="I73" s="1" t="s">
        <v>630</v>
      </c>
      <c r="J73" s="1" t="s">
        <v>631</v>
      </c>
      <c r="K73" s="4">
        <v>450</v>
      </c>
      <c r="L73" s="1" t="s">
        <v>632</v>
      </c>
      <c r="M73" s="1">
        <v>1</v>
      </c>
    </row>
    <row r="74" spans="8:13" x14ac:dyDescent="0.3">
      <c r="H74" s="1" t="s">
        <v>515</v>
      </c>
      <c r="I74" s="1" t="s">
        <v>516</v>
      </c>
      <c r="J74" s="1" t="s">
        <v>517</v>
      </c>
      <c r="K74" s="4">
        <v>0</v>
      </c>
      <c r="L74" s="1" t="s">
        <v>518</v>
      </c>
      <c r="M74" s="1">
        <v>1</v>
      </c>
    </row>
    <row r="75" spans="8:13" x14ac:dyDescent="0.3">
      <c r="H75" s="1" t="s">
        <v>515</v>
      </c>
      <c r="I75" s="1" t="s">
        <v>519</v>
      </c>
      <c r="J75" s="1" t="s">
        <v>520</v>
      </c>
      <c r="K75" s="4">
        <v>99</v>
      </c>
      <c r="L75" s="1" t="s">
        <v>521</v>
      </c>
      <c r="M75" s="1">
        <v>1</v>
      </c>
    </row>
    <row r="76" spans="8:13" x14ac:dyDescent="0.3">
      <c r="H76" s="1" t="s">
        <v>515</v>
      </c>
      <c r="I76" s="1" t="s">
        <v>522</v>
      </c>
      <c r="J76" s="1" t="s">
        <v>523</v>
      </c>
      <c r="K76" s="4">
        <v>1288</v>
      </c>
      <c r="L76" s="1" t="s">
        <v>524</v>
      </c>
      <c r="M76" s="1">
        <v>1</v>
      </c>
    </row>
    <row r="77" spans="8:13" x14ac:dyDescent="0.3">
      <c r="H77" s="1" t="s">
        <v>488</v>
      </c>
      <c r="I77" s="1" t="s">
        <v>633</v>
      </c>
      <c r="J77" s="1" t="s">
        <v>634</v>
      </c>
      <c r="K77" s="4">
        <v>3224</v>
      </c>
      <c r="L77" s="1" t="s">
        <v>635</v>
      </c>
      <c r="M77" s="1">
        <v>1</v>
      </c>
    </row>
    <row r="78" spans="8:13" x14ac:dyDescent="0.3">
      <c r="H78" s="1" t="s">
        <v>492</v>
      </c>
      <c r="I78" s="1" t="s">
        <v>636</v>
      </c>
      <c r="J78" s="1" t="s">
        <v>637</v>
      </c>
      <c r="K78" s="4">
        <v>0</v>
      </c>
      <c r="L78" s="1" t="s">
        <v>638</v>
      </c>
      <c r="M78" s="1">
        <v>1</v>
      </c>
    </row>
    <row r="79" spans="8:13" x14ac:dyDescent="0.3">
      <c r="H79" s="1" t="s">
        <v>492</v>
      </c>
      <c r="I79" s="1" t="s">
        <v>664</v>
      </c>
      <c r="J79" s="1" t="s">
        <v>665</v>
      </c>
      <c r="K79" s="4">
        <v>1474</v>
      </c>
      <c r="L79" s="1" t="s">
        <v>666</v>
      </c>
      <c r="M79" s="1">
        <v>1</v>
      </c>
    </row>
    <row r="80" spans="8:13" x14ac:dyDescent="0.3">
      <c r="H80" s="1" t="s">
        <v>499</v>
      </c>
      <c r="I80" s="1" t="s">
        <v>642</v>
      </c>
      <c r="J80" s="1" t="s">
        <v>643</v>
      </c>
      <c r="K80" s="4">
        <v>49</v>
      </c>
      <c r="L80" s="1" t="s">
        <v>644</v>
      </c>
      <c r="M80" s="1">
        <v>1</v>
      </c>
    </row>
    <row r="81" spans="8:13" x14ac:dyDescent="0.3">
      <c r="H81" s="1" t="s">
        <v>503</v>
      </c>
      <c r="I81" s="1" t="s">
        <v>645</v>
      </c>
      <c r="J81" s="1" t="s">
        <v>646</v>
      </c>
      <c r="K81" s="4">
        <v>2700</v>
      </c>
      <c r="L81" s="1" t="s">
        <v>647</v>
      </c>
      <c r="M81" s="1">
        <v>1</v>
      </c>
    </row>
    <row r="82" spans="8:13" x14ac:dyDescent="0.3">
      <c r="H82" s="1" t="s">
        <v>525</v>
      </c>
      <c r="I82" s="1" t="s">
        <v>526</v>
      </c>
      <c r="J82" s="1" t="s">
        <v>527</v>
      </c>
      <c r="K82" s="4">
        <v>0</v>
      </c>
      <c r="L82" s="1" t="s">
        <v>528</v>
      </c>
      <c r="M82" s="1">
        <v>1</v>
      </c>
    </row>
    <row r="83" spans="8:13" x14ac:dyDescent="0.3">
      <c r="H83" s="1" t="s">
        <v>529</v>
      </c>
      <c r="I83" s="1" t="s">
        <v>648</v>
      </c>
      <c r="J83" s="1" t="s">
        <v>649</v>
      </c>
      <c r="K83" s="4">
        <v>0</v>
      </c>
      <c r="L83" s="1" t="s">
        <v>650</v>
      </c>
      <c r="M83" s="1">
        <v>1</v>
      </c>
    </row>
    <row r="84" spans="8:13" x14ac:dyDescent="0.3">
      <c r="H84" s="1" t="s">
        <v>533</v>
      </c>
      <c r="I84" s="1" t="s">
        <v>534</v>
      </c>
      <c r="J84" s="1" t="s">
        <v>535</v>
      </c>
      <c r="K84" s="4">
        <v>0</v>
      </c>
      <c r="L84" s="1" t="s">
        <v>536</v>
      </c>
      <c r="M84" s="1">
        <v>1</v>
      </c>
    </row>
    <row r="85" spans="8:13" x14ac:dyDescent="0.3">
      <c r="H85" s="1" t="s">
        <v>557</v>
      </c>
      <c r="I85" s="1" t="s">
        <v>558</v>
      </c>
      <c r="J85" s="1" t="s">
        <v>559</v>
      </c>
      <c r="K85" s="4">
        <v>0</v>
      </c>
      <c r="L85" s="1" t="s">
        <v>560</v>
      </c>
      <c r="M85" s="1">
        <v>1</v>
      </c>
    </row>
    <row r="86" spans="8:13" x14ac:dyDescent="0.3">
      <c r="H86" s="1" t="s">
        <v>507</v>
      </c>
      <c r="I86" s="1" t="s">
        <v>508</v>
      </c>
      <c r="J86" s="1" t="s">
        <v>509</v>
      </c>
      <c r="K86" s="4">
        <v>0</v>
      </c>
      <c r="L86" s="1" t="s">
        <v>510</v>
      </c>
      <c r="M86" s="1">
        <v>1</v>
      </c>
    </row>
    <row r="87" spans="8:13" x14ac:dyDescent="0.3">
      <c r="H87" s="1" t="s">
        <v>511</v>
      </c>
      <c r="I87" s="1" t="s">
        <v>512</v>
      </c>
      <c r="J87" s="1" t="s">
        <v>513</v>
      </c>
      <c r="K87" s="4">
        <v>0</v>
      </c>
      <c r="L87" s="1" t="s">
        <v>514</v>
      </c>
      <c r="M87" s="1">
        <v>1</v>
      </c>
    </row>
    <row r="88" spans="8:13" x14ac:dyDescent="0.3">
      <c r="H88" s="1" t="s">
        <v>537</v>
      </c>
      <c r="I88" s="1" t="s">
        <v>538</v>
      </c>
      <c r="J88" s="1" t="s">
        <v>539</v>
      </c>
      <c r="K88" s="4">
        <v>187.51</v>
      </c>
      <c r="L88" s="1" t="s">
        <v>540</v>
      </c>
      <c r="M88" s="1">
        <v>1</v>
      </c>
    </row>
    <row r="89" spans="8:13" x14ac:dyDescent="0.3">
      <c r="H89" s="1" t="s">
        <v>541</v>
      </c>
      <c r="I89" s="1" t="s">
        <v>542</v>
      </c>
      <c r="J89" s="1" t="s">
        <v>543</v>
      </c>
      <c r="K89" s="4">
        <v>0</v>
      </c>
      <c r="L89" s="1" t="s">
        <v>544</v>
      </c>
      <c r="M89" s="1">
        <v>1</v>
      </c>
    </row>
    <row r="90" spans="8:13" x14ac:dyDescent="0.3">
      <c r="H90" s="1" t="s">
        <v>545</v>
      </c>
      <c r="I90" s="1" t="s">
        <v>651</v>
      </c>
      <c r="J90" s="1" t="s">
        <v>652</v>
      </c>
      <c r="K90" s="4">
        <v>49</v>
      </c>
      <c r="L90" s="1" t="s">
        <v>653</v>
      </c>
      <c r="M90" s="1">
        <v>1</v>
      </c>
    </row>
    <row r="91" spans="8:13" x14ac:dyDescent="0.3">
      <c r="H91" s="1" t="s">
        <v>549</v>
      </c>
      <c r="I91" s="1" t="s">
        <v>654</v>
      </c>
      <c r="J91" s="1" t="s">
        <v>655</v>
      </c>
      <c r="K91" s="4">
        <v>99</v>
      </c>
      <c r="L91" s="1" t="s">
        <v>656</v>
      </c>
      <c r="M91" s="1">
        <v>1</v>
      </c>
    </row>
    <row r="92" spans="8:13" x14ac:dyDescent="0.3">
      <c r="H92" s="1" t="s">
        <v>553</v>
      </c>
      <c r="I92" s="1" t="s">
        <v>657</v>
      </c>
      <c r="J92" s="1" t="s">
        <v>658</v>
      </c>
      <c r="K92" s="4">
        <v>0</v>
      </c>
      <c r="L92" s="1" t="s">
        <v>659</v>
      </c>
      <c r="M92" s="1">
        <v>1</v>
      </c>
    </row>
    <row r="93" spans="8:13" x14ac:dyDescent="0.3">
      <c r="H93" s="1" t="s">
        <v>561</v>
      </c>
      <c r="I93" s="1" t="s">
        <v>562</v>
      </c>
      <c r="J93" s="1" t="s">
        <v>563</v>
      </c>
      <c r="K93" s="4">
        <v>0</v>
      </c>
      <c r="L93" s="1" t="s">
        <v>564</v>
      </c>
      <c r="M93" s="1">
        <v>1</v>
      </c>
    </row>
    <row r="94" spans="8:13" x14ac:dyDescent="0.3">
      <c r="H94" s="1" t="s">
        <v>660</v>
      </c>
      <c r="I94" s="1" t="s">
        <v>661</v>
      </c>
      <c r="J94" s="1" t="s">
        <v>567</v>
      </c>
      <c r="K94" s="4">
        <v>3085.01</v>
      </c>
      <c r="L94" s="1" t="s">
        <v>662</v>
      </c>
      <c r="M94" s="1">
        <v>1</v>
      </c>
    </row>
    <row r="97" spans="1:1" x14ac:dyDescent="0.3">
      <c r="A97" s="1" t="s">
        <v>577</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F69BA7-F8DC-489D-B025-797E1384EAF8}">
  <ds:schemaRefs>
    <ds:schemaRef ds:uri="fa3e9ded-7345-46bb-8d4a-2162773d1a26"/>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microsoft.com/sharepoint/v3"/>
    <ds:schemaRef ds:uri="http://schemas.microsoft.com/office/infopath/2007/PartnerControls"/>
    <ds:schemaRef ds:uri="http://schemas.openxmlformats.org/package/2006/metadata/core-properties"/>
    <ds:schemaRef ds:uri="adea1bd8-78b7-4105-85bd-f4f6d9c5a717"/>
    <ds:schemaRef ds:uri="http://purl.org/dc/dcmitype/"/>
  </ds:schemaRefs>
</ds:datastoreItem>
</file>

<file path=customXml/itemProps2.xml><?xml version="1.0" encoding="utf-8"?>
<ds:datastoreItem xmlns:ds="http://schemas.openxmlformats.org/officeDocument/2006/customXml" ds:itemID="{56B26669-694E-4D55-8CAE-1454A0F47A4A}">
  <ds:schemaRefs>
    <ds:schemaRef ds:uri="http://schemas.microsoft.com/sharepoint/v3/contenttype/forms"/>
  </ds:schemaRefs>
</ds:datastoreItem>
</file>

<file path=customXml/itemProps3.xml><?xml version="1.0" encoding="utf-8"?>
<ds:datastoreItem xmlns:ds="http://schemas.openxmlformats.org/officeDocument/2006/customXml" ds:itemID="{7F5D3095-0F09-488F-8506-4C970C0C1A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3e9ded-7345-46bb-8d4a-2162773d1a26"/>
    <ds:schemaRef ds:uri="adea1bd8-78b7-4105-85bd-f4f6d9c5a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P&amp;L</vt:lpstr>
      <vt:lpstr>GOAL Export</vt:lpstr>
      <vt:lpstr>Version</vt:lpstr>
      <vt:lpstr>L11 BOM Ntwk_512</vt:lpstr>
      <vt:lpstr>Rack_Elevations_512</vt:lpstr>
      <vt:lpstr>Storage Elevations</vt:lpstr>
      <vt:lpstr>Storage BOM</vt:lpstr>
      <vt:lpstr>Services Summary</vt:lpstr>
      <vt:lpstr>DW2000P_1</vt:lpstr>
      <vt:lpstr>Compute_Management</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Abuzaid, Abdullah</cp:lastModifiedBy>
  <cp:revision/>
  <dcterms:created xsi:type="dcterms:W3CDTF">2024-12-31T19:59:33Z</dcterms:created>
  <dcterms:modified xsi:type="dcterms:W3CDTF">2026-09-24T19:26:37Z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y fmtid="{D5CDD505-2E9C-101B-9397-08002B2CF9AE}" pid="19" name="SV_QUERY_LIST_4F35BF76-6C0D-4D9B-82B2-816C12CF3733">
    <vt:lpwstr>empty_477D106A-C0D6-4607-AEBD-E2C9D60EA279</vt:lpwstr>
  </property>
  <property fmtid="{D5CDD505-2E9C-101B-9397-08002B2CF9AE}" pid="20" name="SV_HIDDEN_GRID_QUERY_LIST_4F35BF76-6C0D-4D9B-82B2-816C12CF3733">
    <vt:lpwstr>empty_477D106A-C0D6-4607-AEBD-E2C9D60EA279</vt:lpwstr>
  </property>
</Properties>
</file>